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sıl kullanılır" sheetId="1" state="visible" r:id="rId1"/>
    <sheet name="Ayarlar" sheetId="2" state="visible" r:id="rId2"/>
    <sheet name="Topraklar" sheetId="3" state="visible" r:id="rId3"/>
    <sheet name="Bitkiler" sheetId="4" state="visible" r:id="rId4"/>
    <sheet name="Uyu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07404F"/>
      <sz val="14"/>
    </font>
    <font>
      <name val="Arial"/>
      <color rgb="00000000"/>
      <sz val="11"/>
    </font>
    <font>
      <name val="Arial"/>
      <b val="1"/>
      <color rgb="00000000"/>
      <sz val="11"/>
    </font>
    <font>
      <name val="Arial"/>
      <color rgb="000000FF"/>
    </font>
    <font>
      <name val="Arial"/>
      <b val="1"/>
      <color rgb="00FFFFFF"/>
    </font>
    <font>
      <name val="Arial"/>
    </font>
    <font>
      <name val="Arial"/>
      <i val="1"/>
    </font>
    <font>
      <name val="Arial"/>
      <b val="1"/>
      <sz val="9"/>
    </font>
    <font>
      <name val="Arial"/>
      <b val="1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FFF7D6"/>
      </patternFill>
    </fill>
    <fill>
      <patternFill patternType="solid">
        <fgColor rgb="000B5D73"/>
      </patternFill>
    </fill>
    <fill>
      <patternFill patternType="solid">
        <fgColor rgb="00E6F2F5"/>
      </patternFill>
    </fill>
  </fills>
  <borders count="2">
    <border>
      <left/>
      <right/>
      <top/>
      <bottom/>
      <diagonal/>
    </border>
    <border>
      <left style="thin">
        <color rgb="00D5DEE2"/>
      </left>
      <right style="thin">
        <color rgb="00D5DEE2"/>
      </right>
      <top style="thin">
        <color rgb="00D5DEE2"/>
      </top>
      <bottom style="thin">
        <color rgb="00D5DEE2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5" fillId="3" borderId="0" pivotButton="0" quotePrefix="0" xfId="0"/>
    <xf numFmtId="0" fontId="6" fillId="0" borderId="0" pivotButton="0" quotePrefix="0" xfId="0"/>
    <xf numFmtId="0" fontId="4" fillId="2" borderId="0" pivotButton="0" quotePrefix="0" xfId="0"/>
    <xf numFmtId="0" fontId="7" fillId="0" borderId="0" pivotButton="0" quotePrefix="0" xfId="0"/>
    <xf numFmtId="0" fontId="5" fillId="3" borderId="0" applyAlignment="1" pivotButton="0" quotePrefix="0" xfId="0">
      <alignment vertical="center" wrapText="1"/>
    </xf>
    <xf numFmtId="0" fontId="6" fillId="0" borderId="1" pivotButton="0" quotePrefix="0" xfId="0"/>
    <xf numFmtId="0" fontId="6" fillId="2" borderId="1" applyAlignment="1" pivotButton="0" quotePrefix="0" xfId="0">
      <alignment horizontal="center"/>
    </xf>
    <xf numFmtId="0" fontId="6" fillId="2" borderId="1" pivotButton="0" quotePrefix="0" xfId="0"/>
    <xf numFmtId="0" fontId="6" fillId="4" borderId="1" pivotButton="0" quotePrefix="0" xfId="0"/>
    <xf numFmtId="9" fontId="6" fillId="4" borderId="1" applyAlignment="1" pivotButton="0" quotePrefix="0" xfId="0">
      <alignment horizontal="center"/>
    </xf>
    <xf numFmtId="0" fontId="8" fillId="0" borderId="0" applyAlignment="1" pivotButton="0" quotePrefix="0" xfId="0">
      <alignment vertical="top" wrapText="1"/>
    </xf>
    <xf numFmtId="0" fontId="9" fillId="0" borderId="0" pivotButton="0" quotePrefix="0" xfId="0"/>
    <xf numFmtId="9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Bitkiye göre toprak önerisi — taslak (kontrol için)</t>
        </is>
      </c>
    </row>
    <row r="2">
      <c r="A2" s="2" t="inlineStr"/>
    </row>
    <row r="3">
      <c r="A3" s="3" t="inlineStr">
        <is>
          <t>Bu dosya ne yapar?</t>
        </is>
      </c>
    </row>
    <row r="4">
      <c r="A4" s="2" t="inlineStr">
        <is>
          <t>Her toprağa ve her bitkiye aynı 5 ölçütle bir profil verilir. Bitkiye özel toprak varsa o önerilir; yoksa profili en yakın toprak 'uyum puanı' ile seçilir.</t>
        </is>
      </c>
    </row>
    <row r="5">
      <c r="A5" s="2" t="inlineStr">
        <is>
          <t>Eksik kalan özellik için katkı önerilir (drenaj → perlit, pH → asidik torf, su tutma → vermikülit, besin → solucan gübresi).</t>
        </is>
      </c>
    </row>
    <row r="6">
      <c r="A6" s="2" t="inlineStr"/>
    </row>
    <row r="7">
      <c r="A7" s="3" t="inlineStr">
        <is>
          <t>Neyi düzenlemelisiniz?</t>
        </is>
      </c>
    </row>
    <row r="8">
      <c r="A8" s="2" t="inlineStr">
        <is>
          <t>• Sarı hücreler girdidir: 'Topraklar' sayfasında D–H ve J sütunları, 'Bitkiler' sayfasında D–I sütunları.</t>
        </is>
      </c>
    </row>
    <row r="9">
      <c r="A9" s="2" t="inlineStr">
        <is>
          <t>• Mavi hücreler formüldür, dokunmayın: 'Bitkiler' J–N sütunları ve 'Uyum' sayfası kendiliğinden hesaplanır.</t>
        </is>
      </c>
    </row>
    <row r="10">
      <c r="A10" s="2" t="inlineStr">
        <is>
          <t>• Ağırlıklar 'Ayarlar' sayfasındadır (pH ve drenaj en önemli kabul edildi).</t>
        </is>
      </c>
    </row>
    <row r="11">
      <c r="A11" s="2" t="inlineStr"/>
    </row>
    <row r="12">
      <c r="A12" s="3" t="inlineStr">
        <is>
          <t>Ölçekler</t>
        </is>
      </c>
    </row>
    <row r="13">
      <c r="A13" s="2" t="inlineStr">
        <is>
          <t>pH: 1 = Asidik (4,5–5,5) · 2 = Hafif asidik (5,5–6,5) · 3 = Nötr (6,5–7,5) · 4 = Kireçli (7,5+)</t>
        </is>
      </c>
    </row>
    <row r="14">
      <c r="A14" s="2" t="inlineStr">
        <is>
          <t>Drenaj (su süzme): 1 = Orta · 2 = Yüksek · 3 = Çok yüksek</t>
        </is>
      </c>
    </row>
    <row r="15">
      <c r="A15" s="2" t="inlineStr">
        <is>
          <t>Su tutma: 1 = Düşük · 2 = Orta · 3 = Yüksek</t>
        </is>
      </c>
    </row>
    <row r="16">
      <c r="A16" s="2" t="inlineStr">
        <is>
          <t>Besin / organik madde: 1 = Düşük · 2 = Orta · 3 = Zengin</t>
        </is>
      </c>
    </row>
    <row r="17">
      <c r="A17" s="2" t="inlineStr">
        <is>
          <t>Yapı: Kumlu (mineral) · Havalı (kabuk/perlit/lif) · Dengeli</t>
        </is>
      </c>
    </row>
    <row r="18">
      <c r="A18" s="2" t="inlineStr"/>
    </row>
    <row r="19">
      <c r="A19" s="3" t="inlineStr">
        <is>
          <t>Önemli</t>
        </is>
      </c>
    </row>
    <row r="20">
      <c r="A20" s="2" t="inlineStr">
        <is>
          <t>• Toprak profilleri ürün adlarından ve genel bahçecilik bilgisinden çıkarılmış TAHMİNLERDİR. Lütfen kendi reçetelerinize göre düzeltin.</t>
        </is>
      </c>
    </row>
    <row r="21">
      <c r="A21" s="2" t="inlineStr">
        <is>
          <t>• 'Sadece özel' = Evet olan topraklar (nilüfer, çim, mezar) benzerlik önerisinde kullanılmaz, sadece kendi bitkisine önerilir.</t>
        </is>
      </c>
    </row>
    <row r="22">
      <c r="A22" s="2" t="inlineStr">
        <is>
          <t>• Başka bir bitkinin adını taşıyan toprak yalnızca aynı 'Grup'taki bitkilere önerilir (salon ↔ salon, meyve ↔ meyve). 'Genel amaçlı' = Evet olanlar her bitkiye önerilebilir.</t>
        </is>
      </c>
    </row>
    <row r="23">
      <c r="A23" s="2" t="inlineStr">
        <is>
          <t>• Puanlar eşitse önce aynı gruptaki, sonra genel amaçlı toprak seçilir.</t>
        </is>
      </c>
    </row>
    <row r="24">
      <c r="A24" s="2" t="inlineStr">
        <is>
          <t>• Yeni toprak eklediğinizde bu dosyayı güncellemeniz gerekmez: ikas'ta ürüne etiket eklemeniz yeterli (README'de anlatıldı).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62" customWidth="1" min="3" max="3"/>
  </cols>
  <sheetData>
    <row r="1">
      <c r="A1" s="4" t="inlineStr">
        <is>
          <t>Ölçüt</t>
        </is>
      </c>
      <c r="B1" s="4" t="inlineStr">
        <is>
          <t>Ağırlık</t>
        </is>
      </c>
      <c r="C1" s="4" t="inlineStr">
        <is>
          <t>Açıklama</t>
        </is>
      </c>
    </row>
    <row r="2">
      <c r="A2" s="5" t="inlineStr">
        <is>
          <t>pH</t>
        </is>
      </c>
      <c r="B2" s="6" t="n">
        <v>3</v>
      </c>
      <c r="C2" s="5" t="inlineStr">
        <is>
          <t>En önemli: yanlış pH bitkinin besin almasını engeller</t>
        </is>
      </c>
    </row>
    <row r="3">
      <c r="A3" s="5" t="inlineStr">
        <is>
          <t>Drenaj</t>
        </is>
      </c>
      <c r="B3" s="6" t="n">
        <v>2</v>
      </c>
      <c r="C3" s="5" t="inlineStr">
        <is>
          <t>Kök çürümesi riskini belirler</t>
        </is>
      </c>
    </row>
    <row r="4">
      <c r="A4" s="5" t="inlineStr">
        <is>
          <t>Su tutma</t>
        </is>
      </c>
      <c r="B4" s="6" t="n">
        <v>2</v>
      </c>
      <c r="C4" s="5" t="inlineStr"/>
    </row>
    <row r="5">
      <c r="A5" s="5" t="inlineStr">
        <is>
          <t>Besin</t>
        </is>
      </c>
      <c r="B5" s="6" t="n">
        <v>1</v>
      </c>
      <c r="C5" s="5" t="inlineStr">
        <is>
          <t>Gübreyle kolayca tamamlanabilir</t>
        </is>
      </c>
    </row>
    <row r="6">
      <c r="A6" s="5" t="inlineStr">
        <is>
          <t>Yapı</t>
        </is>
      </c>
      <c r="B6" s="6" t="n">
        <v>1</v>
      </c>
      <c r="C6" s="5" t="inlineStr">
        <is>
          <t>Farklıysa 1 puan fark sayılır</t>
        </is>
      </c>
    </row>
    <row r="7">
      <c r="A7" s="5" t="inlineStr">
        <is>
          <t>Bölen</t>
        </is>
      </c>
      <c r="B7" s="6" t="n">
        <v>12</v>
      </c>
      <c r="C7" s="5" t="inlineStr">
        <is>
          <t>Toplam fark bu sayıya bölünür; küçüldükçe puanlar sertleşir</t>
        </is>
      </c>
    </row>
    <row r="9">
      <c r="A9" s="7" t="inlineStr">
        <is>
          <t>Uyum = 1 − (pH_ağ·|ΔpH| + Drenaj_ağ·|ΔDrenaj| + Su_ağ·|ΔSu| + Besin_ağ·|ΔBesin| + Yapı_ağ·(yapı farklıysa 1)) / Bölen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52" customWidth="1" min="2" max="2"/>
    <col width="18" customWidth="1" min="3" max="3"/>
    <col width="7" customWidth="1" min="4" max="4"/>
    <col width="8" customWidth="1" min="5" max="5"/>
    <col width="9" customWidth="1" min="6" max="6"/>
    <col width="8" customWidth="1" min="7" max="7"/>
    <col width="10" customWidth="1" min="8" max="8"/>
    <col width="40" customWidth="1" min="9" max="9"/>
    <col width="11" customWidth="1" min="10" max="10"/>
    <col width="12" customWidth="1" min="11" max="11"/>
    <col width="12" customWidth="1" min="12" max="12"/>
  </cols>
  <sheetData>
    <row r="1">
      <c r="A1" s="8" t="inlineStr">
        <is>
          <t>Ürün adresi (slug)</t>
        </is>
      </c>
      <c r="B1" s="8" t="inlineStr">
        <is>
          <t>Ürün adı</t>
        </is>
      </c>
      <c r="C1" s="8" t="inlineStr">
        <is>
          <t>Tür</t>
        </is>
      </c>
      <c r="D1" s="8" t="inlineStr">
        <is>
          <t>pH</t>
        </is>
      </c>
      <c r="E1" s="8" t="inlineStr">
        <is>
          <t>Drenaj</t>
        </is>
      </c>
      <c r="F1" s="8" t="inlineStr">
        <is>
          <t>Su tutma</t>
        </is>
      </c>
      <c r="G1" s="8" t="inlineStr">
        <is>
          <t>Besin</t>
        </is>
      </c>
      <c r="H1" s="8" t="inlineStr">
        <is>
          <t>Yapı</t>
        </is>
      </c>
      <c r="I1" s="8" t="inlineStr">
        <is>
          <t>Not</t>
        </is>
      </c>
      <c r="J1" s="8" t="inlineStr">
        <is>
          <t>Sadece özel</t>
        </is>
      </c>
      <c r="K1" s="8" t="inlineStr">
        <is>
          <t>Grup</t>
        </is>
      </c>
      <c r="L1" s="8" t="inlineStr">
        <is>
          <t>Genel amaçlı</t>
        </is>
      </c>
    </row>
    <row r="2">
      <c r="A2" s="9" t="inlineStr">
        <is>
          <t>hg-monstera-deve-tabani-topragi</t>
        </is>
      </c>
      <c r="B2" s="9" t="inlineStr">
        <is>
          <t>HG Monstera (Deve Tabanı) Toprağı</t>
        </is>
      </c>
      <c r="C2" s="9" t="inlineStr">
        <is>
          <t>Toprak</t>
        </is>
      </c>
      <c r="D2" s="10" t="n">
        <v>2</v>
      </c>
      <c r="E2" s="10" t="n">
        <v>3</v>
      </c>
      <c r="F2" s="10" t="n">
        <v>2</v>
      </c>
      <c r="G2" s="10" t="n">
        <v>2</v>
      </c>
      <c r="H2" s="10" t="inlineStr">
        <is>
          <t>Havalı</t>
        </is>
      </c>
      <c r="I2" s="9" t="inlineStr"/>
      <c r="J2" s="10" t="inlineStr">
        <is>
          <t>Hayır</t>
        </is>
      </c>
      <c r="K2" s="10" t="inlineStr">
        <is>
          <t>Salon</t>
        </is>
      </c>
      <c r="L2" s="10" t="inlineStr">
        <is>
          <t>Hayır</t>
        </is>
      </c>
    </row>
    <row r="3">
      <c r="A3" s="9" t="inlineStr">
        <is>
          <t>hg-salon-sarmasigi-topragi</t>
        </is>
      </c>
      <c r="B3" s="9" t="inlineStr">
        <is>
          <t>HG Salon Sarmaşığı Toprağı</t>
        </is>
      </c>
      <c r="C3" s="9" t="inlineStr">
        <is>
          <t>Toprak</t>
        </is>
      </c>
      <c r="D3" s="10" t="n">
        <v>2</v>
      </c>
      <c r="E3" s="10" t="n">
        <v>2</v>
      </c>
      <c r="F3" s="10" t="n">
        <v>2</v>
      </c>
      <c r="G3" s="10" t="n">
        <v>2</v>
      </c>
      <c r="H3" s="10" t="inlineStr">
        <is>
          <t>Havalı</t>
        </is>
      </c>
      <c r="I3" s="9" t="inlineStr"/>
      <c r="J3" s="10" t="inlineStr">
        <is>
          <t>Hayır</t>
        </is>
      </c>
      <c r="K3" s="10" t="inlineStr">
        <is>
          <t>Salon</t>
        </is>
      </c>
      <c r="L3" s="10" t="inlineStr">
        <is>
          <t>Hayır</t>
        </is>
      </c>
    </row>
    <row r="4">
      <c r="A4" s="9" t="inlineStr">
        <is>
          <t>pasa-kilici-sansevieria-topragi</t>
        </is>
      </c>
      <c r="B4" s="9" t="inlineStr">
        <is>
          <t>HG Paşa Kılıcı (Sansevieria) Toprağı</t>
        </is>
      </c>
      <c r="C4" s="9" t="inlineStr">
        <is>
          <t>Toprak</t>
        </is>
      </c>
      <c r="D4" s="10" t="n">
        <v>3</v>
      </c>
      <c r="E4" s="10" t="n">
        <v>3</v>
      </c>
      <c r="F4" s="10" t="n">
        <v>1</v>
      </c>
      <c r="G4" s="10" t="n">
        <v>1</v>
      </c>
      <c r="H4" s="10" t="inlineStr">
        <is>
          <t>Kumlu</t>
        </is>
      </c>
      <c r="I4" s="9" t="inlineStr"/>
      <c r="J4" s="10" t="inlineStr">
        <is>
          <t>Hayır</t>
        </is>
      </c>
      <c r="K4" s="10" t="inlineStr">
        <is>
          <t>Salon</t>
        </is>
      </c>
      <c r="L4" s="10" t="inlineStr">
        <is>
          <t>Hayır</t>
        </is>
      </c>
    </row>
    <row r="5">
      <c r="A5" s="9" t="inlineStr">
        <is>
          <t>kaucuk-agaci-topragi</t>
        </is>
      </c>
      <c r="B5" s="9" t="inlineStr">
        <is>
          <t>HG Kauçuk Ağacı Toprağı</t>
        </is>
      </c>
      <c r="C5" s="9" t="inlineStr">
        <is>
          <t>Toprak</t>
        </is>
      </c>
      <c r="D5" s="10" t="n">
        <v>2</v>
      </c>
      <c r="E5" s="10" t="n">
        <v>2</v>
      </c>
      <c r="F5" s="10" t="n">
        <v>2</v>
      </c>
      <c r="G5" s="10" t="n">
        <v>2</v>
      </c>
      <c r="H5" s="10" t="inlineStr">
        <is>
          <t>Dengeli</t>
        </is>
      </c>
      <c r="I5" s="9" t="inlineStr"/>
      <c r="J5" s="10" t="inlineStr">
        <is>
          <t>Hayır</t>
        </is>
      </c>
      <c r="K5" s="10" t="inlineStr">
        <is>
          <t>Salon</t>
        </is>
      </c>
      <c r="L5" s="10" t="inlineStr">
        <is>
          <t>Hayır</t>
        </is>
      </c>
    </row>
    <row r="6">
      <c r="A6" s="9" t="inlineStr">
        <is>
          <t>hg-benjamin-saksi-topragi</t>
        </is>
      </c>
      <c r="B6" s="9" t="inlineStr">
        <is>
          <t>HG Benjamin Saksı Toprağı</t>
        </is>
      </c>
      <c r="C6" s="9" t="inlineStr">
        <is>
          <t>Toprak</t>
        </is>
      </c>
      <c r="D6" s="10" t="n">
        <v>2</v>
      </c>
      <c r="E6" s="10" t="n">
        <v>2</v>
      </c>
      <c r="F6" s="10" t="n">
        <v>2</v>
      </c>
      <c r="G6" s="10" t="n">
        <v>2</v>
      </c>
      <c r="H6" s="10" t="inlineStr">
        <is>
          <t>Dengeli</t>
        </is>
      </c>
      <c r="I6" s="9" t="inlineStr"/>
      <c r="J6" s="10" t="inlineStr">
        <is>
          <t>Hayır</t>
        </is>
      </c>
      <c r="K6" s="10" t="inlineStr">
        <is>
          <t>Salon</t>
        </is>
      </c>
      <c r="L6" s="10" t="inlineStr">
        <is>
          <t>Hayır</t>
        </is>
      </c>
    </row>
    <row r="7">
      <c r="A7" s="9" t="inlineStr">
        <is>
          <t>hg-difenbahya-saksi-topragi</t>
        </is>
      </c>
      <c r="B7" s="9" t="inlineStr">
        <is>
          <t>HG Difenbahya Saksı Toprağı</t>
        </is>
      </c>
      <c r="C7" s="9" t="inlineStr">
        <is>
          <t>Toprak</t>
        </is>
      </c>
      <c r="D7" s="10" t="n">
        <v>2</v>
      </c>
      <c r="E7" s="10" t="n">
        <v>2</v>
      </c>
      <c r="F7" s="10" t="n">
        <v>2</v>
      </c>
      <c r="G7" s="10" t="n">
        <v>2</v>
      </c>
      <c r="H7" s="10" t="inlineStr">
        <is>
          <t>Havalı</t>
        </is>
      </c>
      <c r="I7" s="9" t="inlineStr"/>
      <c r="J7" s="10" t="inlineStr">
        <is>
          <t>Hayır</t>
        </is>
      </c>
      <c r="K7" s="10" t="inlineStr">
        <is>
          <t>Salon</t>
        </is>
      </c>
      <c r="L7" s="10" t="inlineStr">
        <is>
          <t>Hayır</t>
        </is>
      </c>
    </row>
    <row r="8">
      <c r="A8" s="9" t="inlineStr">
        <is>
          <t>baris-cicegi-spathiphyllum-topragi</t>
        </is>
      </c>
      <c r="B8" s="9" t="inlineStr">
        <is>
          <t>Barış Çiçeği (Spathiphyllum) Toprağı</t>
        </is>
      </c>
      <c r="C8" s="9" t="inlineStr">
        <is>
          <t>Toprak</t>
        </is>
      </c>
      <c r="D8" s="10" t="n">
        <v>2</v>
      </c>
      <c r="E8" s="10" t="n">
        <v>2</v>
      </c>
      <c r="F8" s="10" t="n">
        <v>3</v>
      </c>
      <c r="G8" s="10" t="n">
        <v>2</v>
      </c>
      <c r="H8" s="10" t="inlineStr">
        <is>
          <t>Havalı</t>
        </is>
      </c>
      <c r="I8" s="9" t="inlineStr"/>
      <c r="J8" s="10" t="inlineStr">
        <is>
          <t>Hayır</t>
        </is>
      </c>
      <c r="K8" s="10" t="inlineStr">
        <is>
          <t>Salon</t>
        </is>
      </c>
      <c r="L8" s="10" t="inlineStr">
        <is>
          <t>Hayır</t>
        </is>
      </c>
    </row>
    <row r="9">
      <c r="A9" s="9" t="inlineStr">
        <is>
          <t>hg-antoryum-cicegi-topragi</t>
        </is>
      </c>
      <c r="B9" s="9" t="inlineStr">
        <is>
          <t>HG Antoryum Çiçeği Toprağı</t>
        </is>
      </c>
      <c r="C9" s="9" t="inlineStr">
        <is>
          <t>Toprak</t>
        </is>
      </c>
      <c r="D9" s="10" t="n">
        <v>2</v>
      </c>
      <c r="E9" s="10" t="n">
        <v>3</v>
      </c>
      <c r="F9" s="10" t="n">
        <v>2</v>
      </c>
      <c r="G9" s="10" t="n">
        <v>2</v>
      </c>
      <c r="H9" s="10" t="inlineStr">
        <is>
          <t>Havalı</t>
        </is>
      </c>
      <c r="I9" s="9" t="inlineStr"/>
      <c r="J9" s="10" t="inlineStr">
        <is>
          <t>Hayır</t>
        </is>
      </c>
      <c r="K9" s="10" t="inlineStr">
        <is>
          <t>Salon</t>
        </is>
      </c>
      <c r="L9" s="10" t="inlineStr">
        <is>
          <t>Hayır</t>
        </is>
      </c>
    </row>
    <row r="10">
      <c r="A10" s="9" t="inlineStr">
        <is>
          <t>hg-dua-cicegi-saksi-topragi</t>
        </is>
      </c>
      <c r="B10" s="9" t="inlineStr">
        <is>
          <t>HG Dua Çiçeği Saksı Toprağı</t>
        </is>
      </c>
      <c r="C10" s="9" t="inlineStr">
        <is>
          <t>Toprak</t>
        </is>
      </c>
      <c r="D10" s="10" t="n">
        <v>2</v>
      </c>
      <c r="E10" s="10" t="n">
        <v>2</v>
      </c>
      <c r="F10" s="10" t="n">
        <v>3</v>
      </c>
      <c r="G10" s="10" t="n">
        <v>2</v>
      </c>
      <c r="H10" s="10" t="inlineStr">
        <is>
          <t>Havalı</t>
        </is>
      </c>
      <c r="I10" s="9" t="inlineStr"/>
      <c r="J10" s="10" t="inlineStr">
        <is>
          <t>Hayır</t>
        </is>
      </c>
      <c r="K10" s="10" t="inlineStr">
        <is>
          <t>Salon</t>
        </is>
      </c>
      <c r="L10" s="10" t="inlineStr">
        <is>
          <t>Hayır</t>
        </is>
      </c>
    </row>
    <row r="11">
      <c r="A11" s="9" t="inlineStr">
        <is>
          <t>hg-fil-kulagi-topragi</t>
        </is>
      </c>
      <c r="B11" s="9" t="inlineStr">
        <is>
          <t>HG Fil Kulağı Toprağı</t>
        </is>
      </c>
      <c r="C11" s="9" t="inlineStr">
        <is>
          <t>Toprak</t>
        </is>
      </c>
      <c r="D11" s="10" t="n">
        <v>2</v>
      </c>
      <c r="E11" s="10" t="n">
        <v>2</v>
      </c>
      <c r="F11" s="10" t="n">
        <v>3</v>
      </c>
      <c r="G11" s="10" t="n">
        <v>3</v>
      </c>
      <c r="H11" s="10" t="inlineStr">
        <is>
          <t>Havalı</t>
        </is>
      </c>
      <c r="I11" s="9" t="inlineStr"/>
      <c r="J11" s="10" t="inlineStr">
        <is>
          <t>Hayır</t>
        </is>
      </c>
      <c r="K11" s="10" t="inlineStr">
        <is>
          <t>Salon</t>
        </is>
      </c>
      <c r="L11" s="10" t="inlineStr">
        <is>
          <t>Hayır</t>
        </is>
      </c>
    </row>
    <row r="12">
      <c r="A12" s="9" t="inlineStr">
        <is>
          <t>areka-palmiyesi-topragi</t>
        </is>
      </c>
      <c r="B12" s="9" t="inlineStr">
        <is>
          <t>HG Areka Palmiyesi Toprağı</t>
        </is>
      </c>
      <c r="C12" s="9" t="inlineStr">
        <is>
          <t>Toprak</t>
        </is>
      </c>
      <c r="D12" s="10" t="n">
        <v>2</v>
      </c>
      <c r="E12" s="10" t="n">
        <v>2</v>
      </c>
      <c r="F12" s="10" t="n">
        <v>2</v>
      </c>
      <c r="G12" s="10" t="n">
        <v>2</v>
      </c>
      <c r="H12" s="10" t="inlineStr">
        <is>
          <t>Havalı</t>
        </is>
      </c>
      <c r="I12" s="9" t="inlineStr"/>
      <c r="J12" s="10" t="inlineStr">
        <is>
          <t>Hayır</t>
        </is>
      </c>
      <c r="K12" s="10" t="inlineStr">
        <is>
          <t>Salon</t>
        </is>
      </c>
      <c r="L12" s="10" t="inlineStr">
        <is>
          <t>Hayır</t>
        </is>
      </c>
    </row>
    <row r="13">
      <c r="A13" s="9" t="inlineStr">
        <is>
          <t>hg-seflera-schefflera-topragi</t>
        </is>
      </c>
      <c r="B13" s="9" t="inlineStr">
        <is>
          <t>HG Şeflera (Schefflera) Toprağı</t>
        </is>
      </c>
      <c r="C13" s="9" t="inlineStr">
        <is>
          <t>Toprak</t>
        </is>
      </c>
      <c r="D13" s="10" t="n">
        <v>2</v>
      </c>
      <c r="E13" s="10" t="n">
        <v>2</v>
      </c>
      <c r="F13" s="10" t="n">
        <v>2</v>
      </c>
      <c r="G13" s="10" t="n">
        <v>2</v>
      </c>
      <c r="H13" s="10" t="inlineStr">
        <is>
          <t>Dengeli</t>
        </is>
      </c>
      <c r="I13" s="9" t="inlineStr"/>
      <c r="J13" s="10" t="inlineStr">
        <is>
          <t>Hayır</t>
        </is>
      </c>
      <c r="K13" s="10" t="inlineStr">
        <is>
          <t>Salon</t>
        </is>
      </c>
      <c r="L13" s="10" t="inlineStr">
        <is>
          <t>Hayır</t>
        </is>
      </c>
    </row>
    <row r="14">
      <c r="A14" s="9" t="inlineStr">
        <is>
          <t>hg-cin-para-cicegi-pilea-saksi-topragi</t>
        </is>
      </c>
      <c r="B14" s="9" t="inlineStr">
        <is>
          <t>HG Çin Para Çiçeği (Pilea) Saksı Toprağı</t>
        </is>
      </c>
      <c r="C14" s="9" t="inlineStr">
        <is>
          <t>Toprak</t>
        </is>
      </c>
      <c r="D14" s="10" t="n">
        <v>2</v>
      </c>
      <c r="E14" s="10" t="n">
        <v>2</v>
      </c>
      <c r="F14" s="10" t="n">
        <v>2</v>
      </c>
      <c r="G14" s="10" t="n">
        <v>2</v>
      </c>
      <c r="H14" s="10" t="inlineStr">
        <is>
          <t>Havalı</t>
        </is>
      </c>
      <c r="I14" s="9" t="inlineStr"/>
      <c r="J14" s="10" t="inlineStr">
        <is>
          <t>Hayır</t>
        </is>
      </c>
      <c r="K14" s="10" t="inlineStr">
        <is>
          <t>Salon</t>
        </is>
      </c>
      <c r="L14" s="10" t="inlineStr">
        <is>
          <t>Hayır</t>
        </is>
      </c>
    </row>
    <row r="15">
      <c r="A15" s="9" t="inlineStr">
        <is>
          <t>yuka-yucca-topragi-ozel-karisim</t>
        </is>
      </c>
      <c r="B15" s="9" t="inlineStr">
        <is>
          <t>Yuka (Yucca) Toprağı Özel Karışım</t>
        </is>
      </c>
      <c r="C15" s="9" t="inlineStr">
        <is>
          <t>Toprak</t>
        </is>
      </c>
      <c r="D15" s="10" t="n">
        <v>3</v>
      </c>
      <c r="E15" s="10" t="n">
        <v>3</v>
      </c>
      <c r="F15" s="10" t="n">
        <v>1</v>
      </c>
      <c r="G15" s="10" t="n">
        <v>1</v>
      </c>
      <c r="H15" s="10" t="inlineStr">
        <is>
          <t>Kumlu</t>
        </is>
      </c>
      <c r="I15" s="9" t="inlineStr"/>
      <c r="J15" s="10" t="inlineStr">
        <is>
          <t>Hayır</t>
        </is>
      </c>
      <c r="K15" s="10" t="inlineStr">
        <is>
          <t>Salon</t>
        </is>
      </c>
      <c r="L15" s="10" t="inlineStr">
        <is>
          <t>Hayır</t>
        </is>
      </c>
    </row>
    <row r="16">
      <c r="A16" s="9" t="inlineStr">
        <is>
          <t>hg-aloe-vera-topragi</t>
        </is>
      </c>
      <c r="B16" s="9" t="inlineStr">
        <is>
          <t>HG Aloe Vera Toprağı</t>
        </is>
      </c>
      <c r="C16" s="9" t="inlineStr">
        <is>
          <t>Toprak</t>
        </is>
      </c>
      <c r="D16" s="10" t="n">
        <v>3</v>
      </c>
      <c r="E16" s="10" t="n">
        <v>3</v>
      </c>
      <c r="F16" s="10" t="n">
        <v>1</v>
      </c>
      <c r="G16" s="10" t="n">
        <v>1</v>
      </c>
      <c r="H16" s="10" t="inlineStr">
        <is>
          <t>Kumlu</t>
        </is>
      </c>
      <c r="I16" s="9" t="inlineStr"/>
      <c r="J16" s="10" t="inlineStr">
        <is>
          <t>Hayır</t>
        </is>
      </c>
      <c r="K16" s="10" t="inlineStr">
        <is>
          <t>Sukulent</t>
        </is>
      </c>
      <c r="L16" s="10" t="inlineStr">
        <is>
          <t>Hayır</t>
        </is>
      </c>
    </row>
    <row r="17">
      <c r="A17" s="9" t="inlineStr">
        <is>
          <t>kaktus-ve-sukulent-topragi</t>
        </is>
      </c>
      <c r="B17" s="9" t="inlineStr">
        <is>
          <t>HG Kaktüs ve Sukulent Toprağı</t>
        </is>
      </c>
      <c r="C17" s="9" t="inlineStr">
        <is>
          <t>Toprak</t>
        </is>
      </c>
      <c r="D17" s="10" t="n">
        <v>3</v>
      </c>
      <c r="E17" s="10" t="n">
        <v>3</v>
      </c>
      <c r="F17" s="10" t="n">
        <v>1</v>
      </c>
      <c r="G17" s="10" t="n">
        <v>1</v>
      </c>
      <c r="H17" s="10" t="inlineStr">
        <is>
          <t>Kumlu</t>
        </is>
      </c>
      <c r="I17" s="9" t="inlineStr"/>
      <c r="J17" s="10" t="inlineStr">
        <is>
          <t>Hayır</t>
        </is>
      </c>
      <c r="K17" s="10" t="inlineStr">
        <is>
          <t>Sukulent</t>
        </is>
      </c>
      <c r="L17" s="10" t="inlineStr">
        <is>
          <t>Evet</t>
        </is>
      </c>
    </row>
    <row r="18">
      <c r="A18" s="9" t="inlineStr">
        <is>
          <t>gartengold-orkide-topragi</t>
        </is>
      </c>
      <c r="B18" s="9" t="inlineStr">
        <is>
          <t>Gartengold Orkide Toprağı 2.5 Lt</t>
        </is>
      </c>
      <c r="C18" s="9" t="inlineStr">
        <is>
          <t>Toprak</t>
        </is>
      </c>
      <c r="D18" s="10" t="n">
        <v>2</v>
      </c>
      <c r="E18" s="10" t="n">
        <v>3</v>
      </c>
      <c r="F18" s="10" t="n">
        <v>1</v>
      </c>
      <c r="G18" s="10" t="n">
        <v>1</v>
      </c>
      <c r="H18" s="10" t="inlineStr">
        <is>
          <t>Havalı</t>
        </is>
      </c>
      <c r="I18" s="9" t="inlineStr">
        <is>
          <t>Kabuk bazlı</t>
        </is>
      </c>
      <c r="J18" s="10" t="inlineStr">
        <is>
          <t>Hayır</t>
        </is>
      </c>
      <c r="K18" s="10" t="inlineStr">
        <is>
          <t>Salon</t>
        </is>
      </c>
      <c r="L18" s="10" t="inlineStr">
        <is>
          <t>Hayır</t>
        </is>
      </c>
    </row>
    <row r="19">
      <c r="A19" s="9" t="inlineStr">
        <is>
          <t>hg-menekse-topragi</t>
        </is>
      </c>
      <c r="B19" s="9" t="inlineStr">
        <is>
          <t>HG Menekşe Toprağı</t>
        </is>
      </c>
      <c r="C19" s="9" t="inlineStr">
        <is>
          <t>Toprak</t>
        </is>
      </c>
      <c r="D19" s="10" t="n">
        <v>2</v>
      </c>
      <c r="E19" s="10" t="n">
        <v>2</v>
      </c>
      <c r="F19" s="10" t="n">
        <v>2</v>
      </c>
      <c r="G19" s="10" t="n">
        <v>2</v>
      </c>
      <c r="H19" s="10" t="inlineStr">
        <is>
          <t>Havalı</t>
        </is>
      </c>
      <c r="I19" s="9" t="inlineStr"/>
      <c r="J19" s="10" t="inlineStr">
        <is>
          <t>Hayır</t>
        </is>
      </c>
      <c r="K19" s="10" t="inlineStr">
        <is>
          <t>Salon</t>
        </is>
      </c>
      <c r="L19" s="10" t="inlineStr">
        <is>
          <t>Hayır</t>
        </is>
      </c>
    </row>
    <row r="20">
      <c r="A20" s="9" t="inlineStr">
        <is>
          <t>hg-begonvil-topragi</t>
        </is>
      </c>
      <c r="B20" s="9" t="inlineStr">
        <is>
          <t>HG Begonvil Toprağı</t>
        </is>
      </c>
      <c r="C20" s="9" t="inlineStr">
        <is>
          <t>Toprak</t>
        </is>
      </c>
      <c r="D20" s="10" t="n">
        <v>2</v>
      </c>
      <c r="E20" s="10" t="n">
        <v>3</v>
      </c>
      <c r="F20" s="10" t="n">
        <v>1</v>
      </c>
      <c r="G20" s="10" t="n">
        <v>2</v>
      </c>
      <c r="H20" s="10" t="inlineStr">
        <is>
          <t>Kumlu</t>
        </is>
      </c>
      <c r="I20" s="9" t="inlineStr"/>
      <c r="J20" s="10" t="inlineStr">
        <is>
          <t>Hayır</t>
        </is>
      </c>
      <c r="K20" s="10" t="inlineStr">
        <is>
          <t>Çiçek</t>
        </is>
      </c>
      <c r="L20" s="10" t="inlineStr">
        <is>
          <t>Hayır</t>
        </is>
      </c>
    </row>
    <row r="21">
      <c r="A21" s="9" t="inlineStr">
        <is>
          <t>sardunya-pelargonium-cicegi-topragi</t>
        </is>
      </c>
      <c r="B21" s="9" t="inlineStr">
        <is>
          <t>HG Sardunya (Pelargonium) Çiçeği Toprağı</t>
        </is>
      </c>
      <c r="C21" s="9" t="inlineStr">
        <is>
          <t>Toprak</t>
        </is>
      </c>
      <c r="D21" s="10" t="n">
        <v>3</v>
      </c>
      <c r="E21" s="10" t="n">
        <v>3</v>
      </c>
      <c r="F21" s="10" t="n">
        <v>1</v>
      </c>
      <c r="G21" s="10" t="n">
        <v>2</v>
      </c>
      <c r="H21" s="10" t="inlineStr">
        <is>
          <t>Kumlu</t>
        </is>
      </c>
      <c r="I21" s="9" t="inlineStr"/>
      <c r="J21" s="10" t="inlineStr">
        <is>
          <t>Hayır</t>
        </is>
      </c>
      <c r="K21" s="10" t="inlineStr">
        <is>
          <t>Çiçek</t>
        </is>
      </c>
      <c r="L21" s="10" t="inlineStr">
        <is>
          <t>Hayır</t>
        </is>
      </c>
    </row>
    <row r="22">
      <c r="A22" s="9" t="inlineStr">
        <is>
          <t>hg-starlice-cennet-kusu-topragi</t>
        </is>
      </c>
      <c r="B22" s="9" t="inlineStr">
        <is>
          <t>HG Starliçe &amp; Cennet Kuşu Toprağı</t>
        </is>
      </c>
      <c r="C22" s="9" t="inlineStr">
        <is>
          <t>Toprak</t>
        </is>
      </c>
      <c r="D22" s="10" t="n">
        <v>2</v>
      </c>
      <c r="E22" s="10" t="n">
        <v>2</v>
      </c>
      <c r="F22" s="10" t="n">
        <v>2</v>
      </c>
      <c r="G22" s="10" t="n">
        <v>3</v>
      </c>
      <c r="H22" s="10" t="inlineStr">
        <is>
          <t>Dengeli</t>
        </is>
      </c>
      <c r="I22" s="9" t="inlineStr"/>
      <c r="J22" s="10" t="inlineStr">
        <is>
          <t>Hayır</t>
        </is>
      </c>
      <c r="K22" s="10" t="inlineStr">
        <is>
          <t>Salon</t>
        </is>
      </c>
      <c r="L22" s="10" t="inlineStr">
        <is>
          <t>Hayır</t>
        </is>
      </c>
    </row>
    <row r="23">
      <c r="A23" s="9" t="inlineStr">
        <is>
          <t>hg-bonsai-saksi-topragi</t>
        </is>
      </c>
      <c r="B23" s="9" t="inlineStr">
        <is>
          <t>HG Bonsai Saksı Toprağı</t>
        </is>
      </c>
      <c r="C23" s="9" t="inlineStr">
        <is>
          <t>Toprak</t>
        </is>
      </c>
      <c r="D23" s="10" t="n">
        <v>2</v>
      </c>
      <c r="E23" s="10" t="n">
        <v>3</v>
      </c>
      <c r="F23" s="10" t="n">
        <v>1</v>
      </c>
      <c r="G23" s="10" t="n">
        <v>1</v>
      </c>
      <c r="H23" s="10" t="inlineStr">
        <is>
          <t>Kumlu</t>
        </is>
      </c>
      <c r="I23" s="9" t="inlineStr"/>
      <c r="J23" s="10" t="inlineStr">
        <is>
          <t>Hayır</t>
        </is>
      </c>
      <c r="K23" s="10" t="inlineStr">
        <is>
          <t>Salon</t>
        </is>
      </c>
      <c r="L23" s="10" t="inlineStr">
        <is>
          <t>Hayır</t>
        </is>
      </c>
    </row>
    <row r="24">
      <c r="A24" s="9" t="inlineStr">
        <is>
          <t>hg-para-agaci-saksi-topragi</t>
        </is>
      </c>
      <c r="B24" s="9" t="inlineStr">
        <is>
          <t>HG Para Ağacı Saksı Toprağı</t>
        </is>
      </c>
      <c r="C24" s="9" t="inlineStr">
        <is>
          <t>Toprak</t>
        </is>
      </c>
      <c r="D24" s="10" t="n">
        <v>2</v>
      </c>
      <c r="E24" s="10" t="n">
        <v>3</v>
      </c>
      <c r="F24" s="10" t="n">
        <v>1</v>
      </c>
      <c r="G24" s="10" t="n">
        <v>2</v>
      </c>
      <c r="H24" s="10" t="inlineStr">
        <is>
          <t>Kumlu</t>
        </is>
      </c>
      <c r="I24" s="9" t="inlineStr">
        <is>
          <t>Para ağacı = Pachira mı Crassula mı? Kontrol edin</t>
        </is>
      </c>
      <c r="J24" s="10" t="inlineStr">
        <is>
          <t>Hayır</t>
        </is>
      </c>
      <c r="K24" s="10" t="inlineStr">
        <is>
          <t>Salon</t>
        </is>
      </c>
      <c r="L24" s="10" t="inlineStr">
        <is>
          <t>Hayır</t>
        </is>
      </c>
    </row>
    <row r="25">
      <c r="A25" s="9" t="inlineStr">
        <is>
          <t>salon-bitkilerine-ozel-toprak-karisimi</t>
        </is>
      </c>
      <c r="B25" s="9" t="inlineStr">
        <is>
          <t>HG Salon Bitkilerine Özel Toprak Karışımı</t>
        </is>
      </c>
      <c r="C25" s="9" t="inlineStr">
        <is>
          <t>Toprak</t>
        </is>
      </c>
      <c r="D25" s="10" t="n">
        <v>2</v>
      </c>
      <c r="E25" s="10" t="n">
        <v>2</v>
      </c>
      <c r="F25" s="10" t="n">
        <v>2</v>
      </c>
      <c r="G25" s="10" t="n">
        <v>2</v>
      </c>
      <c r="H25" s="10" t="inlineStr">
        <is>
          <t>Dengeli</t>
        </is>
      </c>
      <c r="I25" s="9" t="inlineStr"/>
      <c r="J25" s="10" t="inlineStr">
        <is>
          <t>Hayır</t>
        </is>
      </c>
      <c r="K25" s="10" t="inlineStr">
        <is>
          <t>Salon</t>
        </is>
      </c>
      <c r="L25" s="10" t="inlineStr">
        <is>
          <t>Evet</t>
        </is>
      </c>
    </row>
    <row r="26">
      <c r="A26" s="9" t="inlineStr">
        <is>
          <t>hg-cicek-topragi</t>
        </is>
      </c>
      <c r="B26" s="9" t="inlineStr">
        <is>
          <t>HG Çiçek Toprağı</t>
        </is>
      </c>
      <c r="C26" s="9" t="inlineStr">
        <is>
          <t>Toprak</t>
        </is>
      </c>
      <c r="D26" s="10" t="n">
        <v>2</v>
      </c>
      <c r="E26" s="10" t="n">
        <v>2</v>
      </c>
      <c r="F26" s="10" t="n">
        <v>2</v>
      </c>
      <c r="G26" s="10" t="n">
        <v>3</v>
      </c>
      <c r="H26" s="10" t="inlineStr">
        <is>
          <t>Dengeli</t>
        </is>
      </c>
      <c r="I26" s="9" t="inlineStr"/>
      <c r="J26" s="10" t="inlineStr">
        <is>
          <t>Hayır</t>
        </is>
      </c>
      <c r="K26" s="10" t="inlineStr">
        <is>
          <t>Çiçek</t>
        </is>
      </c>
      <c r="L26" s="10" t="inlineStr">
        <is>
          <t>Evet</t>
        </is>
      </c>
    </row>
    <row r="27">
      <c r="A27" s="9" t="inlineStr">
        <is>
          <t>hg-gul-topragi-gullere-ozel-toprak-karisimi</t>
        </is>
      </c>
      <c r="B27" s="9" t="inlineStr">
        <is>
          <t>HG Gül Toprağı</t>
        </is>
      </c>
      <c r="C27" s="9" t="inlineStr">
        <is>
          <t>Toprak</t>
        </is>
      </c>
      <c r="D27" s="10" t="n">
        <v>3</v>
      </c>
      <c r="E27" s="10" t="n">
        <v>2</v>
      </c>
      <c r="F27" s="10" t="n">
        <v>2</v>
      </c>
      <c r="G27" s="10" t="n">
        <v>3</v>
      </c>
      <c r="H27" s="10" t="inlineStr">
        <is>
          <t>Dengeli</t>
        </is>
      </c>
      <c r="I27" s="9" t="inlineStr"/>
      <c r="J27" s="10" t="inlineStr">
        <is>
          <t>Hayır</t>
        </is>
      </c>
      <c r="K27" s="10" t="inlineStr">
        <is>
          <t>Çiçek</t>
        </is>
      </c>
      <c r="L27" s="10" t="inlineStr">
        <is>
          <t>Hayır</t>
        </is>
      </c>
    </row>
    <row r="28">
      <c r="A28" s="9" t="inlineStr">
        <is>
          <t>ortanca-bogurtlen-acelya-topragi</t>
        </is>
      </c>
      <c r="B28" s="9" t="inlineStr">
        <is>
          <t>HG Asit Seven Bitkiler İçin Özel Karışım Organik Torf</t>
        </is>
      </c>
      <c r="C28" s="9" t="inlineStr">
        <is>
          <t>Toprak</t>
        </is>
      </c>
      <c r="D28" s="10" t="n">
        <v>1</v>
      </c>
      <c r="E28" s="10" t="n">
        <v>2</v>
      </c>
      <c r="F28" s="10" t="n">
        <v>2</v>
      </c>
      <c r="G28" s="10" t="n">
        <v>2</v>
      </c>
      <c r="H28" s="10" t="inlineStr">
        <is>
          <t>Dengeli</t>
        </is>
      </c>
      <c r="I28" s="9" t="inlineStr">
        <is>
          <t>Ortanca, böğürtlen, açelya</t>
        </is>
      </c>
      <c r="J28" s="10" t="inlineStr">
        <is>
          <t>Hayır</t>
        </is>
      </c>
      <c r="K28" s="10" t="inlineStr">
        <is>
          <t>Asit seven</t>
        </is>
      </c>
      <c r="L28" s="10" t="inlineStr">
        <is>
          <t>Evet</t>
        </is>
      </c>
    </row>
    <row r="29">
      <c r="A29" s="9" t="inlineStr">
        <is>
          <t>yaban-mersini-ve-ortanca-topragi</t>
        </is>
      </c>
      <c r="B29" s="9" t="inlineStr">
        <is>
          <t>Yaban Mersini ve Ortanca Toprağı</t>
        </is>
      </c>
      <c r="C29" s="9" t="inlineStr">
        <is>
          <t>Toprak</t>
        </is>
      </c>
      <c r="D29" s="10" t="n">
        <v>1</v>
      </c>
      <c r="E29" s="10" t="n">
        <v>2</v>
      </c>
      <c r="F29" s="10" t="n">
        <v>2</v>
      </c>
      <c r="G29" s="10" t="n">
        <v>2</v>
      </c>
      <c r="H29" s="10" t="inlineStr">
        <is>
          <t>Dengeli</t>
        </is>
      </c>
      <c r="I29" s="9" t="inlineStr"/>
      <c r="J29" s="10" t="inlineStr">
        <is>
          <t>Hayır</t>
        </is>
      </c>
      <c r="K29" s="10" t="inlineStr">
        <is>
          <t>Asit seven</t>
        </is>
      </c>
      <c r="L29" s="10" t="inlineStr">
        <is>
          <t>Hayır</t>
        </is>
      </c>
    </row>
    <row r="30">
      <c r="A30" s="9" t="inlineStr">
        <is>
          <t>aronya-bitkisi-topragi-ozel-asidik-torf-karisimi</t>
        </is>
      </c>
      <c r="B30" s="9" t="inlineStr">
        <is>
          <t>HG Aronya Toprağı</t>
        </is>
      </c>
      <c r="C30" s="9" t="inlineStr">
        <is>
          <t>Toprak</t>
        </is>
      </c>
      <c r="D30" s="10" t="n">
        <v>1</v>
      </c>
      <c r="E30" s="10" t="n">
        <v>2</v>
      </c>
      <c r="F30" s="10" t="n">
        <v>2</v>
      </c>
      <c r="G30" s="10" t="n">
        <v>2</v>
      </c>
      <c r="H30" s="10" t="inlineStr">
        <is>
          <t>Dengeli</t>
        </is>
      </c>
      <c r="I30" s="9" t="inlineStr"/>
      <c r="J30" s="10" t="inlineStr">
        <is>
          <t>Hayır</t>
        </is>
      </c>
      <c r="K30" s="10" t="inlineStr">
        <is>
          <t>Asit seven</t>
        </is>
      </c>
      <c r="L30" s="10" t="inlineStr">
        <is>
          <t>Hayır</t>
        </is>
      </c>
    </row>
    <row r="31">
      <c r="A31" s="9" t="inlineStr">
        <is>
          <t>limon-agaci-topragi-ozel-organik-karisim</t>
        </is>
      </c>
      <c r="B31" s="9" t="inlineStr">
        <is>
          <t>Limon Ağacı Toprağı - Özel Organik Karışım</t>
        </is>
      </c>
      <c r="C31" s="9" t="inlineStr">
        <is>
          <t>Toprak</t>
        </is>
      </c>
      <c r="D31" s="10" t="n">
        <v>2</v>
      </c>
      <c r="E31" s="10" t="n">
        <v>3</v>
      </c>
      <c r="F31" s="10" t="n">
        <v>2</v>
      </c>
      <c r="G31" s="10" t="n">
        <v>3</v>
      </c>
      <c r="H31" s="10" t="inlineStr">
        <is>
          <t>Dengeli</t>
        </is>
      </c>
      <c r="I31" s="9" t="inlineStr"/>
      <c r="J31" s="10" t="inlineStr">
        <is>
          <t>Hayır</t>
        </is>
      </c>
      <c r="K31" s="10" t="inlineStr">
        <is>
          <t>Meyve</t>
        </is>
      </c>
      <c r="L31" s="10" t="inlineStr">
        <is>
          <t>Hayır</t>
        </is>
      </c>
    </row>
    <row r="32">
      <c r="A32" s="9" t="inlineStr">
        <is>
          <t>hg-narenciye-topragi</t>
        </is>
      </c>
      <c r="B32" s="9" t="inlineStr">
        <is>
          <t>HG Narenciye Toprağı</t>
        </is>
      </c>
      <c r="C32" s="9" t="inlineStr">
        <is>
          <t>Toprak</t>
        </is>
      </c>
      <c r="D32" s="10" t="n">
        <v>2</v>
      </c>
      <c r="E32" s="10" t="n">
        <v>3</v>
      </c>
      <c r="F32" s="10" t="n">
        <v>2</v>
      </c>
      <c r="G32" s="10" t="n">
        <v>3</v>
      </c>
      <c r="H32" s="10" t="inlineStr">
        <is>
          <t>Dengeli</t>
        </is>
      </c>
      <c r="I32" s="9" t="inlineStr"/>
      <c r="J32" s="10" t="inlineStr">
        <is>
          <t>Hayır</t>
        </is>
      </c>
      <c r="K32" s="10" t="inlineStr">
        <is>
          <t>Meyve</t>
        </is>
      </c>
      <c r="L32" s="10" t="inlineStr">
        <is>
          <t>Hayır</t>
        </is>
      </c>
    </row>
    <row r="33">
      <c r="A33" s="9" t="inlineStr">
        <is>
          <t>hg-kumkuat-kamkat-topragi-ozel-karisim</t>
        </is>
      </c>
      <c r="B33" s="9" t="inlineStr">
        <is>
          <t>HG Kumkuat (Kamkat) Toprağı</t>
        </is>
      </c>
      <c r="C33" s="9" t="inlineStr">
        <is>
          <t>Toprak</t>
        </is>
      </c>
      <c r="D33" s="10" t="n">
        <v>2</v>
      </c>
      <c r="E33" s="10" t="n">
        <v>3</v>
      </c>
      <c r="F33" s="10" t="n">
        <v>2</v>
      </c>
      <c r="G33" s="10" t="n">
        <v>3</v>
      </c>
      <c r="H33" s="10" t="inlineStr">
        <is>
          <t>Dengeli</t>
        </is>
      </c>
      <c r="I33" s="9" t="inlineStr"/>
      <c r="J33" s="10" t="inlineStr">
        <is>
          <t>Hayır</t>
        </is>
      </c>
      <c r="K33" s="10" t="inlineStr">
        <is>
          <t>Meyve</t>
        </is>
      </c>
      <c r="L33" s="10" t="inlineStr">
        <is>
          <t>Hayır</t>
        </is>
      </c>
    </row>
    <row r="34">
      <c r="A34" s="9" t="inlineStr">
        <is>
          <t>hg-avokado-topragi-ozel-karisim</t>
        </is>
      </c>
      <c r="B34" s="9" t="inlineStr">
        <is>
          <t>HG Avokado Toprağı</t>
        </is>
      </c>
      <c r="C34" s="9" t="inlineStr">
        <is>
          <t>Toprak</t>
        </is>
      </c>
      <c r="D34" s="10" t="n">
        <v>2</v>
      </c>
      <c r="E34" s="10" t="n">
        <v>3</v>
      </c>
      <c r="F34" s="10" t="n">
        <v>2</v>
      </c>
      <c r="G34" s="10" t="n">
        <v>2</v>
      </c>
      <c r="H34" s="10" t="inlineStr">
        <is>
          <t>Havalı</t>
        </is>
      </c>
      <c r="I34" s="9" t="inlineStr"/>
      <c r="J34" s="10" t="inlineStr">
        <is>
          <t>Hayır</t>
        </is>
      </c>
      <c r="K34" s="10" t="inlineStr">
        <is>
          <t>Meyve</t>
        </is>
      </c>
      <c r="L34" s="10" t="inlineStr">
        <is>
          <t>Hayır</t>
        </is>
      </c>
    </row>
    <row r="35">
      <c r="A35" s="9" t="inlineStr">
        <is>
          <t>trabzon-hurmasi-cennet-hurmasi-topragi</t>
        </is>
      </c>
      <c r="B35" s="9" t="inlineStr">
        <is>
          <t>HG Trabzon Hurması Toprağı</t>
        </is>
      </c>
      <c r="C35" s="9" t="inlineStr">
        <is>
          <t>Toprak</t>
        </is>
      </c>
      <c r="D35" s="10" t="n">
        <v>3</v>
      </c>
      <c r="E35" s="10" t="n">
        <v>2</v>
      </c>
      <c r="F35" s="10" t="n">
        <v>2</v>
      </c>
      <c r="G35" s="10" t="n">
        <v>2</v>
      </c>
      <c r="H35" s="10" t="inlineStr">
        <is>
          <t>Dengeli</t>
        </is>
      </c>
      <c r="I35" s="9" t="inlineStr"/>
      <c r="J35" s="10" t="inlineStr">
        <is>
          <t>Hayır</t>
        </is>
      </c>
      <c r="K35" s="10" t="inlineStr">
        <is>
          <t>Meyve</t>
        </is>
      </c>
      <c r="L35" s="10" t="inlineStr">
        <is>
          <t>Hayır</t>
        </is>
      </c>
    </row>
    <row r="36">
      <c r="A36" s="9" t="inlineStr">
        <is>
          <t>hg-cilek-topragi</t>
        </is>
      </c>
      <c r="B36" s="9" t="inlineStr">
        <is>
          <t>HG Çilek Toprağı Özel Karışım</t>
        </is>
      </c>
      <c r="C36" s="9" t="inlineStr">
        <is>
          <t>Toprak</t>
        </is>
      </c>
      <c r="D36" s="10" t="n">
        <v>2</v>
      </c>
      <c r="E36" s="10" t="n">
        <v>2</v>
      </c>
      <c r="F36" s="10" t="n">
        <v>2</v>
      </c>
      <c r="G36" s="10" t="n">
        <v>3</v>
      </c>
      <c r="H36" s="10" t="inlineStr">
        <is>
          <t>Dengeli</t>
        </is>
      </c>
      <c r="I36" s="9" t="inlineStr"/>
      <c r="J36" s="10" t="inlineStr">
        <is>
          <t>Hayır</t>
        </is>
      </c>
      <c r="K36" s="10" t="inlineStr">
        <is>
          <t>Meyve</t>
        </is>
      </c>
      <c r="L36" s="10" t="inlineStr">
        <is>
          <t>Hayır</t>
        </is>
      </c>
    </row>
    <row r="37">
      <c r="A37" s="9" t="inlineStr">
        <is>
          <t>solucan-gubreli-sebze-topragi</t>
        </is>
      </c>
      <c r="B37" s="9" t="inlineStr">
        <is>
          <t>HG Organik Sebze Yetiştirme Toprağı</t>
        </is>
      </c>
      <c r="C37" s="9" t="inlineStr">
        <is>
          <t>Toprak</t>
        </is>
      </c>
      <c r="D37" s="10" t="n">
        <v>3</v>
      </c>
      <c r="E37" s="10" t="n">
        <v>2</v>
      </c>
      <c r="F37" s="10" t="n">
        <v>2</v>
      </c>
      <c r="G37" s="10" t="n">
        <v>3</v>
      </c>
      <c r="H37" s="10" t="inlineStr">
        <is>
          <t>Dengeli</t>
        </is>
      </c>
      <c r="I37" s="9" t="inlineStr"/>
      <c r="J37" s="10" t="inlineStr">
        <is>
          <t>Hayır</t>
        </is>
      </c>
      <c r="K37" s="10" t="inlineStr">
        <is>
          <t>Sebze</t>
        </is>
      </c>
      <c r="L37" s="10" t="inlineStr">
        <is>
          <t>Evet</t>
        </is>
      </c>
    </row>
    <row r="38">
      <c r="A38" s="9" t="inlineStr">
        <is>
          <t>hg-bol-verimli-sebze-topragi</t>
        </is>
      </c>
      <c r="B38" s="9" t="inlineStr">
        <is>
          <t>HG Premium Sebze Yetiştirme Toprağı</t>
        </is>
      </c>
      <c r="C38" s="9" t="inlineStr">
        <is>
          <t>Toprak</t>
        </is>
      </c>
      <c r="D38" s="10" t="n">
        <v>3</v>
      </c>
      <c r="E38" s="10" t="n">
        <v>2</v>
      </c>
      <c r="F38" s="10" t="n">
        <v>2</v>
      </c>
      <c r="G38" s="10" t="n">
        <v>3</v>
      </c>
      <c r="H38" s="10" t="inlineStr">
        <is>
          <t>Dengeli</t>
        </is>
      </c>
      <c r="I38" s="9" t="inlineStr"/>
      <c r="J38" s="10" t="inlineStr">
        <is>
          <t>Hayır</t>
        </is>
      </c>
      <c r="K38" s="10" t="inlineStr">
        <is>
          <t>Sebze</t>
        </is>
      </c>
      <c r="L38" s="10" t="inlineStr">
        <is>
          <t>Evet</t>
        </is>
      </c>
    </row>
    <row r="39">
      <c r="A39" s="9" t="inlineStr">
        <is>
          <t>hg-aromatik-bitkiler-icin-saksi-topragi</t>
        </is>
      </c>
      <c r="B39" s="9" t="inlineStr">
        <is>
          <t>HG Aromatik Bitkiler İçin Saksı Toprağı</t>
        </is>
      </c>
      <c r="C39" s="9" t="inlineStr">
        <is>
          <t>Toprak</t>
        </is>
      </c>
      <c r="D39" s="10" t="n">
        <v>3</v>
      </c>
      <c r="E39" s="10" t="n">
        <v>3</v>
      </c>
      <c r="F39" s="10" t="n">
        <v>1</v>
      </c>
      <c r="G39" s="10" t="n">
        <v>2</v>
      </c>
      <c r="H39" s="10" t="inlineStr">
        <is>
          <t>Kumlu</t>
        </is>
      </c>
      <c r="I39" s="9" t="inlineStr"/>
      <c r="J39" s="10" t="inlineStr">
        <is>
          <t>Hayır</t>
        </is>
      </c>
      <c r="K39" s="10" t="inlineStr">
        <is>
          <t>Aromatik</t>
        </is>
      </c>
      <c r="L39" s="10" t="inlineStr">
        <is>
          <t>Hayır</t>
        </is>
      </c>
    </row>
    <row r="40">
      <c r="A40" s="9" t="inlineStr">
        <is>
          <t>hg-fide-topragi</t>
        </is>
      </c>
      <c r="B40" s="9" t="inlineStr">
        <is>
          <t>Fide Toprağı</t>
        </is>
      </c>
      <c r="C40" s="9" t="inlineStr">
        <is>
          <t>Toprak</t>
        </is>
      </c>
      <c r="D40" s="10" t="n">
        <v>2</v>
      </c>
      <c r="E40" s="10" t="n">
        <v>2</v>
      </c>
      <c r="F40" s="10" t="n">
        <v>2</v>
      </c>
      <c r="G40" s="10" t="n">
        <v>1</v>
      </c>
      <c r="H40" s="10" t="inlineStr">
        <is>
          <t>Dengeli</t>
        </is>
      </c>
      <c r="I40" s="9" t="inlineStr">
        <is>
          <t>İnce yapılı, çimlendirme</t>
        </is>
      </c>
      <c r="J40" s="10" t="inlineStr">
        <is>
          <t>Hayır</t>
        </is>
      </c>
      <c r="K40" s="10" t="inlineStr">
        <is>
          <t>Sebze</t>
        </is>
      </c>
      <c r="L40" s="10" t="inlineStr">
        <is>
          <t>Hayır</t>
        </is>
      </c>
    </row>
    <row r="41">
      <c r="A41" s="9" t="inlineStr">
        <is>
          <t>hg-premium-fide-topragi</t>
        </is>
      </c>
      <c r="B41" s="9" t="inlineStr">
        <is>
          <t>Premium Fide Toprağı</t>
        </is>
      </c>
      <c r="C41" s="9" t="inlineStr">
        <is>
          <t>Toprak</t>
        </is>
      </c>
      <c r="D41" s="10" t="n">
        <v>2</v>
      </c>
      <c r="E41" s="10" t="n">
        <v>2</v>
      </c>
      <c r="F41" s="10" t="n">
        <v>2</v>
      </c>
      <c r="G41" s="10" t="n">
        <v>1</v>
      </c>
      <c r="H41" s="10" t="inlineStr">
        <is>
          <t>Dengeli</t>
        </is>
      </c>
      <c r="I41" s="9" t="inlineStr"/>
      <c r="J41" s="10" t="inlineStr">
        <is>
          <t>Hayır</t>
        </is>
      </c>
      <c r="K41" s="10" t="inlineStr">
        <is>
          <t>Sebze</t>
        </is>
      </c>
      <c r="L41" s="10" t="inlineStr">
        <is>
          <t>Hayır</t>
        </is>
      </c>
    </row>
    <row r="42">
      <c r="A42" s="9" t="inlineStr">
        <is>
          <t>fide-sasirtma-topragi</t>
        </is>
      </c>
      <c r="B42" s="9" t="inlineStr">
        <is>
          <t>Profesyonel Fide Şaşırtma Toprağı</t>
        </is>
      </c>
      <c r="C42" s="9" t="inlineStr">
        <is>
          <t>Toprak</t>
        </is>
      </c>
      <c r="D42" s="10" t="n">
        <v>2</v>
      </c>
      <c r="E42" s="10" t="n">
        <v>2</v>
      </c>
      <c r="F42" s="10" t="n">
        <v>2</v>
      </c>
      <c r="G42" s="10" t="n">
        <v>2</v>
      </c>
      <c r="H42" s="10" t="inlineStr">
        <is>
          <t>Dengeli</t>
        </is>
      </c>
      <c r="I42" s="9" t="inlineStr"/>
      <c r="J42" s="10" t="inlineStr">
        <is>
          <t>Hayır</t>
        </is>
      </c>
      <c r="K42" s="10" t="inlineStr">
        <is>
          <t>Sebze</t>
        </is>
      </c>
      <c r="L42" s="10" t="inlineStr">
        <is>
          <t>Hayır</t>
        </is>
      </c>
    </row>
    <row r="43">
      <c r="A43" s="9" t="inlineStr">
        <is>
          <t>lotus-nilufer-cicegi-topragi</t>
        </is>
      </c>
      <c r="B43" s="9" t="inlineStr">
        <is>
          <t>HG Lotus Nilüfer Çiçeği Toprağı</t>
        </is>
      </c>
      <c r="C43" s="9" t="inlineStr">
        <is>
          <t>Toprak</t>
        </is>
      </c>
      <c r="D43" s="10" t="n">
        <v>3</v>
      </c>
      <c r="E43" s="10" t="n">
        <v>1</v>
      </c>
      <c r="F43" s="10" t="n">
        <v>3</v>
      </c>
      <c r="G43" s="10" t="n">
        <v>3</v>
      </c>
      <c r="H43" s="10" t="inlineStr">
        <is>
          <t>Dengeli</t>
        </is>
      </c>
      <c r="I43" s="9" t="inlineStr">
        <is>
          <t>Su bitkisi; sadece nilüfer/lotus için</t>
        </is>
      </c>
      <c r="J43" s="10" t="inlineStr">
        <is>
          <t>Evet</t>
        </is>
      </c>
      <c r="K43" s="10" t="inlineStr"/>
      <c r="L43" s="10" t="inlineStr">
        <is>
          <t>Hayır</t>
        </is>
      </c>
    </row>
    <row r="44">
      <c r="A44" s="9" t="inlineStr">
        <is>
          <t>cim-kapama-topragi-leonarditli-formul</t>
        </is>
      </c>
      <c r="B44" s="9" t="inlineStr">
        <is>
          <t>Çim Kapama Toprağı (Leonarditli)</t>
        </is>
      </c>
      <c r="C44" s="9" t="inlineStr">
        <is>
          <t>Toprak</t>
        </is>
      </c>
      <c r="D44" s="10" t="n">
        <v>3</v>
      </c>
      <c r="E44" s="10" t="n">
        <v>2</v>
      </c>
      <c r="F44" s="10" t="n">
        <v>2</v>
      </c>
      <c r="G44" s="10" t="n">
        <v>2</v>
      </c>
      <c r="H44" s="10" t="inlineStr">
        <is>
          <t>Dengeli</t>
        </is>
      </c>
      <c r="I44" s="9" t="inlineStr">
        <is>
          <t>Çim için</t>
        </is>
      </c>
      <c r="J44" s="10" t="inlineStr">
        <is>
          <t>Evet</t>
        </is>
      </c>
      <c r="K44" s="10" t="inlineStr"/>
      <c r="L44" s="10" t="inlineStr">
        <is>
          <t>Hayır</t>
        </is>
      </c>
    </row>
    <row r="45">
      <c r="A45" s="9" t="inlineStr">
        <is>
          <t>genel-saksi-topragi-ozel-karisim</t>
        </is>
      </c>
      <c r="B45" s="9" t="inlineStr">
        <is>
          <t>Genel Saksı Toprağı (Solucan Gübreli)</t>
        </is>
      </c>
      <c r="C45" s="9" t="inlineStr">
        <is>
          <t>Toprak</t>
        </is>
      </c>
      <c r="D45" s="10" t="n">
        <v>2</v>
      </c>
      <c r="E45" s="10" t="n">
        <v>2</v>
      </c>
      <c r="F45" s="10" t="n">
        <v>2</v>
      </c>
      <c r="G45" s="10" t="n">
        <v>3</v>
      </c>
      <c r="H45" s="10" t="inlineStr">
        <is>
          <t>Dengeli</t>
        </is>
      </c>
      <c r="I45" s="9" t="inlineStr"/>
      <c r="J45" s="10" t="inlineStr">
        <is>
          <t>Hayır</t>
        </is>
      </c>
      <c r="K45" s="10" t="inlineStr"/>
      <c r="L45" s="10" t="inlineStr">
        <is>
          <t>Evet</t>
        </is>
      </c>
    </row>
    <row r="46">
      <c r="A46" s="9" t="inlineStr">
        <is>
          <t>akilli-toprak-organik-bitki-topragi</t>
        </is>
      </c>
      <c r="B46" s="9" t="inlineStr">
        <is>
          <t>HG Akıllı Bitki ve Saksı Toprağı</t>
        </is>
      </c>
      <c r="C46" s="9" t="inlineStr">
        <is>
          <t>Toprak</t>
        </is>
      </c>
      <c r="D46" s="10" t="n">
        <v>2</v>
      </c>
      <c r="E46" s="10" t="n">
        <v>2</v>
      </c>
      <c r="F46" s="10" t="n">
        <v>2</v>
      </c>
      <c r="G46" s="10" t="n">
        <v>3</v>
      </c>
      <c r="H46" s="10" t="inlineStr">
        <is>
          <t>Dengeli</t>
        </is>
      </c>
      <c r="I46" s="9" t="inlineStr"/>
      <c r="J46" s="10" t="inlineStr">
        <is>
          <t>Hayır</t>
        </is>
      </c>
      <c r="K46" s="10" t="inlineStr"/>
      <c r="L46" s="10" t="inlineStr">
        <is>
          <t>Evet</t>
        </is>
      </c>
    </row>
    <row r="47">
      <c r="A47" s="9" t="inlineStr">
        <is>
          <t>organik-toprak</t>
        </is>
      </c>
      <c r="B47" s="9" t="inlineStr">
        <is>
          <t>Organik Toprak (Solucan Gübreli ve Leonarditli)</t>
        </is>
      </c>
      <c r="C47" s="9" t="inlineStr">
        <is>
          <t>Toprak</t>
        </is>
      </c>
      <c r="D47" s="10" t="n">
        <v>3</v>
      </c>
      <c r="E47" s="10" t="n">
        <v>2</v>
      </c>
      <c r="F47" s="10" t="n">
        <v>2</v>
      </c>
      <c r="G47" s="10" t="n">
        <v>3</v>
      </c>
      <c r="H47" s="10" t="inlineStr">
        <is>
          <t>Dengeli</t>
        </is>
      </c>
      <c r="I47" s="9" t="inlineStr"/>
      <c r="J47" s="10" t="inlineStr">
        <is>
          <t>Hayır</t>
        </is>
      </c>
      <c r="K47" s="10" t="inlineStr"/>
      <c r="L47" s="10" t="inlineStr">
        <is>
          <t>Evet</t>
        </is>
      </c>
    </row>
    <row r="48">
      <c r="A48" s="9" t="inlineStr">
        <is>
          <t>dogal-orman-topragi-humuslu</t>
        </is>
      </c>
      <c r="B48" s="9" t="inlineStr">
        <is>
          <t>Doğal Orman Toprağı (Humuslu)</t>
        </is>
      </c>
      <c r="C48" s="9" t="inlineStr">
        <is>
          <t>Toprak</t>
        </is>
      </c>
      <c r="D48" s="10" t="n">
        <v>2</v>
      </c>
      <c r="E48" s="10" t="n">
        <v>1</v>
      </c>
      <c r="F48" s="10" t="n">
        <v>3</v>
      </c>
      <c r="G48" s="10" t="n">
        <v>3</v>
      </c>
      <c r="H48" s="10" t="inlineStr">
        <is>
          <t>Dengeli</t>
        </is>
      </c>
      <c r="I48" s="9" t="inlineStr"/>
      <c r="J48" s="10" t="inlineStr">
        <is>
          <t>Hayır</t>
        </is>
      </c>
      <c r="K48" s="10" t="inlineStr"/>
      <c r="L48" s="10" t="inlineStr">
        <is>
          <t>Evet</t>
        </is>
      </c>
    </row>
    <row r="49">
      <c r="A49" s="9" t="inlineStr">
        <is>
          <t>bitki-topragi-ozel-karisim-20-lt</t>
        </is>
      </c>
      <c r="B49" s="9" t="inlineStr">
        <is>
          <t>Bitki Toprağı Özel Karışım - 40 LT (Güzelbahçe)</t>
        </is>
      </c>
      <c r="C49" s="9" t="inlineStr">
        <is>
          <t>Toprak</t>
        </is>
      </c>
      <c r="D49" s="10" t="n">
        <v>2</v>
      </c>
      <c r="E49" s="10" t="n">
        <v>1</v>
      </c>
      <c r="F49" s="10" t="n">
        <v>2</v>
      </c>
      <c r="G49" s="10" t="n">
        <v>2</v>
      </c>
      <c r="H49" s="10" t="inlineStr">
        <is>
          <t>Dengeli</t>
        </is>
      </c>
      <c r="I49" s="9" t="inlineStr"/>
      <c r="J49" s="10" t="inlineStr">
        <is>
          <t>Hayır</t>
        </is>
      </c>
      <c r="K49" s="10" t="inlineStr"/>
      <c r="L49" s="10" t="inlineStr">
        <is>
          <t>Evet</t>
        </is>
      </c>
    </row>
    <row r="50">
      <c r="A50" s="9" t="inlineStr">
        <is>
          <t>klasmann-potgrond-h-70-litre-ithal-fide-torfu</t>
        </is>
      </c>
      <c r="B50" s="9" t="inlineStr">
        <is>
          <t>Klasmann Potgrond H 70 L</t>
        </is>
      </c>
      <c r="C50" s="9" t="inlineStr">
        <is>
          <t>Toprak</t>
        </is>
      </c>
      <c r="D50" s="10" t="n">
        <v>2</v>
      </c>
      <c r="E50" s="10" t="n">
        <v>2</v>
      </c>
      <c r="F50" s="10" t="n">
        <v>3</v>
      </c>
      <c r="G50" s="10" t="n">
        <v>2</v>
      </c>
      <c r="H50" s="10" t="inlineStr">
        <is>
          <t>Dengeli</t>
        </is>
      </c>
      <c r="I50" s="9" t="inlineStr"/>
      <c r="J50" s="10" t="inlineStr">
        <is>
          <t>Hayır</t>
        </is>
      </c>
      <c r="K50" s="10" t="inlineStr"/>
      <c r="L50" s="10" t="inlineStr">
        <is>
          <t>Evet</t>
        </is>
      </c>
    </row>
    <row r="51">
      <c r="A51" s="9" t="inlineStr">
        <is>
          <t>mezar-topragi-perlit-ve-solucan-gubresi-karisimli</t>
        </is>
      </c>
      <c r="B51" s="9" t="inlineStr">
        <is>
          <t>HG Mezar Toprağı</t>
        </is>
      </c>
      <c r="C51" s="9" t="inlineStr">
        <is>
          <t>Toprak</t>
        </is>
      </c>
      <c r="D51" s="10" t="n">
        <v>3</v>
      </c>
      <c r="E51" s="10" t="n">
        <v>2</v>
      </c>
      <c r="F51" s="10" t="n">
        <v>2</v>
      </c>
      <c r="G51" s="10" t="n">
        <v>2</v>
      </c>
      <c r="H51" s="10" t="inlineStr">
        <is>
          <t>Dengeli</t>
        </is>
      </c>
      <c r="I51" s="9" t="inlineStr">
        <is>
          <t>Mezar bitkileri için</t>
        </is>
      </c>
      <c r="J51" s="10" t="inlineStr">
        <is>
          <t>Evet</t>
        </is>
      </c>
      <c r="K51" s="10" t="inlineStr"/>
      <c r="L51" s="10" t="inlineStr">
        <is>
          <t>Hayır</t>
        </is>
      </c>
    </row>
    <row r="52">
      <c r="A52" s="9" t="inlineStr">
        <is>
          <t>tarim-perliti</t>
        </is>
      </c>
      <c r="B52" s="9" t="inlineStr">
        <is>
          <t>HG Tarım Perliti</t>
        </is>
      </c>
      <c r="C52" s="9" t="inlineStr">
        <is>
          <t>Katkı: drenaj</t>
        </is>
      </c>
      <c r="D52" s="9" t="n"/>
      <c r="E52" s="9" t="n"/>
      <c r="F52" s="9" t="n"/>
      <c r="G52" s="9" t="n"/>
      <c r="H52" s="9" t="n"/>
      <c r="I52" s="9" t="inlineStr">
        <is>
          <t>Drenaj yetersizse</t>
        </is>
      </c>
      <c r="J52" s="9" t="inlineStr"/>
      <c r="K52" s="9" t="inlineStr"/>
      <c r="L52" s="9" t="inlineStr"/>
    </row>
    <row r="53">
      <c r="A53" s="9" t="inlineStr">
        <is>
          <t>hg-vermikulit</t>
        </is>
      </c>
      <c r="B53" s="9" t="inlineStr">
        <is>
          <t>HG Vermikülit</t>
        </is>
      </c>
      <c r="C53" s="9" t="inlineStr">
        <is>
          <t>Katkı: su tutma</t>
        </is>
      </c>
      <c r="D53" s="9" t="n"/>
      <c r="E53" s="9" t="n"/>
      <c r="F53" s="9" t="n"/>
      <c r="G53" s="9" t="n"/>
      <c r="H53" s="9" t="n"/>
      <c r="I53" s="9" t="inlineStr">
        <is>
          <t>Su tutma yetersizse</t>
        </is>
      </c>
      <c r="J53" s="9" t="inlineStr"/>
      <c r="K53" s="9" t="inlineStr"/>
      <c r="L53" s="9" t="inlineStr"/>
    </row>
    <row r="54">
      <c r="A54" s="9" t="inlineStr">
        <is>
          <t>hg-asidik-torf</t>
        </is>
      </c>
      <c r="B54" s="9" t="inlineStr">
        <is>
          <t>HG Asidik Torf</t>
        </is>
      </c>
      <c r="C54" s="9" t="inlineStr">
        <is>
          <t>Katkı: pH düşürme</t>
        </is>
      </c>
      <c r="D54" s="9" t="n"/>
      <c r="E54" s="9" t="n"/>
      <c r="F54" s="9" t="n"/>
      <c r="G54" s="9" t="n"/>
      <c r="H54" s="9" t="n"/>
      <c r="I54" s="9" t="inlineStr">
        <is>
          <t>Toprak bitkiye göre fazla kireçliyse</t>
        </is>
      </c>
      <c r="J54" s="9" t="inlineStr"/>
      <c r="K54" s="9" t="inlineStr"/>
      <c r="L54" s="9" t="inlineStr"/>
    </row>
    <row r="55">
      <c r="A55" s="9" t="inlineStr">
        <is>
          <t>hasturk-kati-solucan-gubresi</t>
        </is>
      </c>
      <c r="B55" s="9" t="inlineStr">
        <is>
          <t>HasTürk Solucan Gübresi</t>
        </is>
      </c>
      <c r="C55" s="9" t="inlineStr">
        <is>
          <t>Katkı: besin</t>
        </is>
      </c>
      <c r="D55" s="9" t="n"/>
      <c r="E55" s="9" t="n"/>
      <c r="F55" s="9" t="n"/>
      <c r="G55" s="9" t="n"/>
      <c r="H55" s="9" t="n"/>
      <c r="I55" s="9" t="inlineStr">
        <is>
          <t>Besin yetersizse</t>
        </is>
      </c>
      <c r="J55" s="9" t="inlineStr"/>
      <c r="K55" s="9" t="inlineStr"/>
      <c r="L55" s="9" t="inlineStr"/>
    </row>
  </sheetData>
  <dataValidations count="4">
    <dataValidation sqref="D2:D55" showDropDown="0" showInputMessage="0" showErrorMessage="0" allowBlank="0" type="whole" operator="between">
      <formula1>1</formula1>
      <formula2>4</formula2>
    </dataValidation>
    <dataValidation sqref="E2:E55 F2:F55 G2:G55" showDropDown="0" showInputMessage="0" showErrorMessage="0" allowBlank="0" type="whole" operator="between">
      <formula1>1</formula1>
      <formula2>3</formula2>
    </dataValidation>
    <dataValidation sqref="H2:H55" showDropDown="0" showInputMessage="0" showErrorMessage="0" allowBlank="0" type="list">
      <formula1>"Kumlu,Havalı,Dengeli"</formula1>
    </dataValidation>
    <dataValidation sqref="J2:J55" showDropDown="0" showInputMessage="0" showErrorMessage="0" allowBlank="0" type="list">
      <formula1>"Evet,Hayır"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0" customWidth="1" min="2" max="2"/>
    <col width="11" customWidth="1" min="3" max="3"/>
    <col width="6" customWidth="1" min="4" max="4"/>
    <col width="8" customWidth="1" min="5" max="5"/>
    <col width="9" customWidth="1" min="6" max="6"/>
    <col width="7" customWidth="1" min="7" max="7"/>
    <col width="9" customWidth="1" min="8" max="8"/>
    <col width="40" customWidth="1" min="9" max="9"/>
    <col width="40" customWidth="1" min="10" max="10"/>
    <col width="40" customWidth="1" min="11" max="11"/>
    <col width="8" customWidth="1" min="12" max="12"/>
    <col width="40" customWidth="1" min="13" max="13"/>
    <col width="42" customWidth="1" min="14" max="14"/>
  </cols>
  <sheetData>
    <row r="1">
      <c r="A1" s="8" t="inlineStr">
        <is>
          <t>Bitki</t>
        </is>
      </c>
      <c r="B1" s="8" t="inlineStr">
        <is>
          <t>Eş anlamlılar (arama için)</t>
        </is>
      </c>
      <c r="C1" s="8" t="inlineStr">
        <is>
          <t>Grup</t>
        </is>
      </c>
      <c r="D1" s="8" t="inlineStr">
        <is>
          <t>pH</t>
        </is>
      </c>
      <c r="E1" s="8" t="inlineStr">
        <is>
          <t>Drenaj</t>
        </is>
      </c>
      <c r="F1" s="8" t="inlineStr">
        <is>
          <t>Su tutma</t>
        </is>
      </c>
      <c r="G1" s="8" t="inlineStr">
        <is>
          <t>Besin</t>
        </is>
      </c>
      <c r="H1" s="8" t="inlineStr">
        <is>
          <t>Yapı</t>
        </is>
      </c>
      <c r="I1" s="8" t="inlineStr">
        <is>
          <t>Özel toprak (slug)</t>
        </is>
      </c>
      <c r="J1" s="8" t="inlineStr">
        <is>
          <t>Özel toprak adı</t>
        </is>
      </c>
      <c r="K1" s="8" t="inlineStr">
        <is>
          <t>Profile en yakın toprak</t>
        </is>
      </c>
      <c r="L1" s="8" t="inlineStr">
        <is>
          <t>Uyum</t>
        </is>
      </c>
      <c r="M1" s="8" t="inlineStr">
        <is>
          <t>Önerilecek toprak</t>
        </is>
      </c>
      <c r="N1" s="8" t="inlineStr">
        <is>
          <t>Ek öneri</t>
        </is>
      </c>
    </row>
    <row r="2">
      <c r="A2" s="9" t="inlineStr">
        <is>
          <t>Monstera</t>
        </is>
      </c>
      <c r="B2" s="9" t="inlineStr">
        <is>
          <t>deve tabanı</t>
        </is>
      </c>
      <c r="C2" s="9" t="inlineStr">
        <is>
          <t>Salon</t>
        </is>
      </c>
      <c r="D2" s="10" t="n">
        <v>2</v>
      </c>
      <c r="E2" s="10" t="n">
        <v>3</v>
      </c>
      <c r="F2" s="10" t="n">
        <v>2</v>
      </c>
      <c r="G2" s="10" t="n">
        <v>2</v>
      </c>
      <c r="H2" s="10" t="inlineStr">
        <is>
          <t>Havalı</t>
        </is>
      </c>
      <c r="I2" s="11" t="inlineStr">
        <is>
          <t>hg-monstera-deve-tabani-topragi</t>
        </is>
      </c>
      <c r="J2" s="12">
        <f>IF(I2="","",IFERROR(INDEX(Topraklar!$B$2:$B$55,MATCH(I2,Topraklar!$A$2:$A$55,0)),"⚠ slug bulunamadı"))</f>
        <v/>
      </c>
      <c r="K2" s="12">
        <f>INDEX(Uyum!$B$2:$AY$2,MATCH(MAX(Uyum!$B$3:$AY$3),Uyum!$B$3:$AY$3,0))</f>
        <v/>
      </c>
      <c r="L2" s="13">
        <f>MIN(1,MAX(Uyum!$B$3:$AY$3))</f>
        <v/>
      </c>
      <c r="M2" s="12">
        <f>IF(I2&lt;&gt;"",J2,K2)</f>
        <v/>
      </c>
      <c r="N2" s="12">
        <f>IFERROR(TRIM(IF(E2&gt;INDEX(Topraklar!$E$2:$E$55,MATCH(IF(I2&lt;&gt;"",I2,INDEX(Uyum!$B$1:$AY$1,MATCH(MAX(Uyum!$B$3:$AY$3),Uyum!$B$3:$AY$3,0))),Topraklar!$A$2:$A$55,0)),"Perlit karıştırın. ","")&amp;IF(D2&lt;INDEX(Topraklar!$D$2:$D$55,MATCH(IF(I2&lt;&gt;"",I2,INDEX(Uyum!$B$1:$AY$1,MATCH(MAX(Uyum!$B$3:$AY$3),Uyum!$B$3:$AY$3,0))),Topraklar!$A$2:$A$55,0)),"Asidik torf karıştırın. ","")&amp;IF(F2&gt;INDEX(Topraklar!$F$2:$F$55,MATCH(IF(I2&lt;&gt;"",I2,INDEX(Uyum!$B$1:$AY$1,MATCH(MAX(Uyum!$B$3:$AY$3),Uyum!$B$3:$AY$3,0))),Topraklar!$A$2:$A$55,0)),"Vermikülit karıştırın. ","")&amp;IF(G2&gt;INDEX(Topraklar!$G$2:$G$55,MATCH(IF(I2&lt;&gt;"",I2,INDEX(Uyum!$B$1:$AY$1,MATCH(MAX(Uyum!$B$3:$AY$3),Uyum!$B$3:$AY$3,0))),Topraklar!$A$2:$A$55,0)),"Solucan gübresi ekleyin.","")),"")</f>
        <v/>
      </c>
    </row>
    <row r="3">
      <c r="A3" s="9" t="inlineStr">
        <is>
          <t>Philodendron</t>
        </is>
      </c>
      <c r="B3" s="9" t="inlineStr">
        <is>
          <t>filodendron</t>
        </is>
      </c>
      <c r="C3" s="9" t="inlineStr">
        <is>
          <t>Salon</t>
        </is>
      </c>
      <c r="D3" s="10" t="n">
        <v>2</v>
      </c>
      <c r="E3" s="10" t="n">
        <v>3</v>
      </c>
      <c r="F3" s="10" t="n">
        <v>2</v>
      </c>
      <c r="G3" s="10" t="n">
        <v>2</v>
      </c>
      <c r="H3" s="10" t="inlineStr">
        <is>
          <t>Havalı</t>
        </is>
      </c>
      <c r="I3" s="11" t="inlineStr"/>
      <c r="J3" s="12">
        <f>IF(I3="","",IFERROR(INDEX(Topraklar!$B$2:$B$55,MATCH(I3,Topraklar!$A$2:$A$55,0)),"⚠ slug bulunamadı"))</f>
        <v/>
      </c>
      <c r="K3" s="12">
        <f>INDEX(Uyum!$B$2:$AY$2,MATCH(MAX(Uyum!$B$4:$AY$4),Uyum!$B$4:$AY$4,0))</f>
        <v/>
      </c>
      <c r="L3" s="13">
        <f>MIN(1,MAX(Uyum!$B$4:$AY$4))</f>
        <v/>
      </c>
      <c r="M3" s="12">
        <f>IF(I3&lt;&gt;"",J3,K3)</f>
        <v/>
      </c>
      <c r="N3" s="12">
        <f>IFERROR(TRIM(IF(E3&gt;INDEX(Topraklar!$E$2:$E$55,MATCH(IF(I3&lt;&gt;"",I3,INDEX(Uyum!$B$1:$AY$1,MATCH(MAX(Uyum!$B$4:$AY$4),Uyum!$B$4:$AY$4,0))),Topraklar!$A$2:$A$55,0)),"Perlit karıştırın. ","")&amp;IF(D3&lt;INDEX(Topraklar!$D$2:$D$55,MATCH(IF(I3&lt;&gt;"",I3,INDEX(Uyum!$B$1:$AY$1,MATCH(MAX(Uyum!$B$4:$AY$4),Uyum!$B$4:$AY$4,0))),Topraklar!$A$2:$A$55,0)),"Asidik torf karıştırın. ","")&amp;IF(F3&gt;INDEX(Topraklar!$F$2:$F$55,MATCH(IF(I3&lt;&gt;"",I3,INDEX(Uyum!$B$1:$AY$1,MATCH(MAX(Uyum!$B$4:$AY$4),Uyum!$B$4:$AY$4,0))),Topraklar!$A$2:$A$55,0)),"Vermikülit karıştırın. ","")&amp;IF(G3&gt;INDEX(Topraklar!$G$2:$G$55,MATCH(IF(I3&lt;&gt;"",I3,INDEX(Uyum!$B$1:$AY$1,MATCH(MAX(Uyum!$B$4:$AY$4),Uyum!$B$4:$AY$4,0))),Topraklar!$A$2:$A$55,0)),"Solucan gübresi ekleyin.","")),"")</f>
        <v/>
      </c>
    </row>
    <row r="4">
      <c r="A4" s="9" t="inlineStr">
        <is>
          <t>Salon sarmaşığı</t>
        </is>
      </c>
      <c r="B4" s="9" t="inlineStr">
        <is>
          <t>pothos, potos, epipremnum</t>
        </is>
      </c>
      <c r="C4" s="9" t="inlineStr">
        <is>
          <t>Salon</t>
        </is>
      </c>
      <c r="D4" s="10" t="n">
        <v>2</v>
      </c>
      <c r="E4" s="10" t="n">
        <v>2</v>
      </c>
      <c r="F4" s="10" t="n">
        <v>2</v>
      </c>
      <c r="G4" s="10" t="n">
        <v>2</v>
      </c>
      <c r="H4" s="10" t="inlineStr">
        <is>
          <t>Havalı</t>
        </is>
      </c>
      <c r="I4" s="11" t="inlineStr">
        <is>
          <t>hg-salon-sarmasigi-topragi</t>
        </is>
      </c>
      <c r="J4" s="12">
        <f>IF(I4="","",IFERROR(INDEX(Topraklar!$B$2:$B$55,MATCH(I4,Topraklar!$A$2:$A$55,0)),"⚠ slug bulunamadı"))</f>
        <v/>
      </c>
      <c r="K4" s="12">
        <f>INDEX(Uyum!$B$2:$AY$2,MATCH(MAX(Uyum!$B$5:$AY$5),Uyum!$B$5:$AY$5,0))</f>
        <v/>
      </c>
      <c r="L4" s="13">
        <f>MIN(1,MAX(Uyum!$B$5:$AY$5))</f>
        <v/>
      </c>
      <c r="M4" s="12">
        <f>IF(I4&lt;&gt;"",J4,K4)</f>
        <v/>
      </c>
      <c r="N4" s="12">
        <f>IFERROR(TRIM(IF(E4&gt;INDEX(Topraklar!$E$2:$E$55,MATCH(IF(I4&lt;&gt;"",I4,INDEX(Uyum!$B$1:$AY$1,MATCH(MAX(Uyum!$B$5:$AY$5),Uyum!$B$5:$AY$5,0))),Topraklar!$A$2:$A$55,0)),"Perlit karıştırın. ","")&amp;IF(D4&lt;INDEX(Topraklar!$D$2:$D$55,MATCH(IF(I4&lt;&gt;"",I4,INDEX(Uyum!$B$1:$AY$1,MATCH(MAX(Uyum!$B$5:$AY$5),Uyum!$B$5:$AY$5,0))),Topraklar!$A$2:$A$55,0)),"Asidik torf karıştırın. ","")&amp;IF(F4&gt;INDEX(Topraklar!$F$2:$F$55,MATCH(IF(I4&lt;&gt;"",I4,INDEX(Uyum!$B$1:$AY$1,MATCH(MAX(Uyum!$B$5:$AY$5),Uyum!$B$5:$AY$5,0))),Topraklar!$A$2:$A$55,0)),"Vermikülit karıştırın. ","")&amp;IF(G4&gt;INDEX(Topraklar!$G$2:$G$55,MATCH(IF(I4&lt;&gt;"",I4,INDEX(Uyum!$B$1:$AY$1,MATCH(MAX(Uyum!$B$5:$AY$5),Uyum!$B$5:$AY$5,0))),Topraklar!$A$2:$A$55,0)),"Solucan gübresi ekleyin.","")),"")</f>
        <v/>
      </c>
    </row>
    <row r="5">
      <c r="A5" s="9" t="inlineStr">
        <is>
          <t>Zamioculcas</t>
        </is>
      </c>
      <c r="B5" s="9" t="inlineStr">
        <is>
          <t>zz bitkisi, zamia</t>
        </is>
      </c>
      <c r="C5" s="9" t="inlineStr">
        <is>
          <t>Salon</t>
        </is>
      </c>
      <c r="D5" s="10" t="n">
        <v>3</v>
      </c>
      <c r="E5" s="10" t="n">
        <v>3</v>
      </c>
      <c r="F5" s="10" t="n">
        <v>1</v>
      </c>
      <c r="G5" s="10" t="n">
        <v>1</v>
      </c>
      <c r="H5" s="10" t="inlineStr">
        <is>
          <t>Kumlu</t>
        </is>
      </c>
      <c r="I5" s="11" t="inlineStr"/>
      <c r="J5" s="12">
        <f>IF(I5="","",IFERROR(INDEX(Topraklar!$B$2:$B$55,MATCH(I5,Topraklar!$A$2:$A$55,0)),"⚠ slug bulunamadı"))</f>
        <v/>
      </c>
      <c r="K5" s="12">
        <f>INDEX(Uyum!$B$2:$AY$2,MATCH(MAX(Uyum!$B$6:$AY$6),Uyum!$B$6:$AY$6,0))</f>
        <v/>
      </c>
      <c r="L5" s="13">
        <f>MIN(1,MAX(Uyum!$B$6:$AY$6))</f>
        <v/>
      </c>
      <c r="M5" s="12">
        <f>IF(I5&lt;&gt;"",J5,K5)</f>
        <v/>
      </c>
      <c r="N5" s="12">
        <f>IFERROR(TRIM(IF(E5&gt;INDEX(Topraklar!$E$2:$E$55,MATCH(IF(I5&lt;&gt;"",I5,INDEX(Uyum!$B$1:$AY$1,MATCH(MAX(Uyum!$B$6:$AY$6),Uyum!$B$6:$AY$6,0))),Topraklar!$A$2:$A$55,0)),"Perlit karıştırın. ","")&amp;IF(D5&lt;INDEX(Topraklar!$D$2:$D$55,MATCH(IF(I5&lt;&gt;"",I5,INDEX(Uyum!$B$1:$AY$1,MATCH(MAX(Uyum!$B$6:$AY$6),Uyum!$B$6:$AY$6,0))),Topraklar!$A$2:$A$55,0)),"Asidik torf karıştırın. ","")&amp;IF(F5&gt;INDEX(Topraklar!$F$2:$F$55,MATCH(IF(I5&lt;&gt;"",I5,INDEX(Uyum!$B$1:$AY$1,MATCH(MAX(Uyum!$B$6:$AY$6),Uyum!$B$6:$AY$6,0))),Topraklar!$A$2:$A$55,0)),"Vermikülit karıştırın. ","")&amp;IF(G5&gt;INDEX(Topraklar!$G$2:$G$55,MATCH(IF(I5&lt;&gt;"",I5,INDEX(Uyum!$B$1:$AY$1,MATCH(MAX(Uyum!$B$6:$AY$6),Uyum!$B$6:$AY$6,0))),Topraklar!$A$2:$A$55,0)),"Solucan gübresi ekleyin.","")),"")</f>
        <v/>
      </c>
    </row>
    <row r="6">
      <c r="A6" s="9" t="inlineStr">
        <is>
          <t>Paşa kılıcı</t>
        </is>
      </c>
      <c r="B6" s="9" t="inlineStr">
        <is>
          <t>sansevieria, kaynana dili</t>
        </is>
      </c>
      <c r="C6" s="9" t="inlineStr">
        <is>
          <t>Salon</t>
        </is>
      </c>
      <c r="D6" s="10" t="n">
        <v>3</v>
      </c>
      <c r="E6" s="10" t="n">
        <v>3</v>
      </c>
      <c r="F6" s="10" t="n">
        <v>1</v>
      </c>
      <c r="G6" s="10" t="n">
        <v>1</v>
      </c>
      <c r="H6" s="10" t="inlineStr">
        <is>
          <t>Kumlu</t>
        </is>
      </c>
      <c r="I6" s="11" t="inlineStr">
        <is>
          <t>pasa-kilici-sansevieria-topragi</t>
        </is>
      </c>
      <c r="J6" s="12">
        <f>IF(I6="","",IFERROR(INDEX(Topraklar!$B$2:$B$55,MATCH(I6,Topraklar!$A$2:$A$55,0)),"⚠ slug bulunamadı"))</f>
        <v/>
      </c>
      <c r="K6" s="12">
        <f>INDEX(Uyum!$B$2:$AY$2,MATCH(MAX(Uyum!$B$7:$AY$7),Uyum!$B$7:$AY$7,0))</f>
        <v/>
      </c>
      <c r="L6" s="13">
        <f>MIN(1,MAX(Uyum!$B$7:$AY$7))</f>
        <v/>
      </c>
      <c r="M6" s="12">
        <f>IF(I6&lt;&gt;"",J6,K6)</f>
        <v/>
      </c>
      <c r="N6" s="12">
        <f>IFERROR(TRIM(IF(E6&gt;INDEX(Topraklar!$E$2:$E$55,MATCH(IF(I6&lt;&gt;"",I6,INDEX(Uyum!$B$1:$AY$1,MATCH(MAX(Uyum!$B$7:$AY$7),Uyum!$B$7:$AY$7,0))),Topraklar!$A$2:$A$55,0)),"Perlit karıştırın. ","")&amp;IF(D6&lt;INDEX(Topraklar!$D$2:$D$55,MATCH(IF(I6&lt;&gt;"",I6,INDEX(Uyum!$B$1:$AY$1,MATCH(MAX(Uyum!$B$7:$AY$7),Uyum!$B$7:$AY$7,0))),Topraklar!$A$2:$A$55,0)),"Asidik torf karıştırın. ","")&amp;IF(F6&gt;INDEX(Topraklar!$F$2:$F$55,MATCH(IF(I6&lt;&gt;"",I6,INDEX(Uyum!$B$1:$AY$1,MATCH(MAX(Uyum!$B$7:$AY$7),Uyum!$B$7:$AY$7,0))),Topraklar!$A$2:$A$55,0)),"Vermikülit karıştırın. ","")&amp;IF(G6&gt;INDEX(Topraklar!$G$2:$G$55,MATCH(IF(I6&lt;&gt;"",I6,INDEX(Uyum!$B$1:$AY$1,MATCH(MAX(Uyum!$B$7:$AY$7),Uyum!$B$7:$AY$7,0))),Topraklar!$A$2:$A$55,0)),"Solucan gübresi ekleyin.","")),"")</f>
        <v/>
      </c>
    </row>
    <row r="7">
      <c r="A7" s="9" t="inlineStr">
        <is>
          <t>Kauçuk</t>
        </is>
      </c>
      <c r="B7" s="9" t="inlineStr">
        <is>
          <t>kauçuk ağacı, ficus elastica</t>
        </is>
      </c>
      <c r="C7" s="9" t="inlineStr">
        <is>
          <t>Salon</t>
        </is>
      </c>
      <c r="D7" s="10" t="n">
        <v>2</v>
      </c>
      <c r="E7" s="10" t="n">
        <v>2</v>
      </c>
      <c r="F7" s="10" t="n">
        <v>2</v>
      </c>
      <c r="G7" s="10" t="n">
        <v>2</v>
      </c>
      <c r="H7" s="10" t="inlineStr">
        <is>
          <t>Dengeli</t>
        </is>
      </c>
      <c r="I7" s="11" t="inlineStr">
        <is>
          <t>kaucuk-agaci-topragi</t>
        </is>
      </c>
      <c r="J7" s="12">
        <f>IF(I7="","",IFERROR(INDEX(Topraklar!$B$2:$B$55,MATCH(I7,Topraklar!$A$2:$A$55,0)),"⚠ slug bulunamadı"))</f>
        <v/>
      </c>
      <c r="K7" s="12">
        <f>INDEX(Uyum!$B$2:$AY$2,MATCH(MAX(Uyum!$B$8:$AY$8),Uyum!$B$8:$AY$8,0))</f>
        <v/>
      </c>
      <c r="L7" s="13">
        <f>MIN(1,MAX(Uyum!$B$8:$AY$8))</f>
        <v/>
      </c>
      <c r="M7" s="12">
        <f>IF(I7&lt;&gt;"",J7,K7)</f>
        <v/>
      </c>
      <c r="N7" s="12">
        <f>IFERROR(TRIM(IF(E7&gt;INDEX(Topraklar!$E$2:$E$55,MATCH(IF(I7&lt;&gt;"",I7,INDEX(Uyum!$B$1:$AY$1,MATCH(MAX(Uyum!$B$8:$AY$8),Uyum!$B$8:$AY$8,0))),Topraklar!$A$2:$A$55,0)),"Perlit karıştırın. ","")&amp;IF(D7&lt;INDEX(Topraklar!$D$2:$D$55,MATCH(IF(I7&lt;&gt;"",I7,INDEX(Uyum!$B$1:$AY$1,MATCH(MAX(Uyum!$B$8:$AY$8),Uyum!$B$8:$AY$8,0))),Topraklar!$A$2:$A$55,0)),"Asidik torf karıştırın. ","")&amp;IF(F7&gt;INDEX(Topraklar!$F$2:$F$55,MATCH(IF(I7&lt;&gt;"",I7,INDEX(Uyum!$B$1:$AY$1,MATCH(MAX(Uyum!$B$8:$AY$8),Uyum!$B$8:$AY$8,0))),Topraklar!$A$2:$A$55,0)),"Vermikülit karıştırın. ","")&amp;IF(G7&gt;INDEX(Topraklar!$G$2:$G$55,MATCH(IF(I7&lt;&gt;"",I7,INDEX(Uyum!$B$1:$AY$1,MATCH(MAX(Uyum!$B$8:$AY$8),Uyum!$B$8:$AY$8,0))),Topraklar!$A$2:$A$55,0)),"Solucan gübresi ekleyin.","")),"")</f>
        <v/>
      </c>
    </row>
    <row r="8">
      <c r="A8" s="9" t="inlineStr">
        <is>
          <t>Benjamin</t>
        </is>
      </c>
      <c r="B8" s="9" t="inlineStr">
        <is>
          <t>ficus benjamina</t>
        </is>
      </c>
      <c r="C8" s="9" t="inlineStr">
        <is>
          <t>Salon</t>
        </is>
      </c>
      <c r="D8" s="10" t="n">
        <v>2</v>
      </c>
      <c r="E8" s="10" t="n">
        <v>2</v>
      </c>
      <c r="F8" s="10" t="n">
        <v>2</v>
      </c>
      <c r="G8" s="10" t="n">
        <v>2</v>
      </c>
      <c r="H8" s="10" t="inlineStr">
        <is>
          <t>Dengeli</t>
        </is>
      </c>
      <c r="I8" s="11" t="inlineStr">
        <is>
          <t>hg-benjamin-saksi-topragi</t>
        </is>
      </c>
      <c r="J8" s="12">
        <f>IF(I8="","",IFERROR(INDEX(Topraklar!$B$2:$B$55,MATCH(I8,Topraklar!$A$2:$A$55,0)),"⚠ slug bulunamadı"))</f>
        <v/>
      </c>
      <c r="K8" s="12">
        <f>INDEX(Uyum!$B$2:$AY$2,MATCH(MAX(Uyum!$B$9:$AY$9),Uyum!$B$9:$AY$9,0))</f>
        <v/>
      </c>
      <c r="L8" s="13">
        <f>MIN(1,MAX(Uyum!$B$9:$AY$9))</f>
        <v/>
      </c>
      <c r="M8" s="12">
        <f>IF(I8&lt;&gt;"",J8,K8)</f>
        <v/>
      </c>
      <c r="N8" s="12">
        <f>IFERROR(TRIM(IF(E8&gt;INDEX(Topraklar!$E$2:$E$55,MATCH(IF(I8&lt;&gt;"",I8,INDEX(Uyum!$B$1:$AY$1,MATCH(MAX(Uyum!$B$9:$AY$9),Uyum!$B$9:$AY$9,0))),Topraklar!$A$2:$A$55,0)),"Perlit karıştırın. ","")&amp;IF(D8&lt;INDEX(Topraklar!$D$2:$D$55,MATCH(IF(I8&lt;&gt;"",I8,INDEX(Uyum!$B$1:$AY$1,MATCH(MAX(Uyum!$B$9:$AY$9),Uyum!$B$9:$AY$9,0))),Topraklar!$A$2:$A$55,0)),"Asidik torf karıştırın. ","")&amp;IF(F8&gt;INDEX(Topraklar!$F$2:$F$55,MATCH(IF(I8&lt;&gt;"",I8,INDEX(Uyum!$B$1:$AY$1,MATCH(MAX(Uyum!$B$9:$AY$9),Uyum!$B$9:$AY$9,0))),Topraklar!$A$2:$A$55,0)),"Vermikülit karıştırın. ","")&amp;IF(G8&gt;INDEX(Topraklar!$G$2:$G$55,MATCH(IF(I8&lt;&gt;"",I8,INDEX(Uyum!$B$1:$AY$1,MATCH(MAX(Uyum!$B$9:$AY$9),Uyum!$B$9:$AY$9,0))),Topraklar!$A$2:$A$55,0)),"Solucan gübresi ekleyin.","")),"")</f>
        <v/>
      </c>
    </row>
    <row r="9">
      <c r="A9" s="9" t="inlineStr">
        <is>
          <t>Keman yapraklı incir</t>
        </is>
      </c>
      <c r="B9" s="9" t="inlineStr">
        <is>
          <t>ficus lyrata</t>
        </is>
      </c>
      <c r="C9" s="9" t="inlineStr">
        <is>
          <t>Salon</t>
        </is>
      </c>
      <c r="D9" s="10" t="n">
        <v>2</v>
      </c>
      <c r="E9" s="10" t="n">
        <v>2</v>
      </c>
      <c r="F9" s="10" t="n">
        <v>2</v>
      </c>
      <c r="G9" s="10" t="n">
        <v>2</v>
      </c>
      <c r="H9" s="10" t="inlineStr">
        <is>
          <t>Dengeli</t>
        </is>
      </c>
      <c r="I9" s="11" t="inlineStr"/>
      <c r="J9" s="12">
        <f>IF(I9="","",IFERROR(INDEX(Topraklar!$B$2:$B$55,MATCH(I9,Topraklar!$A$2:$A$55,0)),"⚠ slug bulunamadı"))</f>
        <v/>
      </c>
      <c r="K9" s="12">
        <f>INDEX(Uyum!$B$2:$AY$2,MATCH(MAX(Uyum!$B$10:$AY$10),Uyum!$B$10:$AY$10,0))</f>
        <v/>
      </c>
      <c r="L9" s="13">
        <f>MIN(1,MAX(Uyum!$B$10:$AY$10))</f>
        <v/>
      </c>
      <c r="M9" s="12">
        <f>IF(I9&lt;&gt;"",J9,K9)</f>
        <v/>
      </c>
      <c r="N9" s="12">
        <f>IFERROR(TRIM(IF(E9&gt;INDEX(Topraklar!$E$2:$E$55,MATCH(IF(I9&lt;&gt;"",I9,INDEX(Uyum!$B$1:$AY$1,MATCH(MAX(Uyum!$B$10:$AY$10),Uyum!$B$10:$AY$10,0))),Topraklar!$A$2:$A$55,0)),"Perlit karıştırın. ","")&amp;IF(D9&lt;INDEX(Topraklar!$D$2:$D$55,MATCH(IF(I9&lt;&gt;"",I9,INDEX(Uyum!$B$1:$AY$1,MATCH(MAX(Uyum!$B$10:$AY$10),Uyum!$B$10:$AY$10,0))),Topraklar!$A$2:$A$55,0)),"Asidik torf karıştırın. ","")&amp;IF(F9&gt;INDEX(Topraklar!$F$2:$F$55,MATCH(IF(I9&lt;&gt;"",I9,INDEX(Uyum!$B$1:$AY$1,MATCH(MAX(Uyum!$B$10:$AY$10),Uyum!$B$10:$AY$10,0))),Topraklar!$A$2:$A$55,0)),"Vermikülit karıştırın. ","")&amp;IF(G9&gt;INDEX(Topraklar!$G$2:$G$55,MATCH(IF(I9&lt;&gt;"",I9,INDEX(Uyum!$B$1:$AY$1,MATCH(MAX(Uyum!$B$10:$AY$10),Uyum!$B$10:$AY$10,0))),Topraklar!$A$2:$A$55,0)),"Solucan gübresi ekleyin.","")),"")</f>
        <v/>
      </c>
    </row>
    <row r="10">
      <c r="A10" s="9" t="inlineStr">
        <is>
          <t>Difenbahya</t>
        </is>
      </c>
      <c r="B10" s="9" t="inlineStr">
        <is>
          <t>dieffenbachia</t>
        </is>
      </c>
      <c r="C10" s="9" t="inlineStr">
        <is>
          <t>Salon</t>
        </is>
      </c>
      <c r="D10" s="10" t="n">
        <v>2</v>
      </c>
      <c r="E10" s="10" t="n">
        <v>2</v>
      </c>
      <c r="F10" s="10" t="n">
        <v>2</v>
      </c>
      <c r="G10" s="10" t="n">
        <v>2</v>
      </c>
      <c r="H10" s="10" t="inlineStr">
        <is>
          <t>Havalı</t>
        </is>
      </c>
      <c r="I10" s="11" t="inlineStr">
        <is>
          <t>hg-difenbahya-saksi-topragi</t>
        </is>
      </c>
      <c r="J10" s="12">
        <f>IF(I10="","",IFERROR(INDEX(Topraklar!$B$2:$B$55,MATCH(I10,Topraklar!$A$2:$A$55,0)),"⚠ slug bulunamadı"))</f>
        <v/>
      </c>
      <c r="K10" s="12">
        <f>INDEX(Uyum!$B$2:$AY$2,MATCH(MAX(Uyum!$B$11:$AY$11),Uyum!$B$11:$AY$11,0))</f>
        <v/>
      </c>
      <c r="L10" s="13">
        <f>MIN(1,MAX(Uyum!$B$11:$AY$11))</f>
        <v/>
      </c>
      <c r="M10" s="12">
        <f>IF(I10&lt;&gt;"",J10,K10)</f>
        <v/>
      </c>
      <c r="N10" s="12">
        <f>IFERROR(TRIM(IF(E10&gt;INDEX(Topraklar!$E$2:$E$55,MATCH(IF(I10&lt;&gt;"",I10,INDEX(Uyum!$B$1:$AY$1,MATCH(MAX(Uyum!$B$11:$AY$11),Uyum!$B$11:$AY$11,0))),Topraklar!$A$2:$A$55,0)),"Perlit karıştırın. ","")&amp;IF(D10&lt;INDEX(Topraklar!$D$2:$D$55,MATCH(IF(I10&lt;&gt;"",I10,INDEX(Uyum!$B$1:$AY$1,MATCH(MAX(Uyum!$B$11:$AY$11),Uyum!$B$11:$AY$11,0))),Topraklar!$A$2:$A$55,0)),"Asidik torf karıştırın. ","")&amp;IF(F10&gt;INDEX(Topraklar!$F$2:$F$55,MATCH(IF(I10&lt;&gt;"",I10,INDEX(Uyum!$B$1:$AY$1,MATCH(MAX(Uyum!$B$11:$AY$11),Uyum!$B$11:$AY$11,0))),Topraklar!$A$2:$A$55,0)),"Vermikülit karıştırın. ","")&amp;IF(G10&gt;INDEX(Topraklar!$G$2:$G$55,MATCH(IF(I10&lt;&gt;"",I10,INDEX(Uyum!$B$1:$AY$1,MATCH(MAX(Uyum!$B$11:$AY$11),Uyum!$B$11:$AY$11,0))),Topraklar!$A$2:$A$55,0)),"Solucan gübresi ekleyin.","")),"")</f>
        <v/>
      </c>
    </row>
    <row r="11">
      <c r="A11" s="9" t="inlineStr">
        <is>
          <t>Barış çiçeği</t>
        </is>
      </c>
      <c r="B11" s="9" t="inlineStr">
        <is>
          <t>spathiphyllum, spatifilyum</t>
        </is>
      </c>
      <c r="C11" s="9" t="inlineStr">
        <is>
          <t>Salon</t>
        </is>
      </c>
      <c r="D11" s="10" t="n">
        <v>2</v>
      </c>
      <c r="E11" s="10" t="n">
        <v>2</v>
      </c>
      <c r="F11" s="10" t="n">
        <v>3</v>
      </c>
      <c r="G11" s="10" t="n">
        <v>2</v>
      </c>
      <c r="H11" s="10" t="inlineStr">
        <is>
          <t>Havalı</t>
        </is>
      </c>
      <c r="I11" s="11" t="inlineStr">
        <is>
          <t>baris-cicegi-spathiphyllum-topragi</t>
        </is>
      </c>
      <c r="J11" s="12">
        <f>IF(I11="","",IFERROR(INDEX(Topraklar!$B$2:$B$55,MATCH(I11,Topraklar!$A$2:$A$55,0)),"⚠ slug bulunamadı"))</f>
        <v/>
      </c>
      <c r="K11" s="12">
        <f>INDEX(Uyum!$B$2:$AY$2,MATCH(MAX(Uyum!$B$12:$AY$12),Uyum!$B$12:$AY$12,0))</f>
        <v/>
      </c>
      <c r="L11" s="13">
        <f>MIN(1,MAX(Uyum!$B$12:$AY$12))</f>
        <v/>
      </c>
      <c r="M11" s="12">
        <f>IF(I11&lt;&gt;"",J11,K11)</f>
        <v/>
      </c>
      <c r="N11" s="12">
        <f>IFERROR(TRIM(IF(E11&gt;INDEX(Topraklar!$E$2:$E$55,MATCH(IF(I11&lt;&gt;"",I11,INDEX(Uyum!$B$1:$AY$1,MATCH(MAX(Uyum!$B$12:$AY$12),Uyum!$B$12:$AY$12,0))),Topraklar!$A$2:$A$55,0)),"Perlit karıştırın. ","")&amp;IF(D11&lt;INDEX(Topraklar!$D$2:$D$55,MATCH(IF(I11&lt;&gt;"",I11,INDEX(Uyum!$B$1:$AY$1,MATCH(MAX(Uyum!$B$12:$AY$12),Uyum!$B$12:$AY$12,0))),Topraklar!$A$2:$A$55,0)),"Asidik torf karıştırın. ","")&amp;IF(F11&gt;INDEX(Topraklar!$F$2:$F$55,MATCH(IF(I11&lt;&gt;"",I11,INDEX(Uyum!$B$1:$AY$1,MATCH(MAX(Uyum!$B$12:$AY$12),Uyum!$B$12:$AY$12,0))),Topraklar!$A$2:$A$55,0)),"Vermikülit karıştırın. ","")&amp;IF(G11&gt;INDEX(Topraklar!$G$2:$G$55,MATCH(IF(I11&lt;&gt;"",I11,INDEX(Uyum!$B$1:$AY$1,MATCH(MAX(Uyum!$B$12:$AY$12),Uyum!$B$12:$AY$12,0))),Topraklar!$A$2:$A$55,0)),"Solucan gübresi ekleyin.","")),"")</f>
        <v/>
      </c>
    </row>
    <row r="12">
      <c r="A12" s="9" t="inlineStr">
        <is>
          <t>Antoryum</t>
        </is>
      </c>
      <c r="B12" s="9" t="inlineStr">
        <is>
          <t>anthurium</t>
        </is>
      </c>
      <c r="C12" s="9" t="inlineStr">
        <is>
          <t>Salon</t>
        </is>
      </c>
      <c r="D12" s="10" t="n">
        <v>2</v>
      </c>
      <c r="E12" s="10" t="n">
        <v>3</v>
      </c>
      <c r="F12" s="10" t="n">
        <v>2</v>
      </c>
      <c r="G12" s="10" t="n">
        <v>2</v>
      </c>
      <c r="H12" s="10" t="inlineStr">
        <is>
          <t>Havalı</t>
        </is>
      </c>
      <c r="I12" s="11" t="inlineStr">
        <is>
          <t>hg-antoryum-cicegi-topragi</t>
        </is>
      </c>
      <c r="J12" s="12">
        <f>IF(I12="","",IFERROR(INDEX(Topraklar!$B$2:$B$55,MATCH(I12,Topraklar!$A$2:$A$55,0)),"⚠ slug bulunamadı"))</f>
        <v/>
      </c>
      <c r="K12" s="12">
        <f>INDEX(Uyum!$B$2:$AY$2,MATCH(MAX(Uyum!$B$13:$AY$13),Uyum!$B$13:$AY$13,0))</f>
        <v/>
      </c>
      <c r="L12" s="13">
        <f>MIN(1,MAX(Uyum!$B$13:$AY$13))</f>
        <v/>
      </c>
      <c r="M12" s="12">
        <f>IF(I12&lt;&gt;"",J12,K12)</f>
        <v/>
      </c>
      <c r="N12" s="12">
        <f>IFERROR(TRIM(IF(E12&gt;INDEX(Topraklar!$E$2:$E$55,MATCH(IF(I12&lt;&gt;"",I12,INDEX(Uyum!$B$1:$AY$1,MATCH(MAX(Uyum!$B$13:$AY$13),Uyum!$B$13:$AY$13,0))),Topraklar!$A$2:$A$55,0)),"Perlit karıştırın. ","")&amp;IF(D12&lt;INDEX(Topraklar!$D$2:$D$55,MATCH(IF(I12&lt;&gt;"",I12,INDEX(Uyum!$B$1:$AY$1,MATCH(MAX(Uyum!$B$13:$AY$13),Uyum!$B$13:$AY$13,0))),Topraklar!$A$2:$A$55,0)),"Asidik torf karıştırın. ","")&amp;IF(F12&gt;INDEX(Topraklar!$F$2:$F$55,MATCH(IF(I12&lt;&gt;"",I12,INDEX(Uyum!$B$1:$AY$1,MATCH(MAX(Uyum!$B$13:$AY$13),Uyum!$B$13:$AY$13,0))),Topraklar!$A$2:$A$55,0)),"Vermikülit karıştırın. ","")&amp;IF(G12&gt;INDEX(Topraklar!$G$2:$G$55,MATCH(IF(I12&lt;&gt;"",I12,INDEX(Uyum!$B$1:$AY$1,MATCH(MAX(Uyum!$B$13:$AY$13),Uyum!$B$13:$AY$13,0))),Topraklar!$A$2:$A$55,0)),"Solucan gübresi ekleyin.","")),"")</f>
        <v/>
      </c>
    </row>
    <row r="13">
      <c r="A13" s="9" t="inlineStr">
        <is>
          <t>Dua çiçeği</t>
        </is>
      </c>
      <c r="B13" s="9" t="inlineStr">
        <is>
          <t>maranta</t>
        </is>
      </c>
      <c r="C13" s="9" t="inlineStr">
        <is>
          <t>Salon</t>
        </is>
      </c>
      <c r="D13" s="10" t="n">
        <v>2</v>
      </c>
      <c r="E13" s="10" t="n">
        <v>2</v>
      </c>
      <c r="F13" s="10" t="n">
        <v>3</v>
      </c>
      <c r="G13" s="10" t="n">
        <v>2</v>
      </c>
      <c r="H13" s="10" t="inlineStr">
        <is>
          <t>Havalı</t>
        </is>
      </c>
      <c r="I13" s="11" t="inlineStr">
        <is>
          <t>hg-dua-cicegi-saksi-topragi</t>
        </is>
      </c>
      <c r="J13" s="12">
        <f>IF(I13="","",IFERROR(INDEX(Topraklar!$B$2:$B$55,MATCH(I13,Topraklar!$A$2:$A$55,0)),"⚠ slug bulunamadı"))</f>
        <v/>
      </c>
      <c r="K13" s="12">
        <f>INDEX(Uyum!$B$2:$AY$2,MATCH(MAX(Uyum!$B$14:$AY$14),Uyum!$B$14:$AY$14,0))</f>
        <v/>
      </c>
      <c r="L13" s="13">
        <f>MIN(1,MAX(Uyum!$B$14:$AY$14))</f>
        <v/>
      </c>
      <c r="M13" s="12">
        <f>IF(I13&lt;&gt;"",J13,K13)</f>
        <v/>
      </c>
      <c r="N13" s="12">
        <f>IFERROR(TRIM(IF(E13&gt;INDEX(Topraklar!$E$2:$E$55,MATCH(IF(I13&lt;&gt;"",I13,INDEX(Uyum!$B$1:$AY$1,MATCH(MAX(Uyum!$B$14:$AY$14),Uyum!$B$14:$AY$14,0))),Topraklar!$A$2:$A$55,0)),"Perlit karıştırın. ","")&amp;IF(D13&lt;INDEX(Topraklar!$D$2:$D$55,MATCH(IF(I13&lt;&gt;"",I13,INDEX(Uyum!$B$1:$AY$1,MATCH(MAX(Uyum!$B$14:$AY$14),Uyum!$B$14:$AY$14,0))),Topraklar!$A$2:$A$55,0)),"Asidik torf karıştırın. ","")&amp;IF(F13&gt;INDEX(Topraklar!$F$2:$F$55,MATCH(IF(I13&lt;&gt;"",I13,INDEX(Uyum!$B$1:$AY$1,MATCH(MAX(Uyum!$B$14:$AY$14),Uyum!$B$14:$AY$14,0))),Topraklar!$A$2:$A$55,0)),"Vermikülit karıştırın. ","")&amp;IF(G13&gt;INDEX(Topraklar!$G$2:$G$55,MATCH(IF(I13&lt;&gt;"",I13,INDEX(Uyum!$B$1:$AY$1,MATCH(MAX(Uyum!$B$14:$AY$14),Uyum!$B$14:$AY$14,0))),Topraklar!$A$2:$A$55,0)),"Solucan gübresi ekleyin.","")),"")</f>
        <v/>
      </c>
    </row>
    <row r="14">
      <c r="A14" s="9" t="inlineStr">
        <is>
          <t>Calathea</t>
        </is>
      </c>
      <c r="B14" s="9" t="inlineStr">
        <is>
          <t>kalatea</t>
        </is>
      </c>
      <c r="C14" s="9" t="inlineStr">
        <is>
          <t>Salon</t>
        </is>
      </c>
      <c r="D14" s="10" t="n">
        <v>2</v>
      </c>
      <c r="E14" s="10" t="n">
        <v>2</v>
      </c>
      <c r="F14" s="10" t="n">
        <v>3</v>
      </c>
      <c r="G14" s="10" t="n">
        <v>2</v>
      </c>
      <c r="H14" s="10" t="inlineStr">
        <is>
          <t>Havalı</t>
        </is>
      </c>
      <c r="I14" s="11" t="inlineStr"/>
      <c r="J14" s="12">
        <f>IF(I14="","",IFERROR(INDEX(Topraklar!$B$2:$B$55,MATCH(I14,Topraklar!$A$2:$A$55,0)),"⚠ slug bulunamadı"))</f>
        <v/>
      </c>
      <c r="K14" s="12">
        <f>INDEX(Uyum!$B$2:$AY$2,MATCH(MAX(Uyum!$B$15:$AY$15),Uyum!$B$15:$AY$15,0))</f>
        <v/>
      </c>
      <c r="L14" s="13">
        <f>MIN(1,MAX(Uyum!$B$15:$AY$15))</f>
        <v/>
      </c>
      <c r="M14" s="12">
        <f>IF(I14&lt;&gt;"",J14,K14)</f>
        <v/>
      </c>
      <c r="N14" s="12">
        <f>IFERROR(TRIM(IF(E14&gt;INDEX(Topraklar!$E$2:$E$55,MATCH(IF(I14&lt;&gt;"",I14,INDEX(Uyum!$B$1:$AY$1,MATCH(MAX(Uyum!$B$15:$AY$15),Uyum!$B$15:$AY$15,0))),Topraklar!$A$2:$A$55,0)),"Perlit karıştırın. ","")&amp;IF(D14&lt;INDEX(Topraklar!$D$2:$D$55,MATCH(IF(I14&lt;&gt;"",I14,INDEX(Uyum!$B$1:$AY$1,MATCH(MAX(Uyum!$B$15:$AY$15),Uyum!$B$15:$AY$15,0))),Topraklar!$A$2:$A$55,0)),"Asidik torf karıştırın. ","")&amp;IF(F14&gt;INDEX(Topraklar!$F$2:$F$55,MATCH(IF(I14&lt;&gt;"",I14,INDEX(Uyum!$B$1:$AY$1,MATCH(MAX(Uyum!$B$15:$AY$15),Uyum!$B$15:$AY$15,0))),Topraklar!$A$2:$A$55,0)),"Vermikülit karıştırın. ","")&amp;IF(G14&gt;INDEX(Topraklar!$G$2:$G$55,MATCH(IF(I14&lt;&gt;"",I14,INDEX(Uyum!$B$1:$AY$1,MATCH(MAX(Uyum!$B$15:$AY$15),Uyum!$B$15:$AY$15,0))),Topraklar!$A$2:$A$55,0)),"Solucan gübresi ekleyin.","")),"")</f>
        <v/>
      </c>
    </row>
    <row r="15">
      <c r="A15" s="9" t="inlineStr">
        <is>
          <t>Fil kulağı</t>
        </is>
      </c>
      <c r="B15" s="9" t="inlineStr">
        <is>
          <t>alocasia, alokazya</t>
        </is>
      </c>
      <c r="C15" s="9" t="inlineStr">
        <is>
          <t>Salon</t>
        </is>
      </c>
      <c r="D15" s="10" t="n">
        <v>2</v>
      </c>
      <c r="E15" s="10" t="n">
        <v>2</v>
      </c>
      <c r="F15" s="10" t="n">
        <v>3</v>
      </c>
      <c r="G15" s="10" t="n">
        <v>3</v>
      </c>
      <c r="H15" s="10" t="inlineStr">
        <is>
          <t>Havalı</t>
        </is>
      </c>
      <c r="I15" s="11" t="inlineStr">
        <is>
          <t>hg-fil-kulagi-topragi</t>
        </is>
      </c>
      <c r="J15" s="12">
        <f>IF(I15="","",IFERROR(INDEX(Topraklar!$B$2:$B$55,MATCH(I15,Topraklar!$A$2:$A$55,0)),"⚠ slug bulunamadı"))</f>
        <v/>
      </c>
      <c r="K15" s="12">
        <f>INDEX(Uyum!$B$2:$AY$2,MATCH(MAX(Uyum!$B$16:$AY$16),Uyum!$B$16:$AY$16,0))</f>
        <v/>
      </c>
      <c r="L15" s="13">
        <f>MIN(1,MAX(Uyum!$B$16:$AY$16))</f>
        <v/>
      </c>
      <c r="M15" s="12">
        <f>IF(I15&lt;&gt;"",J15,K15)</f>
        <v/>
      </c>
      <c r="N15" s="12">
        <f>IFERROR(TRIM(IF(E15&gt;INDEX(Topraklar!$E$2:$E$55,MATCH(IF(I15&lt;&gt;"",I15,INDEX(Uyum!$B$1:$AY$1,MATCH(MAX(Uyum!$B$16:$AY$16),Uyum!$B$16:$AY$16,0))),Topraklar!$A$2:$A$55,0)),"Perlit karıştırın. ","")&amp;IF(D15&lt;INDEX(Topraklar!$D$2:$D$55,MATCH(IF(I15&lt;&gt;"",I15,INDEX(Uyum!$B$1:$AY$1,MATCH(MAX(Uyum!$B$16:$AY$16),Uyum!$B$16:$AY$16,0))),Topraklar!$A$2:$A$55,0)),"Asidik torf karıştırın. ","")&amp;IF(F15&gt;INDEX(Topraklar!$F$2:$F$55,MATCH(IF(I15&lt;&gt;"",I15,INDEX(Uyum!$B$1:$AY$1,MATCH(MAX(Uyum!$B$16:$AY$16),Uyum!$B$16:$AY$16,0))),Topraklar!$A$2:$A$55,0)),"Vermikülit karıştırın. ","")&amp;IF(G15&gt;INDEX(Topraklar!$G$2:$G$55,MATCH(IF(I15&lt;&gt;"",I15,INDEX(Uyum!$B$1:$AY$1,MATCH(MAX(Uyum!$B$16:$AY$16),Uyum!$B$16:$AY$16,0))),Topraklar!$A$2:$A$55,0)),"Solucan gübresi ekleyin.","")),"")</f>
        <v/>
      </c>
    </row>
    <row r="16">
      <c r="A16" s="9" t="inlineStr">
        <is>
          <t>Areka palmiyesi</t>
        </is>
      </c>
      <c r="B16" s="9" t="inlineStr">
        <is>
          <t>areka, dypsis</t>
        </is>
      </c>
      <c r="C16" s="9" t="inlineStr">
        <is>
          <t>Salon</t>
        </is>
      </c>
      <c r="D16" s="10" t="n">
        <v>2</v>
      </c>
      <c r="E16" s="10" t="n">
        <v>2</v>
      </c>
      <c r="F16" s="10" t="n">
        <v>2</v>
      </c>
      <c r="G16" s="10" t="n">
        <v>2</v>
      </c>
      <c r="H16" s="10" t="inlineStr">
        <is>
          <t>Havalı</t>
        </is>
      </c>
      <c r="I16" s="11" t="inlineStr">
        <is>
          <t>areka-palmiyesi-topragi</t>
        </is>
      </c>
      <c r="J16" s="12">
        <f>IF(I16="","",IFERROR(INDEX(Topraklar!$B$2:$B$55,MATCH(I16,Topraklar!$A$2:$A$55,0)),"⚠ slug bulunamadı"))</f>
        <v/>
      </c>
      <c r="K16" s="12">
        <f>INDEX(Uyum!$B$2:$AY$2,MATCH(MAX(Uyum!$B$17:$AY$17),Uyum!$B$17:$AY$17,0))</f>
        <v/>
      </c>
      <c r="L16" s="13">
        <f>MIN(1,MAX(Uyum!$B$17:$AY$17))</f>
        <v/>
      </c>
      <c r="M16" s="12">
        <f>IF(I16&lt;&gt;"",J16,K16)</f>
        <v/>
      </c>
      <c r="N16" s="12">
        <f>IFERROR(TRIM(IF(E16&gt;INDEX(Topraklar!$E$2:$E$55,MATCH(IF(I16&lt;&gt;"",I16,INDEX(Uyum!$B$1:$AY$1,MATCH(MAX(Uyum!$B$17:$AY$17),Uyum!$B$17:$AY$17,0))),Topraklar!$A$2:$A$55,0)),"Perlit karıştırın. ","")&amp;IF(D16&lt;INDEX(Topraklar!$D$2:$D$55,MATCH(IF(I16&lt;&gt;"",I16,INDEX(Uyum!$B$1:$AY$1,MATCH(MAX(Uyum!$B$17:$AY$17),Uyum!$B$17:$AY$17,0))),Topraklar!$A$2:$A$55,0)),"Asidik torf karıştırın. ","")&amp;IF(F16&gt;INDEX(Topraklar!$F$2:$F$55,MATCH(IF(I16&lt;&gt;"",I16,INDEX(Uyum!$B$1:$AY$1,MATCH(MAX(Uyum!$B$17:$AY$17),Uyum!$B$17:$AY$17,0))),Topraklar!$A$2:$A$55,0)),"Vermikülit karıştırın. ","")&amp;IF(G16&gt;INDEX(Topraklar!$G$2:$G$55,MATCH(IF(I16&lt;&gt;"",I16,INDEX(Uyum!$B$1:$AY$1,MATCH(MAX(Uyum!$B$17:$AY$17),Uyum!$B$17:$AY$17,0))),Topraklar!$A$2:$A$55,0)),"Solucan gübresi ekleyin.","")),"")</f>
        <v/>
      </c>
    </row>
    <row r="17">
      <c r="A17" s="9" t="inlineStr">
        <is>
          <t>Kentia palmiyesi</t>
        </is>
      </c>
      <c r="B17" s="9" t="inlineStr">
        <is>
          <t>kentia, howea</t>
        </is>
      </c>
      <c r="C17" s="9" t="inlineStr">
        <is>
          <t>Salon</t>
        </is>
      </c>
      <c r="D17" s="10" t="n">
        <v>2</v>
      </c>
      <c r="E17" s="10" t="n">
        <v>2</v>
      </c>
      <c r="F17" s="10" t="n">
        <v>2</v>
      </c>
      <c r="G17" s="10" t="n">
        <v>2</v>
      </c>
      <c r="H17" s="10" t="inlineStr">
        <is>
          <t>Havalı</t>
        </is>
      </c>
      <c r="I17" s="11" t="inlineStr"/>
      <c r="J17" s="12">
        <f>IF(I17="","",IFERROR(INDEX(Topraklar!$B$2:$B$55,MATCH(I17,Topraklar!$A$2:$A$55,0)),"⚠ slug bulunamadı"))</f>
        <v/>
      </c>
      <c r="K17" s="12">
        <f>INDEX(Uyum!$B$2:$AY$2,MATCH(MAX(Uyum!$B$18:$AY$18),Uyum!$B$18:$AY$18,0))</f>
        <v/>
      </c>
      <c r="L17" s="13">
        <f>MIN(1,MAX(Uyum!$B$18:$AY$18))</f>
        <v/>
      </c>
      <c r="M17" s="12">
        <f>IF(I17&lt;&gt;"",J17,K17)</f>
        <v/>
      </c>
      <c r="N17" s="12">
        <f>IFERROR(TRIM(IF(E17&gt;INDEX(Topraklar!$E$2:$E$55,MATCH(IF(I17&lt;&gt;"",I17,INDEX(Uyum!$B$1:$AY$1,MATCH(MAX(Uyum!$B$18:$AY$18),Uyum!$B$18:$AY$18,0))),Topraklar!$A$2:$A$55,0)),"Perlit karıştırın. ","")&amp;IF(D17&lt;INDEX(Topraklar!$D$2:$D$55,MATCH(IF(I17&lt;&gt;"",I17,INDEX(Uyum!$B$1:$AY$1,MATCH(MAX(Uyum!$B$18:$AY$18),Uyum!$B$18:$AY$18,0))),Topraklar!$A$2:$A$55,0)),"Asidik torf karıştırın. ","")&amp;IF(F17&gt;INDEX(Topraklar!$F$2:$F$55,MATCH(IF(I17&lt;&gt;"",I17,INDEX(Uyum!$B$1:$AY$1,MATCH(MAX(Uyum!$B$18:$AY$18),Uyum!$B$18:$AY$18,0))),Topraklar!$A$2:$A$55,0)),"Vermikülit karıştırın. ","")&amp;IF(G17&gt;INDEX(Topraklar!$G$2:$G$55,MATCH(IF(I17&lt;&gt;"",I17,INDEX(Uyum!$B$1:$AY$1,MATCH(MAX(Uyum!$B$18:$AY$18),Uyum!$B$18:$AY$18,0))),Topraklar!$A$2:$A$55,0)),"Solucan gübresi ekleyin.","")),"")</f>
        <v/>
      </c>
    </row>
    <row r="18">
      <c r="A18" s="9" t="inlineStr">
        <is>
          <t>Şeflera</t>
        </is>
      </c>
      <c r="B18" s="9" t="inlineStr">
        <is>
          <t>schefflera</t>
        </is>
      </c>
      <c r="C18" s="9" t="inlineStr">
        <is>
          <t>Salon</t>
        </is>
      </c>
      <c r="D18" s="10" t="n">
        <v>2</v>
      </c>
      <c r="E18" s="10" t="n">
        <v>2</v>
      </c>
      <c r="F18" s="10" t="n">
        <v>2</v>
      </c>
      <c r="G18" s="10" t="n">
        <v>2</v>
      </c>
      <c r="H18" s="10" t="inlineStr">
        <is>
          <t>Dengeli</t>
        </is>
      </c>
      <c r="I18" s="11" t="inlineStr">
        <is>
          <t>hg-seflera-schefflera-topragi</t>
        </is>
      </c>
      <c r="J18" s="12">
        <f>IF(I18="","",IFERROR(INDEX(Topraklar!$B$2:$B$55,MATCH(I18,Topraklar!$A$2:$A$55,0)),"⚠ slug bulunamadı"))</f>
        <v/>
      </c>
      <c r="K18" s="12">
        <f>INDEX(Uyum!$B$2:$AY$2,MATCH(MAX(Uyum!$B$19:$AY$19),Uyum!$B$19:$AY$19,0))</f>
        <v/>
      </c>
      <c r="L18" s="13">
        <f>MIN(1,MAX(Uyum!$B$19:$AY$19))</f>
        <v/>
      </c>
      <c r="M18" s="12">
        <f>IF(I18&lt;&gt;"",J18,K18)</f>
        <v/>
      </c>
      <c r="N18" s="12">
        <f>IFERROR(TRIM(IF(E18&gt;INDEX(Topraklar!$E$2:$E$55,MATCH(IF(I18&lt;&gt;"",I18,INDEX(Uyum!$B$1:$AY$1,MATCH(MAX(Uyum!$B$19:$AY$19),Uyum!$B$19:$AY$19,0))),Topraklar!$A$2:$A$55,0)),"Perlit karıştırın. ","")&amp;IF(D18&lt;INDEX(Topraklar!$D$2:$D$55,MATCH(IF(I18&lt;&gt;"",I18,INDEX(Uyum!$B$1:$AY$1,MATCH(MAX(Uyum!$B$19:$AY$19),Uyum!$B$19:$AY$19,0))),Topraklar!$A$2:$A$55,0)),"Asidik torf karıştırın. ","")&amp;IF(F18&gt;INDEX(Topraklar!$F$2:$F$55,MATCH(IF(I18&lt;&gt;"",I18,INDEX(Uyum!$B$1:$AY$1,MATCH(MAX(Uyum!$B$19:$AY$19),Uyum!$B$19:$AY$19,0))),Topraklar!$A$2:$A$55,0)),"Vermikülit karıştırın. ","")&amp;IF(G18&gt;INDEX(Topraklar!$G$2:$G$55,MATCH(IF(I18&lt;&gt;"",I18,INDEX(Uyum!$B$1:$AY$1,MATCH(MAX(Uyum!$B$19:$AY$19),Uyum!$B$19:$AY$19,0))),Topraklar!$A$2:$A$55,0)),"Solucan gübresi ekleyin.","")),"")</f>
        <v/>
      </c>
    </row>
    <row r="19">
      <c r="A19" s="9" t="inlineStr">
        <is>
          <t>Pilea</t>
        </is>
      </c>
      <c r="B19" s="9" t="inlineStr">
        <is>
          <t>çin para çiçeği</t>
        </is>
      </c>
      <c r="C19" s="9" t="inlineStr">
        <is>
          <t>Salon</t>
        </is>
      </c>
      <c r="D19" s="10" t="n">
        <v>2</v>
      </c>
      <c r="E19" s="10" t="n">
        <v>2</v>
      </c>
      <c r="F19" s="10" t="n">
        <v>2</v>
      </c>
      <c r="G19" s="10" t="n">
        <v>2</v>
      </c>
      <c r="H19" s="10" t="inlineStr">
        <is>
          <t>Havalı</t>
        </is>
      </c>
      <c r="I19" s="11" t="inlineStr">
        <is>
          <t>hg-cin-para-cicegi-pilea-saksi-topragi</t>
        </is>
      </c>
      <c r="J19" s="12">
        <f>IF(I19="","",IFERROR(INDEX(Topraklar!$B$2:$B$55,MATCH(I19,Topraklar!$A$2:$A$55,0)),"⚠ slug bulunamadı"))</f>
        <v/>
      </c>
      <c r="K19" s="12">
        <f>INDEX(Uyum!$B$2:$AY$2,MATCH(MAX(Uyum!$B$20:$AY$20),Uyum!$B$20:$AY$20,0))</f>
        <v/>
      </c>
      <c r="L19" s="13">
        <f>MIN(1,MAX(Uyum!$B$20:$AY$20))</f>
        <v/>
      </c>
      <c r="M19" s="12">
        <f>IF(I19&lt;&gt;"",J19,K19)</f>
        <v/>
      </c>
      <c r="N19" s="12">
        <f>IFERROR(TRIM(IF(E19&gt;INDEX(Topraklar!$E$2:$E$55,MATCH(IF(I19&lt;&gt;"",I19,INDEX(Uyum!$B$1:$AY$1,MATCH(MAX(Uyum!$B$20:$AY$20),Uyum!$B$20:$AY$20,0))),Topraklar!$A$2:$A$55,0)),"Perlit karıştırın. ","")&amp;IF(D19&lt;INDEX(Topraklar!$D$2:$D$55,MATCH(IF(I19&lt;&gt;"",I19,INDEX(Uyum!$B$1:$AY$1,MATCH(MAX(Uyum!$B$20:$AY$20),Uyum!$B$20:$AY$20,0))),Topraklar!$A$2:$A$55,0)),"Asidik torf karıştırın. ","")&amp;IF(F19&gt;INDEX(Topraklar!$F$2:$F$55,MATCH(IF(I19&lt;&gt;"",I19,INDEX(Uyum!$B$1:$AY$1,MATCH(MAX(Uyum!$B$20:$AY$20),Uyum!$B$20:$AY$20,0))),Topraklar!$A$2:$A$55,0)),"Vermikülit karıştırın. ","")&amp;IF(G19&gt;INDEX(Topraklar!$G$2:$G$55,MATCH(IF(I19&lt;&gt;"",I19,INDEX(Uyum!$B$1:$AY$1,MATCH(MAX(Uyum!$B$20:$AY$20),Uyum!$B$20:$AY$20,0))),Topraklar!$A$2:$A$55,0)),"Solucan gübresi ekleyin.","")),"")</f>
        <v/>
      </c>
    </row>
    <row r="20">
      <c r="A20" s="9" t="inlineStr">
        <is>
          <t>Dracaena</t>
        </is>
      </c>
      <c r="B20" s="9" t="inlineStr">
        <is>
          <t>ejderha ağacı, drasena</t>
        </is>
      </c>
      <c r="C20" s="9" t="inlineStr">
        <is>
          <t>Salon</t>
        </is>
      </c>
      <c r="D20" s="10" t="n">
        <v>2</v>
      </c>
      <c r="E20" s="10" t="n">
        <v>2</v>
      </c>
      <c r="F20" s="10" t="n">
        <v>2</v>
      </c>
      <c r="G20" s="10" t="n">
        <v>2</v>
      </c>
      <c r="H20" s="10" t="inlineStr">
        <is>
          <t>Dengeli</t>
        </is>
      </c>
      <c r="I20" s="11" t="inlineStr"/>
      <c r="J20" s="12">
        <f>IF(I20="","",IFERROR(INDEX(Topraklar!$B$2:$B$55,MATCH(I20,Topraklar!$A$2:$A$55,0)),"⚠ slug bulunamadı"))</f>
        <v/>
      </c>
      <c r="K20" s="12">
        <f>INDEX(Uyum!$B$2:$AY$2,MATCH(MAX(Uyum!$B$21:$AY$21),Uyum!$B$21:$AY$21,0))</f>
        <v/>
      </c>
      <c r="L20" s="13">
        <f>MIN(1,MAX(Uyum!$B$21:$AY$21))</f>
        <v/>
      </c>
      <c r="M20" s="12">
        <f>IF(I20&lt;&gt;"",J20,K20)</f>
        <v/>
      </c>
      <c r="N20" s="12">
        <f>IFERROR(TRIM(IF(E20&gt;INDEX(Topraklar!$E$2:$E$55,MATCH(IF(I20&lt;&gt;"",I20,INDEX(Uyum!$B$1:$AY$1,MATCH(MAX(Uyum!$B$21:$AY$21),Uyum!$B$21:$AY$21,0))),Topraklar!$A$2:$A$55,0)),"Perlit karıştırın. ","")&amp;IF(D20&lt;INDEX(Topraklar!$D$2:$D$55,MATCH(IF(I20&lt;&gt;"",I20,INDEX(Uyum!$B$1:$AY$1,MATCH(MAX(Uyum!$B$21:$AY$21),Uyum!$B$21:$AY$21,0))),Topraklar!$A$2:$A$55,0)),"Asidik torf karıştırın. ","")&amp;IF(F20&gt;INDEX(Topraklar!$F$2:$F$55,MATCH(IF(I20&lt;&gt;"",I20,INDEX(Uyum!$B$1:$AY$1,MATCH(MAX(Uyum!$B$21:$AY$21),Uyum!$B$21:$AY$21,0))),Topraklar!$A$2:$A$55,0)),"Vermikülit karıştırın. ","")&amp;IF(G20&gt;INDEX(Topraklar!$G$2:$G$55,MATCH(IF(I20&lt;&gt;"",I20,INDEX(Uyum!$B$1:$AY$1,MATCH(MAX(Uyum!$B$21:$AY$21),Uyum!$B$21:$AY$21,0))),Topraklar!$A$2:$A$55,0)),"Solucan gübresi ekleyin.","")),"")</f>
        <v/>
      </c>
    </row>
    <row r="21">
      <c r="A21" s="9" t="inlineStr">
        <is>
          <t>Aglaonema</t>
        </is>
      </c>
      <c r="B21" s="9" t="inlineStr">
        <is>
          <t>çin her dem yeşili</t>
        </is>
      </c>
      <c r="C21" s="9" t="inlineStr">
        <is>
          <t>Salon</t>
        </is>
      </c>
      <c r="D21" s="10" t="n">
        <v>2</v>
      </c>
      <c r="E21" s="10" t="n">
        <v>2</v>
      </c>
      <c r="F21" s="10" t="n">
        <v>2</v>
      </c>
      <c r="G21" s="10" t="n">
        <v>2</v>
      </c>
      <c r="H21" s="10" t="inlineStr">
        <is>
          <t>Havalı</t>
        </is>
      </c>
      <c r="I21" s="11" t="inlineStr"/>
      <c r="J21" s="12">
        <f>IF(I21="","",IFERROR(INDEX(Topraklar!$B$2:$B$55,MATCH(I21,Topraklar!$A$2:$A$55,0)),"⚠ slug bulunamadı"))</f>
        <v/>
      </c>
      <c r="K21" s="12">
        <f>INDEX(Uyum!$B$2:$AY$2,MATCH(MAX(Uyum!$B$22:$AY$22),Uyum!$B$22:$AY$22,0))</f>
        <v/>
      </c>
      <c r="L21" s="13">
        <f>MIN(1,MAX(Uyum!$B$22:$AY$22))</f>
        <v/>
      </c>
      <c r="M21" s="12">
        <f>IF(I21&lt;&gt;"",J21,K21)</f>
        <v/>
      </c>
      <c r="N21" s="12">
        <f>IFERROR(TRIM(IF(E21&gt;INDEX(Topraklar!$E$2:$E$55,MATCH(IF(I21&lt;&gt;"",I21,INDEX(Uyum!$B$1:$AY$1,MATCH(MAX(Uyum!$B$22:$AY$22),Uyum!$B$22:$AY$22,0))),Topraklar!$A$2:$A$55,0)),"Perlit karıştırın. ","")&amp;IF(D21&lt;INDEX(Topraklar!$D$2:$D$55,MATCH(IF(I21&lt;&gt;"",I21,INDEX(Uyum!$B$1:$AY$1,MATCH(MAX(Uyum!$B$22:$AY$22),Uyum!$B$22:$AY$22,0))),Topraklar!$A$2:$A$55,0)),"Asidik torf karıştırın. ","")&amp;IF(F21&gt;INDEX(Topraklar!$F$2:$F$55,MATCH(IF(I21&lt;&gt;"",I21,INDEX(Uyum!$B$1:$AY$1,MATCH(MAX(Uyum!$B$22:$AY$22),Uyum!$B$22:$AY$22,0))),Topraklar!$A$2:$A$55,0)),"Vermikülit karıştırın. ","")&amp;IF(G21&gt;INDEX(Topraklar!$G$2:$G$55,MATCH(IF(I21&lt;&gt;"",I21,INDEX(Uyum!$B$1:$AY$1,MATCH(MAX(Uyum!$B$22:$AY$22),Uyum!$B$22:$AY$22,0))),Topraklar!$A$2:$A$55,0)),"Solucan gübresi ekleyin.","")),"")</f>
        <v/>
      </c>
    </row>
    <row r="22">
      <c r="A22" s="9" t="inlineStr">
        <is>
          <t>Kurdele çiçeği</t>
        </is>
      </c>
      <c r="B22" s="9" t="inlineStr">
        <is>
          <t>chlorophytum, örümcek bitkisi</t>
        </is>
      </c>
      <c r="C22" s="9" t="inlineStr">
        <is>
          <t>Salon</t>
        </is>
      </c>
      <c r="D22" s="10" t="n">
        <v>2</v>
      </c>
      <c r="E22" s="10" t="n">
        <v>2</v>
      </c>
      <c r="F22" s="10" t="n">
        <v>2</v>
      </c>
      <c r="G22" s="10" t="n">
        <v>2</v>
      </c>
      <c r="H22" s="10" t="inlineStr">
        <is>
          <t>Dengeli</t>
        </is>
      </c>
      <c r="I22" s="11" t="inlineStr"/>
      <c r="J22" s="12">
        <f>IF(I22="","",IFERROR(INDEX(Topraklar!$B$2:$B$55,MATCH(I22,Topraklar!$A$2:$A$55,0)),"⚠ slug bulunamadı"))</f>
        <v/>
      </c>
      <c r="K22" s="12">
        <f>INDEX(Uyum!$B$2:$AY$2,MATCH(MAX(Uyum!$B$23:$AY$23),Uyum!$B$23:$AY$23,0))</f>
        <v/>
      </c>
      <c r="L22" s="13">
        <f>MIN(1,MAX(Uyum!$B$23:$AY$23))</f>
        <v/>
      </c>
      <c r="M22" s="12">
        <f>IF(I22&lt;&gt;"",J22,K22)</f>
        <v/>
      </c>
      <c r="N22" s="12">
        <f>IFERROR(TRIM(IF(E22&gt;INDEX(Topraklar!$E$2:$E$55,MATCH(IF(I22&lt;&gt;"",I22,INDEX(Uyum!$B$1:$AY$1,MATCH(MAX(Uyum!$B$23:$AY$23),Uyum!$B$23:$AY$23,0))),Topraklar!$A$2:$A$55,0)),"Perlit karıştırın. ","")&amp;IF(D22&lt;INDEX(Topraklar!$D$2:$D$55,MATCH(IF(I22&lt;&gt;"",I22,INDEX(Uyum!$B$1:$AY$1,MATCH(MAX(Uyum!$B$23:$AY$23),Uyum!$B$23:$AY$23,0))),Topraklar!$A$2:$A$55,0)),"Asidik torf karıştırın. ","")&amp;IF(F22&gt;INDEX(Topraklar!$F$2:$F$55,MATCH(IF(I22&lt;&gt;"",I22,INDEX(Uyum!$B$1:$AY$1,MATCH(MAX(Uyum!$B$23:$AY$23),Uyum!$B$23:$AY$23,0))),Topraklar!$A$2:$A$55,0)),"Vermikülit karıştırın. ","")&amp;IF(G22&gt;INDEX(Topraklar!$G$2:$G$55,MATCH(IF(I22&lt;&gt;"",I22,INDEX(Uyum!$B$1:$AY$1,MATCH(MAX(Uyum!$B$23:$AY$23),Uyum!$B$23:$AY$23,0))),Topraklar!$A$2:$A$55,0)),"Solucan gübresi ekleyin.","")),"")</f>
        <v/>
      </c>
    </row>
    <row r="23">
      <c r="A23" s="9" t="inlineStr">
        <is>
          <t>Eğrelti otu</t>
        </is>
      </c>
      <c r="B23" s="9" t="inlineStr">
        <is>
          <t>fern, nephrolepis</t>
        </is>
      </c>
      <c r="C23" s="9" t="inlineStr">
        <is>
          <t>Salon</t>
        </is>
      </c>
      <c r="D23" s="10" t="n">
        <v>2</v>
      </c>
      <c r="E23" s="10" t="n">
        <v>2</v>
      </c>
      <c r="F23" s="10" t="n">
        <v>3</v>
      </c>
      <c r="G23" s="10" t="n">
        <v>2</v>
      </c>
      <c r="H23" s="10" t="inlineStr">
        <is>
          <t>Havalı</t>
        </is>
      </c>
      <c r="I23" s="11" t="inlineStr"/>
      <c r="J23" s="12">
        <f>IF(I23="","",IFERROR(INDEX(Topraklar!$B$2:$B$55,MATCH(I23,Topraklar!$A$2:$A$55,0)),"⚠ slug bulunamadı"))</f>
        <v/>
      </c>
      <c r="K23" s="12">
        <f>INDEX(Uyum!$B$2:$AY$2,MATCH(MAX(Uyum!$B$24:$AY$24),Uyum!$B$24:$AY$24,0))</f>
        <v/>
      </c>
      <c r="L23" s="13">
        <f>MIN(1,MAX(Uyum!$B$24:$AY$24))</f>
        <v/>
      </c>
      <c r="M23" s="12">
        <f>IF(I23&lt;&gt;"",J23,K23)</f>
        <v/>
      </c>
      <c r="N23" s="12">
        <f>IFERROR(TRIM(IF(E23&gt;INDEX(Topraklar!$E$2:$E$55,MATCH(IF(I23&lt;&gt;"",I23,INDEX(Uyum!$B$1:$AY$1,MATCH(MAX(Uyum!$B$24:$AY$24),Uyum!$B$24:$AY$24,0))),Topraklar!$A$2:$A$55,0)),"Perlit karıştırın. ","")&amp;IF(D23&lt;INDEX(Topraklar!$D$2:$D$55,MATCH(IF(I23&lt;&gt;"",I23,INDEX(Uyum!$B$1:$AY$1,MATCH(MAX(Uyum!$B$24:$AY$24),Uyum!$B$24:$AY$24,0))),Topraklar!$A$2:$A$55,0)),"Asidik torf karıştırın. ","")&amp;IF(F23&gt;INDEX(Topraklar!$F$2:$F$55,MATCH(IF(I23&lt;&gt;"",I23,INDEX(Uyum!$B$1:$AY$1,MATCH(MAX(Uyum!$B$24:$AY$24),Uyum!$B$24:$AY$24,0))),Topraklar!$A$2:$A$55,0)),"Vermikülit karıştırın. ","")&amp;IF(G23&gt;INDEX(Topraklar!$G$2:$G$55,MATCH(IF(I23&lt;&gt;"",I23,INDEX(Uyum!$B$1:$AY$1,MATCH(MAX(Uyum!$B$24:$AY$24),Uyum!$B$24:$AY$24,0))),Topraklar!$A$2:$A$55,0)),"Solucan gübresi ekleyin.","")),"")</f>
        <v/>
      </c>
    </row>
    <row r="24">
      <c r="A24" s="9" t="inlineStr">
        <is>
          <t>Guzmanya</t>
        </is>
      </c>
      <c r="B24" s="9" t="inlineStr">
        <is>
          <t>bromelya, guzmania</t>
        </is>
      </c>
      <c r="C24" s="9" t="inlineStr">
        <is>
          <t>Salon</t>
        </is>
      </c>
      <c r="D24" s="10" t="n">
        <v>2</v>
      </c>
      <c r="E24" s="10" t="n">
        <v>3</v>
      </c>
      <c r="F24" s="10" t="n">
        <v>1</v>
      </c>
      <c r="G24" s="10" t="n">
        <v>1</v>
      </c>
      <c r="H24" s="10" t="inlineStr">
        <is>
          <t>Havalı</t>
        </is>
      </c>
      <c r="I24" s="11" t="inlineStr"/>
      <c r="J24" s="12">
        <f>IF(I24="","",IFERROR(INDEX(Topraklar!$B$2:$B$55,MATCH(I24,Topraklar!$A$2:$A$55,0)),"⚠ slug bulunamadı"))</f>
        <v/>
      </c>
      <c r="K24" s="12">
        <f>INDEX(Uyum!$B$2:$AY$2,MATCH(MAX(Uyum!$B$25:$AY$25),Uyum!$B$25:$AY$25,0))</f>
        <v/>
      </c>
      <c r="L24" s="13">
        <f>MIN(1,MAX(Uyum!$B$25:$AY$25))</f>
        <v/>
      </c>
      <c r="M24" s="12">
        <f>IF(I24&lt;&gt;"",J24,K24)</f>
        <v/>
      </c>
      <c r="N24" s="12">
        <f>IFERROR(TRIM(IF(E24&gt;INDEX(Topraklar!$E$2:$E$55,MATCH(IF(I24&lt;&gt;"",I24,INDEX(Uyum!$B$1:$AY$1,MATCH(MAX(Uyum!$B$25:$AY$25),Uyum!$B$25:$AY$25,0))),Topraklar!$A$2:$A$55,0)),"Perlit karıştırın. ","")&amp;IF(D24&lt;INDEX(Topraklar!$D$2:$D$55,MATCH(IF(I24&lt;&gt;"",I24,INDEX(Uyum!$B$1:$AY$1,MATCH(MAX(Uyum!$B$25:$AY$25),Uyum!$B$25:$AY$25,0))),Topraklar!$A$2:$A$55,0)),"Asidik torf karıştırın. ","")&amp;IF(F24&gt;INDEX(Topraklar!$F$2:$F$55,MATCH(IF(I24&lt;&gt;"",I24,INDEX(Uyum!$B$1:$AY$1,MATCH(MAX(Uyum!$B$25:$AY$25),Uyum!$B$25:$AY$25,0))),Topraklar!$A$2:$A$55,0)),"Vermikülit karıştırın. ","")&amp;IF(G24&gt;INDEX(Topraklar!$G$2:$G$55,MATCH(IF(I24&lt;&gt;"",I24,INDEX(Uyum!$B$1:$AY$1,MATCH(MAX(Uyum!$B$25:$AY$25),Uyum!$B$25:$AY$25,0))),Topraklar!$A$2:$A$55,0)),"Solucan gübresi ekleyin.","")),"")</f>
        <v/>
      </c>
    </row>
    <row r="25">
      <c r="A25" s="9" t="inlineStr">
        <is>
          <t>Begonya</t>
        </is>
      </c>
      <c r="B25" s="9" t="inlineStr">
        <is>
          <t>begonia</t>
        </is>
      </c>
      <c r="C25" s="9" t="inlineStr">
        <is>
          <t>Salon</t>
        </is>
      </c>
      <c r="D25" s="10" t="n">
        <v>2</v>
      </c>
      <c r="E25" s="10" t="n">
        <v>2</v>
      </c>
      <c r="F25" s="10" t="n">
        <v>2</v>
      </c>
      <c r="G25" s="10" t="n">
        <v>2</v>
      </c>
      <c r="H25" s="10" t="inlineStr">
        <is>
          <t>Havalı</t>
        </is>
      </c>
      <c r="I25" s="11" t="inlineStr"/>
      <c r="J25" s="12">
        <f>IF(I25="","",IFERROR(INDEX(Topraklar!$B$2:$B$55,MATCH(I25,Topraklar!$A$2:$A$55,0)),"⚠ slug bulunamadı"))</f>
        <v/>
      </c>
      <c r="K25" s="12">
        <f>INDEX(Uyum!$B$2:$AY$2,MATCH(MAX(Uyum!$B$26:$AY$26),Uyum!$B$26:$AY$26,0))</f>
        <v/>
      </c>
      <c r="L25" s="13">
        <f>MIN(1,MAX(Uyum!$B$26:$AY$26))</f>
        <v/>
      </c>
      <c r="M25" s="12">
        <f>IF(I25&lt;&gt;"",J25,K25)</f>
        <v/>
      </c>
      <c r="N25" s="12">
        <f>IFERROR(TRIM(IF(E25&gt;INDEX(Topraklar!$E$2:$E$55,MATCH(IF(I25&lt;&gt;"",I25,INDEX(Uyum!$B$1:$AY$1,MATCH(MAX(Uyum!$B$26:$AY$26),Uyum!$B$26:$AY$26,0))),Topraklar!$A$2:$A$55,0)),"Perlit karıştırın. ","")&amp;IF(D25&lt;INDEX(Topraklar!$D$2:$D$55,MATCH(IF(I25&lt;&gt;"",I25,INDEX(Uyum!$B$1:$AY$1,MATCH(MAX(Uyum!$B$26:$AY$26),Uyum!$B$26:$AY$26,0))),Topraklar!$A$2:$A$55,0)),"Asidik torf karıştırın. ","")&amp;IF(F25&gt;INDEX(Topraklar!$F$2:$F$55,MATCH(IF(I25&lt;&gt;"",I25,INDEX(Uyum!$B$1:$AY$1,MATCH(MAX(Uyum!$B$26:$AY$26),Uyum!$B$26:$AY$26,0))),Topraklar!$A$2:$A$55,0)),"Vermikülit karıştırın. ","")&amp;IF(G25&gt;INDEX(Topraklar!$G$2:$G$55,MATCH(IF(I25&lt;&gt;"",I25,INDEX(Uyum!$B$1:$AY$1,MATCH(MAX(Uyum!$B$26:$AY$26),Uyum!$B$26:$AY$26,0))),Topraklar!$A$2:$A$55,0)),"Solucan gübresi ekleyin.","")),"")</f>
        <v/>
      </c>
    </row>
    <row r="26">
      <c r="A26" s="9" t="inlineStr">
        <is>
          <t>Atatürk çiçeği</t>
        </is>
      </c>
      <c r="B26" s="9" t="inlineStr">
        <is>
          <t>poinsettia, ponsetya</t>
        </is>
      </c>
      <c r="C26" s="9" t="inlineStr">
        <is>
          <t>Salon</t>
        </is>
      </c>
      <c r="D26" s="10" t="n">
        <v>2</v>
      </c>
      <c r="E26" s="10" t="n">
        <v>2</v>
      </c>
      <c r="F26" s="10" t="n">
        <v>2</v>
      </c>
      <c r="G26" s="10" t="n">
        <v>2</v>
      </c>
      <c r="H26" s="10" t="inlineStr">
        <is>
          <t>Dengeli</t>
        </is>
      </c>
      <c r="I26" s="11" t="inlineStr"/>
      <c r="J26" s="12">
        <f>IF(I26="","",IFERROR(INDEX(Topraklar!$B$2:$B$55,MATCH(I26,Topraklar!$A$2:$A$55,0)),"⚠ slug bulunamadı"))</f>
        <v/>
      </c>
      <c r="K26" s="12">
        <f>INDEX(Uyum!$B$2:$AY$2,MATCH(MAX(Uyum!$B$27:$AY$27),Uyum!$B$27:$AY$27,0))</f>
        <v/>
      </c>
      <c r="L26" s="13">
        <f>MIN(1,MAX(Uyum!$B$27:$AY$27))</f>
        <v/>
      </c>
      <c r="M26" s="12">
        <f>IF(I26&lt;&gt;"",J26,K26)</f>
        <v/>
      </c>
      <c r="N26" s="12">
        <f>IFERROR(TRIM(IF(E26&gt;INDEX(Topraklar!$E$2:$E$55,MATCH(IF(I26&lt;&gt;"",I26,INDEX(Uyum!$B$1:$AY$1,MATCH(MAX(Uyum!$B$27:$AY$27),Uyum!$B$27:$AY$27,0))),Topraklar!$A$2:$A$55,0)),"Perlit karıştırın. ","")&amp;IF(D26&lt;INDEX(Topraklar!$D$2:$D$55,MATCH(IF(I26&lt;&gt;"",I26,INDEX(Uyum!$B$1:$AY$1,MATCH(MAX(Uyum!$B$27:$AY$27),Uyum!$B$27:$AY$27,0))),Topraklar!$A$2:$A$55,0)),"Asidik torf karıştırın. ","")&amp;IF(F26&gt;INDEX(Topraklar!$F$2:$F$55,MATCH(IF(I26&lt;&gt;"",I26,INDEX(Uyum!$B$1:$AY$1,MATCH(MAX(Uyum!$B$27:$AY$27),Uyum!$B$27:$AY$27,0))),Topraklar!$A$2:$A$55,0)),"Vermikülit karıştırın. ","")&amp;IF(G26&gt;INDEX(Topraklar!$G$2:$G$55,MATCH(IF(I26&lt;&gt;"",I26,INDEX(Uyum!$B$1:$AY$1,MATCH(MAX(Uyum!$B$27:$AY$27),Uyum!$B$27:$AY$27,0))),Topraklar!$A$2:$A$55,0)),"Solucan gübresi ekleyin.","")),"")</f>
        <v/>
      </c>
    </row>
    <row r="27">
      <c r="A27" s="9" t="inlineStr">
        <is>
          <t>Yuka</t>
        </is>
      </c>
      <c r="B27" s="9" t="inlineStr">
        <is>
          <t>yucca</t>
        </is>
      </c>
      <c r="C27" s="9" t="inlineStr">
        <is>
          <t>Salon</t>
        </is>
      </c>
      <c r="D27" s="10" t="n">
        <v>3</v>
      </c>
      <c r="E27" s="10" t="n">
        <v>3</v>
      </c>
      <c r="F27" s="10" t="n">
        <v>1</v>
      </c>
      <c r="G27" s="10" t="n">
        <v>1</v>
      </c>
      <c r="H27" s="10" t="inlineStr">
        <is>
          <t>Kumlu</t>
        </is>
      </c>
      <c r="I27" s="11" t="inlineStr">
        <is>
          <t>yuka-yucca-topragi-ozel-karisim</t>
        </is>
      </c>
      <c r="J27" s="12">
        <f>IF(I27="","",IFERROR(INDEX(Topraklar!$B$2:$B$55,MATCH(I27,Topraklar!$A$2:$A$55,0)),"⚠ slug bulunamadı"))</f>
        <v/>
      </c>
      <c r="K27" s="12">
        <f>INDEX(Uyum!$B$2:$AY$2,MATCH(MAX(Uyum!$B$28:$AY$28),Uyum!$B$28:$AY$28,0))</f>
        <v/>
      </c>
      <c r="L27" s="13">
        <f>MIN(1,MAX(Uyum!$B$28:$AY$28))</f>
        <v/>
      </c>
      <c r="M27" s="12">
        <f>IF(I27&lt;&gt;"",J27,K27)</f>
        <v/>
      </c>
      <c r="N27" s="12">
        <f>IFERROR(TRIM(IF(E27&gt;INDEX(Topraklar!$E$2:$E$55,MATCH(IF(I27&lt;&gt;"",I27,INDEX(Uyum!$B$1:$AY$1,MATCH(MAX(Uyum!$B$28:$AY$28),Uyum!$B$28:$AY$28,0))),Topraklar!$A$2:$A$55,0)),"Perlit karıştırın. ","")&amp;IF(D27&lt;INDEX(Topraklar!$D$2:$D$55,MATCH(IF(I27&lt;&gt;"",I27,INDEX(Uyum!$B$1:$AY$1,MATCH(MAX(Uyum!$B$28:$AY$28),Uyum!$B$28:$AY$28,0))),Topraklar!$A$2:$A$55,0)),"Asidik torf karıştırın. ","")&amp;IF(F27&gt;INDEX(Topraklar!$F$2:$F$55,MATCH(IF(I27&lt;&gt;"",I27,INDEX(Uyum!$B$1:$AY$1,MATCH(MAX(Uyum!$B$28:$AY$28),Uyum!$B$28:$AY$28,0))),Topraklar!$A$2:$A$55,0)),"Vermikülit karıştırın. ","")&amp;IF(G27&gt;INDEX(Topraklar!$G$2:$G$55,MATCH(IF(I27&lt;&gt;"",I27,INDEX(Uyum!$B$1:$AY$1,MATCH(MAX(Uyum!$B$28:$AY$28),Uyum!$B$28:$AY$28,0))),Topraklar!$A$2:$A$55,0)),"Solucan gübresi ekleyin.","")),"")</f>
        <v/>
      </c>
    </row>
    <row r="28">
      <c r="A28" s="9" t="inlineStr">
        <is>
          <t>Aloe vera</t>
        </is>
      </c>
      <c r="B28" s="9" t="inlineStr">
        <is>
          <t>aloe, sarısabır</t>
        </is>
      </c>
      <c r="C28" s="9" t="inlineStr">
        <is>
          <t>Sukulent</t>
        </is>
      </c>
      <c r="D28" s="10" t="n">
        <v>3</v>
      </c>
      <c r="E28" s="10" t="n">
        <v>3</v>
      </c>
      <c r="F28" s="10" t="n">
        <v>1</v>
      </c>
      <c r="G28" s="10" t="n">
        <v>1</v>
      </c>
      <c r="H28" s="10" t="inlineStr">
        <is>
          <t>Kumlu</t>
        </is>
      </c>
      <c r="I28" s="11" t="inlineStr">
        <is>
          <t>hg-aloe-vera-topragi</t>
        </is>
      </c>
      <c r="J28" s="12">
        <f>IF(I28="","",IFERROR(INDEX(Topraklar!$B$2:$B$55,MATCH(I28,Topraklar!$A$2:$A$55,0)),"⚠ slug bulunamadı"))</f>
        <v/>
      </c>
      <c r="K28" s="12">
        <f>INDEX(Uyum!$B$2:$AY$2,MATCH(MAX(Uyum!$B$29:$AY$29),Uyum!$B$29:$AY$29,0))</f>
        <v/>
      </c>
      <c r="L28" s="13">
        <f>MIN(1,MAX(Uyum!$B$29:$AY$29))</f>
        <v/>
      </c>
      <c r="M28" s="12">
        <f>IF(I28&lt;&gt;"",J28,K28)</f>
        <v/>
      </c>
      <c r="N28" s="12">
        <f>IFERROR(TRIM(IF(E28&gt;INDEX(Topraklar!$E$2:$E$55,MATCH(IF(I28&lt;&gt;"",I28,INDEX(Uyum!$B$1:$AY$1,MATCH(MAX(Uyum!$B$29:$AY$29),Uyum!$B$29:$AY$29,0))),Topraklar!$A$2:$A$55,0)),"Perlit karıştırın. ","")&amp;IF(D28&lt;INDEX(Topraklar!$D$2:$D$55,MATCH(IF(I28&lt;&gt;"",I28,INDEX(Uyum!$B$1:$AY$1,MATCH(MAX(Uyum!$B$29:$AY$29),Uyum!$B$29:$AY$29,0))),Topraklar!$A$2:$A$55,0)),"Asidik torf karıştırın. ","")&amp;IF(F28&gt;INDEX(Topraklar!$F$2:$F$55,MATCH(IF(I28&lt;&gt;"",I28,INDEX(Uyum!$B$1:$AY$1,MATCH(MAX(Uyum!$B$29:$AY$29),Uyum!$B$29:$AY$29,0))),Topraklar!$A$2:$A$55,0)),"Vermikülit karıştırın. ","")&amp;IF(G28&gt;INDEX(Topraklar!$G$2:$G$55,MATCH(IF(I28&lt;&gt;"",I28,INDEX(Uyum!$B$1:$AY$1,MATCH(MAX(Uyum!$B$29:$AY$29),Uyum!$B$29:$AY$29,0))),Topraklar!$A$2:$A$55,0)),"Solucan gübresi ekleyin.","")),"")</f>
        <v/>
      </c>
    </row>
    <row r="29">
      <c r="A29" s="9" t="inlineStr">
        <is>
          <t>Kaktüs</t>
        </is>
      </c>
      <c r="B29" s="9" t="inlineStr">
        <is>
          <t>cactus</t>
        </is>
      </c>
      <c r="C29" s="9" t="inlineStr">
        <is>
          <t>Sukulent</t>
        </is>
      </c>
      <c r="D29" s="10" t="n">
        <v>3</v>
      </c>
      <c r="E29" s="10" t="n">
        <v>3</v>
      </c>
      <c r="F29" s="10" t="n">
        <v>1</v>
      </c>
      <c r="G29" s="10" t="n">
        <v>1</v>
      </c>
      <c r="H29" s="10" t="inlineStr">
        <is>
          <t>Kumlu</t>
        </is>
      </c>
      <c r="I29" s="11" t="inlineStr">
        <is>
          <t>kaktus-ve-sukulent-topragi</t>
        </is>
      </c>
      <c r="J29" s="12">
        <f>IF(I29="","",IFERROR(INDEX(Topraklar!$B$2:$B$55,MATCH(I29,Topraklar!$A$2:$A$55,0)),"⚠ slug bulunamadı"))</f>
        <v/>
      </c>
      <c r="K29" s="12">
        <f>INDEX(Uyum!$B$2:$AY$2,MATCH(MAX(Uyum!$B$30:$AY$30),Uyum!$B$30:$AY$30,0))</f>
        <v/>
      </c>
      <c r="L29" s="13">
        <f>MIN(1,MAX(Uyum!$B$30:$AY$30))</f>
        <v/>
      </c>
      <c r="M29" s="12">
        <f>IF(I29&lt;&gt;"",J29,K29)</f>
        <v/>
      </c>
      <c r="N29" s="12">
        <f>IFERROR(TRIM(IF(E29&gt;INDEX(Topraklar!$E$2:$E$55,MATCH(IF(I29&lt;&gt;"",I29,INDEX(Uyum!$B$1:$AY$1,MATCH(MAX(Uyum!$B$30:$AY$30),Uyum!$B$30:$AY$30,0))),Topraklar!$A$2:$A$55,0)),"Perlit karıştırın. ","")&amp;IF(D29&lt;INDEX(Topraklar!$D$2:$D$55,MATCH(IF(I29&lt;&gt;"",I29,INDEX(Uyum!$B$1:$AY$1,MATCH(MAX(Uyum!$B$30:$AY$30),Uyum!$B$30:$AY$30,0))),Topraklar!$A$2:$A$55,0)),"Asidik torf karıştırın. ","")&amp;IF(F29&gt;INDEX(Topraklar!$F$2:$F$55,MATCH(IF(I29&lt;&gt;"",I29,INDEX(Uyum!$B$1:$AY$1,MATCH(MAX(Uyum!$B$30:$AY$30),Uyum!$B$30:$AY$30,0))),Topraklar!$A$2:$A$55,0)),"Vermikülit karıştırın. ","")&amp;IF(G29&gt;INDEX(Topraklar!$G$2:$G$55,MATCH(IF(I29&lt;&gt;"",I29,INDEX(Uyum!$B$1:$AY$1,MATCH(MAX(Uyum!$B$30:$AY$30),Uyum!$B$30:$AY$30,0))),Topraklar!$A$2:$A$55,0)),"Solucan gübresi ekleyin.","")),"")</f>
        <v/>
      </c>
    </row>
    <row r="30">
      <c r="A30" s="9" t="inlineStr">
        <is>
          <t>Sukulent</t>
        </is>
      </c>
      <c r="B30" s="9" t="inlineStr">
        <is>
          <t>succulent, etli yapraklı</t>
        </is>
      </c>
      <c r="C30" s="9" t="inlineStr">
        <is>
          <t>Sukulent</t>
        </is>
      </c>
      <c r="D30" s="10" t="n">
        <v>3</v>
      </c>
      <c r="E30" s="10" t="n">
        <v>3</v>
      </c>
      <c r="F30" s="10" t="n">
        <v>1</v>
      </c>
      <c r="G30" s="10" t="n">
        <v>1</v>
      </c>
      <c r="H30" s="10" t="inlineStr">
        <is>
          <t>Kumlu</t>
        </is>
      </c>
      <c r="I30" s="11" t="inlineStr">
        <is>
          <t>kaktus-ve-sukulent-topragi</t>
        </is>
      </c>
      <c r="J30" s="12">
        <f>IF(I30="","",IFERROR(INDEX(Topraklar!$B$2:$B$55,MATCH(I30,Topraklar!$A$2:$A$55,0)),"⚠ slug bulunamadı"))</f>
        <v/>
      </c>
      <c r="K30" s="12">
        <f>INDEX(Uyum!$B$2:$AY$2,MATCH(MAX(Uyum!$B$31:$AY$31),Uyum!$B$31:$AY$31,0))</f>
        <v/>
      </c>
      <c r="L30" s="13">
        <f>MIN(1,MAX(Uyum!$B$31:$AY$31))</f>
        <v/>
      </c>
      <c r="M30" s="12">
        <f>IF(I30&lt;&gt;"",J30,K30)</f>
        <v/>
      </c>
      <c r="N30" s="12">
        <f>IFERROR(TRIM(IF(E30&gt;INDEX(Topraklar!$E$2:$E$55,MATCH(IF(I30&lt;&gt;"",I30,INDEX(Uyum!$B$1:$AY$1,MATCH(MAX(Uyum!$B$31:$AY$31),Uyum!$B$31:$AY$31,0))),Topraklar!$A$2:$A$55,0)),"Perlit karıştırın. ","")&amp;IF(D30&lt;INDEX(Topraklar!$D$2:$D$55,MATCH(IF(I30&lt;&gt;"",I30,INDEX(Uyum!$B$1:$AY$1,MATCH(MAX(Uyum!$B$31:$AY$31),Uyum!$B$31:$AY$31,0))),Topraklar!$A$2:$A$55,0)),"Asidik torf karıştırın. ","")&amp;IF(F30&gt;INDEX(Topraklar!$F$2:$F$55,MATCH(IF(I30&lt;&gt;"",I30,INDEX(Uyum!$B$1:$AY$1,MATCH(MAX(Uyum!$B$31:$AY$31),Uyum!$B$31:$AY$31,0))),Topraklar!$A$2:$A$55,0)),"Vermikülit karıştırın. ","")&amp;IF(G30&gt;INDEX(Topraklar!$G$2:$G$55,MATCH(IF(I30&lt;&gt;"",I30,INDEX(Uyum!$B$1:$AY$1,MATCH(MAX(Uyum!$B$31:$AY$31),Uyum!$B$31:$AY$31,0))),Topraklar!$A$2:$A$55,0)),"Solucan gübresi ekleyin.","")),"")</f>
        <v/>
      </c>
    </row>
    <row r="31">
      <c r="A31" s="9" t="inlineStr">
        <is>
          <t>Yeşim</t>
        </is>
      </c>
      <c r="B31" s="9" t="inlineStr">
        <is>
          <t>crassula, yeşim ağacı</t>
        </is>
      </c>
      <c r="C31" s="9" t="inlineStr">
        <is>
          <t>Sukulent</t>
        </is>
      </c>
      <c r="D31" s="10" t="n">
        <v>3</v>
      </c>
      <c r="E31" s="10" t="n">
        <v>3</v>
      </c>
      <c r="F31" s="10" t="n">
        <v>1</v>
      </c>
      <c r="G31" s="10" t="n">
        <v>1</v>
      </c>
      <c r="H31" s="10" t="inlineStr">
        <is>
          <t>Kumlu</t>
        </is>
      </c>
      <c r="I31" s="11" t="inlineStr"/>
      <c r="J31" s="12">
        <f>IF(I31="","",IFERROR(INDEX(Topraklar!$B$2:$B$55,MATCH(I31,Topraklar!$A$2:$A$55,0)),"⚠ slug bulunamadı"))</f>
        <v/>
      </c>
      <c r="K31" s="12">
        <f>INDEX(Uyum!$B$2:$AY$2,MATCH(MAX(Uyum!$B$32:$AY$32),Uyum!$B$32:$AY$32,0))</f>
        <v/>
      </c>
      <c r="L31" s="13">
        <f>MIN(1,MAX(Uyum!$B$32:$AY$32))</f>
        <v/>
      </c>
      <c r="M31" s="12">
        <f>IF(I31&lt;&gt;"",J31,K31)</f>
        <v/>
      </c>
      <c r="N31" s="12">
        <f>IFERROR(TRIM(IF(E31&gt;INDEX(Topraklar!$E$2:$E$55,MATCH(IF(I31&lt;&gt;"",I31,INDEX(Uyum!$B$1:$AY$1,MATCH(MAX(Uyum!$B$32:$AY$32),Uyum!$B$32:$AY$32,0))),Topraklar!$A$2:$A$55,0)),"Perlit karıştırın. ","")&amp;IF(D31&lt;INDEX(Topraklar!$D$2:$D$55,MATCH(IF(I31&lt;&gt;"",I31,INDEX(Uyum!$B$1:$AY$1,MATCH(MAX(Uyum!$B$32:$AY$32),Uyum!$B$32:$AY$32,0))),Topraklar!$A$2:$A$55,0)),"Asidik torf karıştırın. ","")&amp;IF(F31&gt;INDEX(Topraklar!$F$2:$F$55,MATCH(IF(I31&lt;&gt;"",I31,INDEX(Uyum!$B$1:$AY$1,MATCH(MAX(Uyum!$B$32:$AY$32),Uyum!$B$32:$AY$32,0))),Topraklar!$A$2:$A$55,0)),"Vermikülit karıştırın. ","")&amp;IF(G31&gt;INDEX(Topraklar!$G$2:$G$55,MATCH(IF(I31&lt;&gt;"",I31,INDEX(Uyum!$B$1:$AY$1,MATCH(MAX(Uyum!$B$32:$AY$32),Uyum!$B$32:$AY$32,0))),Topraklar!$A$2:$A$55,0)),"Solucan gübresi ekleyin.","")),"")</f>
        <v/>
      </c>
    </row>
    <row r="32">
      <c r="A32" s="9" t="inlineStr">
        <is>
          <t>Kalanşo</t>
        </is>
      </c>
      <c r="B32" s="9" t="inlineStr">
        <is>
          <t>kalanchoe</t>
        </is>
      </c>
      <c r="C32" s="9" t="inlineStr">
        <is>
          <t>Sukulent</t>
        </is>
      </c>
      <c r="D32" s="10" t="n">
        <v>3</v>
      </c>
      <c r="E32" s="10" t="n">
        <v>3</v>
      </c>
      <c r="F32" s="10" t="n">
        <v>1</v>
      </c>
      <c r="G32" s="10" t="n">
        <v>2</v>
      </c>
      <c r="H32" s="10" t="inlineStr">
        <is>
          <t>Kumlu</t>
        </is>
      </c>
      <c r="I32" s="11" t="inlineStr"/>
      <c r="J32" s="12">
        <f>IF(I32="","",IFERROR(INDEX(Topraklar!$B$2:$B$55,MATCH(I32,Topraklar!$A$2:$A$55,0)),"⚠ slug bulunamadı"))</f>
        <v/>
      </c>
      <c r="K32" s="12">
        <f>INDEX(Uyum!$B$2:$AY$2,MATCH(MAX(Uyum!$B$33:$AY$33),Uyum!$B$33:$AY$33,0))</f>
        <v/>
      </c>
      <c r="L32" s="13">
        <f>MIN(1,MAX(Uyum!$B$33:$AY$33))</f>
        <v/>
      </c>
      <c r="M32" s="12">
        <f>IF(I32&lt;&gt;"",J32,K32)</f>
        <v/>
      </c>
      <c r="N32" s="12">
        <f>IFERROR(TRIM(IF(E32&gt;INDEX(Topraklar!$E$2:$E$55,MATCH(IF(I32&lt;&gt;"",I32,INDEX(Uyum!$B$1:$AY$1,MATCH(MAX(Uyum!$B$33:$AY$33),Uyum!$B$33:$AY$33,0))),Topraklar!$A$2:$A$55,0)),"Perlit karıştırın. ","")&amp;IF(D32&lt;INDEX(Topraklar!$D$2:$D$55,MATCH(IF(I32&lt;&gt;"",I32,INDEX(Uyum!$B$1:$AY$1,MATCH(MAX(Uyum!$B$33:$AY$33),Uyum!$B$33:$AY$33,0))),Topraklar!$A$2:$A$55,0)),"Asidik torf karıştırın. ","")&amp;IF(F32&gt;INDEX(Topraklar!$F$2:$F$55,MATCH(IF(I32&lt;&gt;"",I32,INDEX(Uyum!$B$1:$AY$1,MATCH(MAX(Uyum!$B$33:$AY$33),Uyum!$B$33:$AY$33,0))),Topraklar!$A$2:$A$55,0)),"Vermikülit karıştırın. ","")&amp;IF(G32&gt;INDEX(Topraklar!$G$2:$G$55,MATCH(IF(I32&lt;&gt;"",I32,INDEX(Uyum!$B$1:$AY$1,MATCH(MAX(Uyum!$B$33:$AY$33),Uyum!$B$33:$AY$33,0))),Topraklar!$A$2:$A$55,0)),"Solucan gübresi ekleyin.","")),"")</f>
        <v/>
      </c>
    </row>
    <row r="33">
      <c r="A33" s="9" t="inlineStr">
        <is>
          <t>Orkide</t>
        </is>
      </c>
      <c r="B33" s="9" t="inlineStr">
        <is>
          <t>orchid, phalaenopsis</t>
        </is>
      </c>
      <c r="C33" s="9" t="inlineStr">
        <is>
          <t>Salon</t>
        </is>
      </c>
      <c r="D33" s="10" t="n">
        <v>2</v>
      </c>
      <c r="E33" s="10" t="n">
        <v>3</v>
      </c>
      <c r="F33" s="10" t="n">
        <v>1</v>
      </c>
      <c r="G33" s="10" t="n">
        <v>1</v>
      </c>
      <c r="H33" s="10" t="inlineStr">
        <is>
          <t>Havalı</t>
        </is>
      </c>
      <c r="I33" s="11" t="inlineStr">
        <is>
          <t>gartengold-orkide-topragi</t>
        </is>
      </c>
      <c r="J33" s="12">
        <f>IF(I33="","",IFERROR(INDEX(Topraklar!$B$2:$B$55,MATCH(I33,Topraklar!$A$2:$A$55,0)),"⚠ slug bulunamadı"))</f>
        <v/>
      </c>
      <c r="K33" s="12">
        <f>INDEX(Uyum!$B$2:$AY$2,MATCH(MAX(Uyum!$B$34:$AY$34),Uyum!$B$34:$AY$34,0))</f>
        <v/>
      </c>
      <c r="L33" s="13">
        <f>MIN(1,MAX(Uyum!$B$34:$AY$34))</f>
        <v/>
      </c>
      <c r="M33" s="12">
        <f>IF(I33&lt;&gt;"",J33,K33)</f>
        <v/>
      </c>
      <c r="N33" s="12">
        <f>IFERROR(TRIM(IF(E33&gt;INDEX(Topraklar!$E$2:$E$55,MATCH(IF(I33&lt;&gt;"",I33,INDEX(Uyum!$B$1:$AY$1,MATCH(MAX(Uyum!$B$34:$AY$34),Uyum!$B$34:$AY$34,0))),Topraklar!$A$2:$A$55,0)),"Perlit karıştırın. ","")&amp;IF(D33&lt;INDEX(Topraklar!$D$2:$D$55,MATCH(IF(I33&lt;&gt;"",I33,INDEX(Uyum!$B$1:$AY$1,MATCH(MAX(Uyum!$B$34:$AY$34),Uyum!$B$34:$AY$34,0))),Topraklar!$A$2:$A$55,0)),"Asidik torf karıştırın. ","")&amp;IF(F33&gt;INDEX(Topraklar!$F$2:$F$55,MATCH(IF(I33&lt;&gt;"",I33,INDEX(Uyum!$B$1:$AY$1,MATCH(MAX(Uyum!$B$34:$AY$34),Uyum!$B$34:$AY$34,0))),Topraklar!$A$2:$A$55,0)),"Vermikülit karıştırın. ","")&amp;IF(G33&gt;INDEX(Topraklar!$G$2:$G$55,MATCH(IF(I33&lt;&gt;"",I33,INDEX(Uyum!$B$1:$AY$1,MATCH(MAX(Uyum!$B$34:$AY$34),Uyum!$B$34:$AY$34,0))),Topraklar!$A$2:$A$55,0)),"Solucan gübresi ekleyin.","")),"")</f>
        <v/>
      </c>
    </row>
    <row r="34">
      <c r="A34" s="9" t="inlineStr">
        <is>
          <t>Afrika menekşesi</t>
        </is>
      </c>
      <c r="B34" s="9" t="inlineStr">
        <is>
          <t>menekşe, saintpaulia</t>
        </is>
      </c>
      <c r="C34" s="9" t="inlineStr">
        <is>
          <t>Salon</t>
        </is>
      </c>
      <c r="D34" s="10" t="n">
        <v>2</v>
      </c>
      <c r="E34" s="10" t="n">
        <v>2</v>
      </c>
      <c r="F34" s="10" t="n">
        <v>2</v>
      </c>
      <c r="G34" s="10" t="n">
        <v>2</v>
      </c>
      <c r="H34" s="10" t="inlineStr">
        <is>
          <t>Havalı</t>
        </is>
      </c>
      <c r="I34" s="11" t="inlineStr">
        <is>
          <t>hg-menekse-topragi</t>
        </is>
      </c>
      <c r="J34" s="12">
        <f>IF(I34="","",IFERROR(INDEX(Topraklar!$B$2:$B$55,MATCH(I34,Topraklar!$A$2:$A$55,0)),"⚠ slug bulunamadı"))</f>
        <v/>
      </c>
      <c r="K34" s="12">
        <f>INDEX(Uyum!$B$2:$AY$2,MATCH(MAX(Uyum!$B$35:$AY$35),Uyum!$B$35:$AY$35,0))</f>
        <v/>
      </c>
      <c r="L34" s="13">
        <f>MIN(1,MAX(Uyum!$B$35:$AY$35))</f>
        <v/>
      </c>
      <c r="M34" s="12">
        <f>IF(I34&lt;&gt;"",J34,K34)</f>
        <v/>
      </c>
      <c r="N34" s="12">
        <f>IFERROR(TRIM(IF(E34&gt;INDEX(Topraklar!$E$2:$E$55,MATCH(IF(I34&lt;&gt;"",I34,INDEX(Uyum!$B$1:$AY$1,MATCH(MAX(Uyum!$B$35:$AY$35),Uyum!$B$35:$AY$35,0))),Topraklar!$A$2:$A$55,0)),"Perlit karıştırın. ","")&amp;IF(D34&lt;INDEX(Topraklar!$D$2:$D$55,MATCH(IF(I34&lt;&gt;"",I34,INDEX(Uyum!$B$1:$AY$1,MATCH(MAX(Uyum!$B$35:$AY$35),Uyum!$B$35:$AY$35,0))),Topraklar!$A$2:$A$55,0)),"Asidik torf karıştırın. ","")&amp;IF(F34&gt;INDEX(Topraklar!$F$2:$F$55,MATCH(IF(I34&lt;&gt;"",I34,INDEX(Uyum!$B$1:$AY$1,MATCH(MAX(Uyum!$B$35:$AY$35),Uyum!$B$35:$AY$35,0))),Topraklar!$A$2:$A$55,0)),"Vermikülit karıştırın. ","")&amp;IF(G34&gt;INDEX(Topraklar!$G$2:$G$55,MATCH(IF(I34&lt;&gt;"",I34,INDEX(Uyum!$B$1:$AY$1,MATCH(MAX(Uyum!$B$35:$AY$35),Uyum!$B$35:$AY$35,0))),Topraklar!$A$2:$A$55,0)),"Solucan gübresi ekleyin.","")),"")</f>
        <v/>
      </c>
    </row>
    <row r="35">
      <c r="A35" s="9" t="inlineStr">
        <is>
          <t>Begonvil</t>
        </is>
      </c>
      <c r="B35" s="9" t="inlineStr">
        <is>
          <t>bougainvillea</t>
        </is>
      </c>
      <c r="C35" s="9" t="inlineStr">
        <is>
          <t>Çiçek</t>
        </is>
      </c>
      <c r="D35" s="10" t="n">
        <v>2</v>
      </c>
      <c r="E35" s="10" t="n">
        <v>3</v>
      </c>
      <c r="F35" s="10" t="n">
        <v>1</v>
      </c>
      <c r="G35" s="10" t="n">
        <v>2</v>
      </c>
      <c r="H35" s="10" t="inlineStr">
        <is>
          <t>Kumlu</t>
        </is>
      </c>
      <c r="I35" s="11" t="inlineStr">
        <is>
          <t>hg-begonvil-topragi</t>
        </is>
      </c>
      <c r="J35" s="12">
        <f>IF(I35="","",IFERROR(INDEX(Topraklar!$B$2:$B$55,MATCH(I35,Topraklar!$A$2:$A$55,0)),"⚠ slug bulunamadı"))</f>
        <v/>
      </c>
      <c r="K35" s="12">
        <f>INDEX(Uyum!$B$2:$AY$2,MATCH(MAX(Uyum!$B$36:$AY$36),Uyum!$B$36:$AY$36,0))</f>
        <v/>
      </c>
      <c r="L35" s="13">
        <f>MIN(1,MAX(Uyum!$B$36:$AY$36))</f>
        <v/>
      </c>
      <c r="M35" s="12">
        <f>IF(I35&lt;&gt;"",J35,K35)</f>
        <v/>
      </c>
      <c r="N35" s="12">
        <f>IFERROR(TRIM(IF(E35&gt;INDEX(Topraklar!$E$2:$E$55,MATCH(IF(I35&lt;&gt;"",I35,INDEX(Uyum!$B$1:$AY$1,MATCH(MAX(Uyum!$B$36:$AY$36),Uyum!$B$36:$AY$36,0))),Topraklar!$A$2:$A$55,0)),"Perlit karıştırın. ","")&amp;IF(D35&lt;INDEX(Topraklar!$D$2:$D$55,MATCH(IF(I35&lt;&gt;"",I35,INDEX(Uyum!$B$1:$AY$1,MATCH(MAX(Uyum!$B$36:$AY$36),Uyum!$B$36:$AY$36,0))),Topraklar!$A$2:$A$55,0)),"Asidik torf karıştırın. ","")&amp;IF(F35&gt;INDEX(Topraklar!$F$2:$F$55,MATCH(IF(I35&lt;&gt;"",I35,INDEX(Uyum!$B$1:$AY$1,MATCH(MAX(Uyum!$B$36:$AY$36),Uyum!$B$36:$AY$36,0))),Topraklar!$A$2:$A$55,0)),"Vermikülit karıştırın. ","")&amp;IF(G35&gt;INDEX(Topraklar!$G$2:$G$55,MATCH(IF(I35&lt;&gt;"",I35,INDEX(Uyum!$B$1:$AY$1,MATCH(MAX(Uyum!$B$36:$AY$36),Uyum!$B$36:$AY$36,0))),Topraklar!$A$2:$A$55,0)),"Solucan gübresi ekleyin.","")),"")</f>
        <v/>
      </c>
    </row>
    <row r="36">
      <c r="A36" s="9" t="inlineStr">
        <is>
          <t>Sardunya</t>
        </is>
      </c>
      <c r="B36" s="9" t="inlineStr">
        <is>
          <t>pelargonium, itır</t>
        </is>
      </c>
      <c r="C36" s="9" t="inlineStr">
        <is>
          <t>Çiçek</t>
        </is>
      </c>
      <c r="D36" s="10" t="n">
        <v>3</v>
      </c>
      <c r="E36" s="10" t="n">
        <v>3</v>
      </c>
      <c r="F36" s="10" t="n">
        <v>1</v>
      </c>
      <c r="G36" s="10" t="n">
        <v>2</v>
      </c>
      <c r="H36" s="10" t="inlineStr">
        <is>
          <t>Kumlu</t>
        </is>
      </c>
      <c r="I36" s="11" t="inlineStr">
        <is>
          <t>sardunya-pelargonium-cicegi-topragi</t>
        </is>
      </c>
      <c r="J36" s="12">
        <f>IF(I36="","",IFERROR(INDEX(Topraklar!$B$2:$B$55,MATCH(I36,Topraklar!$A$2:$A$55,0)),"⚠ slug bulunamadı"))</f>
        <v/>
      </c>
      <c r="K36" s="12">
        <f>INDEX(Uyum!$B$2:$AY$2,MATCH(MAX(Uyum!$B$37:$AY$37),Uyum!$B$37:$AY$37,0))</f>
        <v/>
      </c>
      <c r="L36" s="13">
        <f>MIN(1,MAX(Uyum!$B$37:$AY$37))</f>
        <v/>
      </c>
      <c r="M36" s="12">
        <f>IF(I36&lt;&gt;"",J36,K36)</f>
        <v/>
      </c>
      <c r="N36" s="12">
        <f>IFERROR(TRIM(IF(E36&gt;INDEX(Topraklar!$E$2:$E$55,MATCH(IF(I36&lt;&gt;"",I36,INDEX(Uyum!$B$1:$AY$1,MATCH(MAX(Uyum!$B$37:$AY$37),Uyum!$B$37:$AY$37,0))),Topraklar!$A$2:$A$55,0)),"Perlit karıştırın. ","")&amp;IF(D36&lt;INDEX(Topraklar!$D$2:$D$55,MATCH(IF(I36&lt;&gt;"",I36,INDEX(Uyum!$B$1:$AY$1,MATCH(MAX(Uyum!$B$37:$AY$37),Uyum!$B$37:$AY$37,0))),Topraklar!$A$2:$A$55,0)),"Asidik torf karıştırın. ","")&amp;IF(F36&gt;INDEX(Topraklar!$F$2:$F$55,MATCH(IF(I36&lt;&gt;"",I36,INDEX(Uyum!$B$1:$AY$1,MATCH(MAX(Uyum!$B$37:$AY$37),Uyum!$B$37:$AY$37,0))),Topraklar!$A$2:$A$55,0)),"Vermikülit karıştırın. ","")&amp;IF(G36&gt;INDEX(Topraklar!$G$2:$G$55,MATCH(IF(I36&lt;&gt;"",I36,INDEX(Uyum!$B$1:$AY$1,MATCH(MAX(Uyum!$B$37:$AY$37),Uyum!$B$37:$AY$37,0))),Topraklar!$A$2:$A$55,0)),"Solucan gübresi ekleyin.","")),"")</f>
        <v/>
      </c>
    </row>
    <row r="37">
      <c r="A37" s="9" t="inlineStr">
        <is>
          <t>Starliçe</t>
        </is>
      </c>
      <c r="B37" s="9" t="inlineStr">
        <is>
          <t>cennet kuşu, strelitzia</t>
        </is>
      </c>
      <c r="C37" s="9" t="inlineStr">
        <is>
          <t>Salon</t>
        </is>
      </c>
      <c r="D37" s="10" t="n">
        <v>2</v>
      </c>
      <c r="E37" s="10" t="n">
        <v>2</v>
      </c>
      <c r="F37" s="10" t="n">
        <v>2</v>
      </c>
      <c r="G37" s="10" t="n">
        <v>3</v>
      </c>
      <c r="H37" s="10" t="inlineStr">
        <is>
          <t>Dengeli</t>
        </is>
      </c>
      <c r="I37" s="11" t="inlineStr">
        <is>
          <t>hg-starlice-cennet-kusu-topragi</t>
        </is>
      </c>
      <c r="J37" s="12">
        <f>IF(I37="","",IFERROR(INDEX(Topraklar!$B$2:$B$55,MATCH(I37,Topraklar!$A$2:$A$55,0)),"⚠ slug bulunamadı"))</f>
        <v/>
      </c>
      <c r="K37" s="12">
        <f>INDEX(Uyum!$B$2:$AY$2,MATCH(MAX(Uyum!$B$38:$AY$38),Uyum!$B$38:$AY$38,0))</f>
        <v/>
      </c>
      <c r="L37" s="13">
        <f>MIN(1,MAX(Uyum!$B$38:$AY$38))</f>
        <v/>
      </c>
      <c r="M37" s="12">
        <f>IF(I37&lt;&gt;"",J37,K37)</f>
        <v/>
      </c>
      <c r="N37" s="12">
        <f>IFERROR(TRIM(IF(E37&gt;INDEX(Topraklar!$E$2:$E$55,MATCH(IF(I37&lt;&gt;"",I37,INDEX(Uyum!$B$1:$AY$1,MATCH(MAX(Uyum!$B$38:$AY$38),Uyum!$B$38:$AY$38,0))),Topraklar!$A$2:$A$55,0)),"Perlit karıştırın. ","")&amp;IF(D37&lt;INDEX(Topraklar!$D$2:$D$55,MATCH(IF(I37&lt;&gt;"",I37,INDEX(Uyum!$B$1:$AY$1,MATCH(MAX(Uyum!$B$38:$AY$38),Uyum!$B$38:$AY$38,0))),Topraklar!$A$2:$A$55,0)),"Asidik torf karıştırın. ","")&amp;IF(F37&gt;INDEX(Topraklar!$F$2:$F$55,MATCH(IF(I37&lt;&gt;"",I37,INDEX(Uyum!$B$1:$AY$1,MATCH(MAX(Uyum!$B$38:$AY$38),Uyum!$B$38:$AY$38,0))),Topraklar!$A$2:$A$55,0)),"Vermikülit karıştırın. ","")&amp;IF(G37&gt;INDEX(Topraklar!$G$2:$G$55,MATCH(IF(I37&lt;&gt;"",I37,INDEX(Uyum!$B$1:$AY$1,MATCH(MAX(Uyum!$B$38:$AY$38),Uyum!$B$38:$AY$38,0))),Topraklar!$A$2:$A$55,0)),"Solucan gübresi ekleyin.","")),"")</f>
        <v/>
      </c>
    </row>
    <row r="38">
      <c r="A38" s="9" t="inlineStr">
        <is>
          <t>Bonsai</t>
        </is>
      </c>
      <c r="B38" s="9" t="inlineStr"/>
      <c r="C38" s="9" t="inlineStr">
        <is>
          <t>Salon</t>
        </is>
      </c>
      <c r="D38" s="10" t="n">
        <v>2</v>
      </c>
      <c r="E38" s="10" t="n">
        <v>3</v>
      </c>
      <c r="F38" s="10" t="n">
        <v>1</v>
      </c>
      <c r="G38" s="10" t="n">
        <v>1</v>
      </c>
      <c r="H38" s="10" t="inlineStr">
        <is>
          <t>Kumlu</t>
        </is>
      </c>
      <c r="I38" s="11" t="inlineStr">
        <is>
          <t>hg-bonsai-saksi-topragi</t>
        </is>
      </c>
      <c r="J38" s="12">
        <f>IF(I38="","",IFERROR(INDEX(Topraklar!$B$2:$B$55,MATCH(I38,Topraklar!$A$2:$A$55,0)),"⚠ slug bulunamadı"))</f>
        <v/>
      </c>
      <c r="K38" s="12">
        <f>INDEX(Uyum!$B$2:$AY$2,MATCH(MAX(Uyum!$B$39:$AY$39),Uyum!$B$39:$AY$39,0))</f>
        <v/>
      </c>
      <c r="L38" s="13">
        <f>MIN(1,MAX(Uyum!$B$39:$AY$39))</f>
        <v/>
      </c>
      <c r="M38" s="12">
        <f>IF(I38&lt;&gt;"",J38,K38)</f>
        <v/>
      </c>
      <c r="N38" s="12">
        <f>IFERROR(TRIM(IF(E38&gt;INDEX(Topraklar!$E$2:$E$55,MATCH(IF(I38&lt;&gt;"",I38,INDEX(Uyum!$B$1:$AY$1,MATCH(MAX(Uyum!$B$39:$AY$39),Uyum!$B$39:$AY$39,0))),Topraklar!$A$2:$A$55,0)),"Perlit karıştırın. ","")&amp;IF(D38&lt;INDEX(Topraklar!$D$2:$D$55,MATCH(IF(I38&lt;&gt;"",I38,INDEX(Uyum!$B$1:$AY$1,MATCH(MAX(Uyum!$B$39:$AY$39),Uyum!$B$39:$AY$39,0))),Topraklar!$A$2:$A$55,0)),"Asidik torf karıştırın. ","")&amp;IF(F38&gt;INDEX(Topraklar!$F$2:$F$55,MATCH(IF(I38&lt;&gt;"",I38,INDEX(Uyum!$B$1:$AY$1,MATCH(MAX(Uyum!$B$39:$AY$39),Uyum!$B$39:$AY$39,0))),Topraklar!$A$2:$A$55,0)),"Vermikülit karıştırın. ","")&amp;IF(G38&gt;INDEX(Topraklar!$G$2:$G$55,MATCH(IF(I38&lt;&gt;"",I38,INDEX(Uyum!$B$1:$AY$1,MATCH(MAX(Uyum!$B$39:$AY$39),Uyum!$B$39:$AY$39,0))),Topraklar!$A$2:$A$55,0)),"Solucan gübresi ekleyin.","")),"")</f>
        <v/>
      </c>
    </row>
    <row r="39">
      <c r="A39" s="9" t="inlineStr">
        <is>
          <t>Para ağacı</t>
        </is>
      </c>
      <c r="B39" s="9" t="inlineStr">
        <is>
          <t>pachira</t>
        </is>
      </c>
      <c r="C39" s="9" t="inlineStr">
        <is>
          <t>Salon</t>
        </is>
      </c>
      <c r="D39" s="10" t="n">
        <v>2</v>
      </c>
      <c r="E39" s="10" t="n">
        <v>3</v>
      </c>
      <c r="F39" s="10" t="n">
        <v>1</v>
      </c>
      <c r="G39" s="10" t="n">
        <v>2</v>
      </c>
      <c r="H39" s="10" t="inlineStr">
        <is>
          <t>Kumlu</t>
        </is>
      </c>
      <c r="I39" s="11" t="inlineStr">
        <is>
          <t>hg-para-agaci-saksi-topragi</t>
        </is>
      </c>
      <c r="J39" s="12">
        <f>IF(I39="","",IFERROR(INDEX(Topraklar!$B$2:$B$55,MATCH(I39,Topraklar!$A$2:$A$55,0)),"⚠ slug bulunamadı"))</f>
        <v/>
      </c>
      <c r="K39" s="12">
        <f>INDEX(Uyum!$B$2:$AY$2,MATCH(MAX(Uyum!$B$40:$AY$40),Uyum!$B$40:$AY$40,0))</f>
        <v/>
      </c>
      <c r="L39" s="13">
        <f>MIN(1,MAX(Uyum!$B$40:$AY$40))</f>
        <v/>
      </c>
      <c r="M39" s="12">
        <f>IF(I39&lt;&gt;"",J39,K39)</f>
        <v/>
      </c>
      <c r="N39" s="12">
        <f>IFERROR(TRIM(IF(E39&gt;INDEX(Topraklar!$E$2:$E$55,MATCH(IF(I39&lt;&gt;"",I39,INDEX(Uyum!$B$1:$AY$1,MATCH(MAX(Uyum!$B$40:$AY$40),Uyum!$B$40:$AY$40,0))),Topraklar!$A$2:$A$55,0)),"Perlit karıştırın. ","")&amp;IF(D39&lt;INDEX(Topraklar!$D$2:$D$55,MATCH(IF(I39&lt;&gt;"",I39,INDEX(Uyum!$B$1:$AY$1,MATCH(MAX(Uyum!$B$40:$AY$40),Uyum!$B$40:$AY$40,0))),Topraklar!$A$2:$A$55,0)),"Asidik torf karıştırın. ","")&amp;IF(F39&gt;INDEX(Topraklar!$F$2:$F$55,MATCH(IF(I39&lt;&gt;"",I39,INDEX(Uyum!$B$1:$AY$1,MATCH(MAX(Uyum!$B$40:$AY$40),Uyum!$B$40:$AY$40,0))),Topraklar!$A$2:$A$55,0)),"Vermikülit karıştırın. ","")&amp;IF(G39&gt;INDEX(Topraklar!$G$2:$G$55,MATCH(IF(I39&lt;&gt;"",I39,INDEX(Uyum!$B$1:$AY$1,MATCH(MAX(Uyum!$B$40:$AY$40),Uyum!$B$40:$AY$40,0))),Topraklar!$A$2:$A$55,0)),"Solucan gübresi ekleyin.","")),"")</f>
        <v/>
      </c>
    </row>
    <row r="40">
      <c r="A40" s="9" t="inlineStr">
        <is>
          <t>Gül</t>
        </is>
      </c>
      <c r="B40" s="9" t="inlineStr">
        <is>
          <t>rose</t>
        </is>
      </c>
      <c r="C40" s="9" t="inlineStr">
        <is>
          <t>Çiçek</t>
        </is>
      </c>
      <c r="D40" s="10" t="n">
        <v>3</v>
      </c>
      <c r="E40" s="10" t="n">
        <v>2</v>
      </c>
      <c r="F40" s="10" t="n">
        <v>2</v>
      </c>
      <c r="G40" s="10" t="n">
        <v>3</v>
      </c>
      <c r="H40" s="10" t="inlineStr">
        <is>
          <t>Dengeli</t>
        </is>
      </c>
      <c r="I40" s="11" t="inlineStr">
        <is>
          <t>hg-gul-topragi-gullere-ozel-toprak-karisimi</t>
        </is>
      </c>
      <c r="J40" s="12">
        <f>IF(I40="","",IFERROR(INDEX(Topraklar!$B$2:$B$55,MATCH(I40,Topraklar!$A$2:$A$55,0)),"⚠ slug bulunamadı"))</f>
        <v/>
      </c>
      <c r="K40" s="12">
        <f>INDEX(Uyum!$B$2:$AY$2,MATCH(MAX(Uyum!$B$41:$AY$41),Uyum!$B$41:$AY$41,0))</f>
        <v/>
      </c>
      <c r="L40" s="13">
        <f>MIN(1,MAX(Uyum!$B$41:$AY$41))</f>
        <v/>
      </c>
      <c r="M40" s="12">
        <f>IF(I40&lt;&gt;"",J40,K40)</f>
        <v/>
      </c>
      <c r="N40" s="12">
        <f>IFERROR(TRIM(IF(E40&gt;INDEX(Topraklar!$E$2:$E$55,MATCH(IF(I40&lt;&gt;"",I40,INDEX(Uyum!$B$1:$AY$1,MATCH(MAX(Uyum!$B$41:$AY$41),Uyum!$B$41:$AY$41,0))),Topraklar!$A$2:$A$55,0)),"Perlit karıştırın. ","")&amp;IF(D40&lt;INDEX(Topraklar!$D$2:$D$55,MATCH(IF(I40&lt;&gt;"",I40,INDEX(Uyum!$B$1:$AY$1,MATCH(MAX(Uyum!$B$41:$AY$41),Uyum!$B$41:$AY$41,0))),Topraklar!$A$2:$A$55,0)),"Asidik torf karıştırın. ","")&amp;IF(F40&gt;INDEX(Topraklar!$F$2:$F$55,MATCH(IF(I40&lt;&gt;"",I40,INDEX(Uyum!$B$1:$AY$1,MATCH(MAX(Uyum!$B$41:$AY$41),Uyum!$B$41:$AY$41,0))),Topraklar!$A$2:$A$55,0)),"Vermikülit karıştırın. ","")&amp;IF(G40&gt;INDEX(Topraklar!$G$2:$G$55,MATCH(IF(I40&lt;&gt;"",I40,INDEX(Uyum!$B$1:$AY$1,MATCH(MAX(Uyum!$B$41:$AY$41),Uyum!$B$41:$AY$41,0))),Topraklar!$A$2:$A$55,0)),"Solucan gübresi ekleyin.","")),"")</f>
        <v/>
      </c>
    </row>
    <row r="41">
      <c r="A41" s="9" t="inlineStr">
        <is>
          <t>Ortanca</t>
        </is>
      </c>
      <c r="B41" s="9" t="inlineStr">
        <is>
          <t>hortensia, hydrangea</t>
        </is>
      </c>
      <c r="C41" s="9" t="inlineStr">
        <is>
          <t>Asit seven</t>
        </is>
      </c>
      <c r="D41" s="10" t="n">
        <v>1</v>
      </c>
      <c r="E41" s="10" t="n">
        <v>2</v>
      </c>
      <c r="F41" s="10" t="n">
        <v>2</v>
      </c>
      <c r="G41" s="10" t="n">
        <v>2</v>
      </c>
      <c r="H41" s="10" t="inlineStr">
        <is>
          <t>Dengeli</t>
        </is>
      </c>
      <c r="I41" s="11" t="inlineStr">
        <is>
          <t>yaban-mersini-ve-ortanca-topragi</t>
        </is>
      </c>
      <c r="J41" s="12">
        <f>IF(I41="","",IFERROR(INDEX(Topraklar!$B$2:$B$55,MATCH(I41,Topraklar!$A$2:$A$55,0)),"⚠ slug bulunamadı"))</f>
        <v/>
      </c>
      <c r="K41" s="12">
        <f>INDEX(Uyum!$B$2:$AY$2,MATCH(MAX(Uyum!$B$42:$AY$42),Uyum!$B$42:$AY$42,0))</f>
        <v/>
      </c>
      <c r="L41" s="13">
        <f>MIN(1,MAX(Uyum!$B$42:$AY$42))</f>
        <v/>
      </c>
      <c r="M41" s="12">
        <f>IF(I41&lt;&gt;"",J41,K41)</f>
        <v/>
      </c>
      <c r="N41" s="12">
        <f>IFERROR(TRIM(IF(E41&gt;INDEX(Topraklar!$E$2:$E$55,MATCH(IF(I41&lt;&gt;"",I41,INDEX(Uyum!$B$1:$AY$1,MATCH(MAX(Uyum!$B$42:$AY$42),Uyum!$B$42:$AY$42,0))),Topraklar!$A$2:$A$55,0)),"Perlit karıştırın. ","")&amp;IF(D41&lt;INDEX(Topraklar!$D$2:$D$55,MATCH(IF(I41&lt;&gt;"",I41,INDEX(Uyum!$B$1:$AY$1,MATCH(MAX(Uyum!$B$42:$AY$42),Uyum!$B$42:$AY$42,0))),Topraklar!$A$2:$A$55,0)),"Asidik torf karıştırın. ","")&amp;IF(F41&gt;INDEX(Topraklar!$F$2:$F$55,MATCH(IF(I41&lt;&gt;"",I41,INDEX(Uyum!$B$1:$AY$1,MATCH(MAX(Uyum!$B$42:$AY$42),Uyum!$B$42:$AY$42,0))),Topraklar!$A$2:$A$55,0)),"Vermikülit karıştırın. ","")&amp;IF(G41&gt;INDEX(Topraklar!$G$2:$G$55,MATCH(IF(I41&lt;&gt;"",I41,INDEX(Uyum!$B$1:$AY$1,MATCH(MAX(Uyum!$B$42:$AY$42),Uyum!$B$42:$AY$42,0))),Topraklar!$A$2:$A$55,0)),"Solucan gübresi ekleyin.","")),"")</f>
        <v/>
      </c>
    </row>
    <row r="42">
      <c r="A42" s="9" t="inlineStr">
        <is>
          <t>Açelya</t>
        </is>
      </c>
      <c r="B42" s="9" t="inlineStr">
        <is>
          <t>azalea, azelya</t>
        </is>
      </c>
      <c r="C42" s="9" t="inlineStr">
        <is>
          <t>Asit seven</t>
        </is>
      </c>
      <c r="D42" s="10" t="n">
        <v>1</v>
      </c>
      <c r="E42" s="10" t="n">
        <v>2</v>
      </c>
      <c r="F42" s="10" t="n">
        <v>2</v>
      </c>
      <c r="G42" s="10" t="n">
        <v>2</v>
      </c>
      <c r="H42" s="10" t="inlineStr">
        <is>
          <t>Dengeli</t>
        </is>
      </c>
      <c r="I42" s="11" t="inlineStr">
        <is>
          <t>ortanca-bogurtlen-acelya-topragi</t>
        </is>
      </c>
      <c r="J42" s="12">
        <f>IF(I42="","",IFERROR(INDEX(Topraklar!$B$2:$B$55,MATCH(I42,Topraklar!$A$2:$A$55,0)),"⚠ slug bulunamadı"))</f>
        <v/>
      </c>
      <c r="K42" s="12">
        <f>INDEX(Uyum!$B$2:$AY$2,MATCH(MAX(Uyum!$B$43:$AY$43),Uyum!$B$43:$AY$43,0))</f>
        <v/>
      </c>
      <c r="L42" s="13">
        <f>MIN(1,MAX(Uyum!$B$43:$AY$43))</f>
        <v/>
      </c>
      <c r="M42" s="12">
        <f>IF(I42&lt;&gt;"",J42,K42)</f>
        <v/>
      </c>
      <c r="N42" s="12">
        <f>IFERROR(TRIM(IF(E42&gt;INDEX(Topraklar!$E$2:$E$55,MATCH(IF(I42&lt;&gt;"",I42,INDEX(Uyum!$B$1:$AY$1,MATCH(MAX(Uyum!$B$43:$AY$43),Uyum!$B$43:$AY$43,0))),Topraklar!$A$2:$A$55,0)),"Perlit karıştırın. ","")&amp;IF(D42&lt;INDEX(Topraklar!$D$2:$D$55,MATCH(IF(I42&lt;&gt;"",I42,INDEX(Uyum!$B$1:$AY$1,MATCH(MAX(Uyum!$B$43:$AY$43),Uyum!$B$43:$AY$43,0))),Topraklar!$A$2:$A$55,0)),"Asidik torf karıştırın. ","")&amp;IF(F42&gt;INDEX(Topraklar!$F$2:$F$55,MATCH(IF(I42&lt;&gt;"",I42,INDEX(Uyum!$B$1:$AY$1,MATCH(MAX(Uyum!$B$43:$AY$43),Uyum!$B$43:$AY$43,0))),Topraklar!$A$2:$A$55,0)),"Vermikülit karıştırın. ","")&amp;IF(G42&gt;INDEX(Topraklar!$G$2:$G$55,MATCH(IF(I42&lt;&gt;"",I42,INDEX(Uyum!$B$1:$AY$1,MATCH(MAX(Uyum!$B$43:$AY$43),Uyum!$B$43:$AY$43,0))),Topraklar!$A$2:$A$55,0)),"Solucan gübresi ekleyin.","")),"")</f>
        <v/>
      </c>
    </row>
    <row r="43">
      <c r="A43" s="9" t="inlineStr">
        <is>
          <t>Kamelya</t>
        </is>
      </c>
      <c r="B43" s="9" t="inlineStr">
        <is>
          <t>camellia</t>
        </is>
      </c>
      <c r="C43" s="9" t="inlineStr">
        <is>
          <t>Asit seven</t>
        </is>
      </c>
      <c r="D43" s="10" t="n">
        <v>1</v>
      </c>
      <c r="E43" s="10" t="n">
        <v>2</v>
      </c>
      <c r="F43" s="10" t="n">
        <v>2</v>
      </c>
      <c r="G43" s="10" t="n">
        <v>2</v>
      </c>
      <c r="H43" s="10" t="inlineStr">
        <is>
          <t>Dengeli</t>
        </is>
      </c>
      <c r="I43" s="11" t="inlineStr"/>
      <c r="J43" s="12">
        <f>IF(I43="","",IFERROR(INDEX(Topraklar!$B$2:$B$55,MATCH(I43,Topraklar!$A$2:$A$55,0)),"⚠ slug bulunamadı"))</f>
        <v/>
      </c>
      <c r="K43" s="12">
        <f>INDEX(Uyum!$B$2:$AY$2,MATCH(MAX(Uyum!$B$44:$AY$44),Uyum!$B$44:$AY$44,0))</f>
        <v/>
      </c>
      <c r="L43" s="13">
        <f>MIN(1,MAX(Uyum!$B$44:$AY$44))</f>
        <v/>
      </c>
      <c r="M43" s="12">
        <f>IF(I43&lt;&gt;"",J43,K43)</f>
        <v/>
      </c>
      <c r="N43" s="12">
        <f>IFERROR(TRIM(IF(E43&gt;INDEX(Topraklar!$E$2:$E$55,MATCH(IF(I43&lt;&gt;"",I43,INDEX(Uyum!$B$1:$AY$1,MATCH(MAX(Uyum!$B$44:$AY$44),Uyum!$B$44:$AY$44,0))),Topraklar!$A$2:$A$55,0)),"Perlit karıştırın. ","")&amp;IF(D43&lt;INDEX(Topraklar!$D$2:$D$55,MATCH(IF(I43&lt;&gt;"",I43,INDEX(Uyum!$B$1:$AY$1,MATCH(MAX(Uyum!$B$44:$AY$44),Uyum!$B$44:$AY$44,0))),Topraklar!$A$2:$A$55,0)),"Asidik torf karıştırın. ","")&amp;IF(F43&gt;INDEX(Topraklar!$F$2:$F$55,MATCH(IF(I43&lt;&gt;"",I43,INDEX(Uyum!$B$1:$AY$1,MATCH(MAX(Uyum!$B$44:$AY$44),Uyum!$B$44:$AY$44,0))),Topraklar!$A$2:$A$55,0)),"Vermikülit karıştırın. ","")&amp;IF(G43&gt;INDEX(Topraklar!$G$2:$G$55,MATCH(IF(I43&lt;&gt;"",I43,INDEX(Uyum!$B$1:$AY$1,MATCH(MAX(Uyum!$B$44:$AY$44),Uyum!$B$44:$AY$44,0))),Topraklar!$A$2:$A$55,0)),"Solucan gübresi ekleyin.","")),"")</f>
        <v/>
      </c>
    </row>
    <row r="44">
      <c r="A44" s="9" t="inlineStr">
        <is>
          <t>Gardenya</t>
        </is>
      </c>
      <c r="B44" s="9" t="inlineStr">
        <is>
          <t>gardenia</t>
        </is>
      </c>
      <c r="C44" s="9" t="inlineStr">
        <is>
          <t>Asit seven</t>
        </is>
      </c>
      <c r="D44" s="10" t="n">
        <v>1</v>
      </c>
      <c r="E44" s="10" t="n">
        <v>2</v>
      </c>
      <c r="F44" s="10" t="n">
        <v>2</v>
      </c>
      <c r="G44" s="10" t="n">
        <v>2</v>
      </c>
      <c r="H44" s="10" t="inlineStr">
        <is>
          <t>Dengeli</t>
        </is>
      </c>
      <c r="I44" s="11" t="inlineStr"/>
      <c r="J44" s="12">
        <f>IF(I44="","",IFERROR(INDEX(Topraklar!$B$2:$B$55,MATCH(I44,Topraklar!$A$2:$A$55,0)),"⚠ slug bulunamadı"))</f>
        <v/>
      </c>
      <c r="K44" s="12">
        <f>INDEX(Uyum!$B$2:$AY$2,MATCH(MAX(Uyum!$B$45:$AY$45),Uyum!$B$45:$AY$45,0))</f>
        <v/>
      </c>
      <c r="L44" s="13">
        <f>MIN(1,MAX(Uyum!$B$45:$AY$45))</f>
        <v/>
      </c>
      <c r="M44" s="12">
        <f>IF(I44&lt;&gt;"",J44,K44)</f>
        <v/>
      </c>
      <c r="N44" s="12">
        <f>IFERROR(TRIM(IF(E44&gt;INDEX(Topraklar!$E$2:$E$55,MATCH(IF(I44&lt;&gt;"",I44,INDEX(Uyum!$B$1:$AY$1,MATCH(MAX(Uyum!$B$45:$AY$45),Uyum!$B$45:$AY$45,0))),Topraklar!$A$2:$A$55,0)),"Perlit karıştırın. ","")&amp;IF(D44&lt;INDEX(Topraklar!$D$2:$D$55,MATCH(IF(I44&lt;&gt;"",I44,INDEX(Uyum!$B$1:$AY$1,MATCH(MAX(Uyum!$B$45:$AY$45),Uyum!$B$45:$AY$45,0))),Topraklar!$A$2:$A$55,0)),"Asidik torf karıştırın. ","")&amp;IF(F44&gt;INDEX(Topraklar!$F$2:$F$55,MATCH(IF(I44&lt;&gt;"",I44,INDEX(Uyum!$B$1:$AY$1,MATCH(MAX(Uyum!$B$45:$AY$45),Uyum!$B$45:$AY$45,0))),Topraklar!$A$2:$A$55,0)),"Vermikülit karıştırın. ","")&amp;IF(G44&gt;INDEX(Topraklar!$G$2:$G$55,MATCH(IF(I44&lt;&gt;"",I44,INDEX(Uyum!$B$1:$AY$1,MATCH(MAX(Uyum!$B$45:$AY$45),Uyum!$B$45:$AY$45,0))),Topraklar!$A$2:$A$55,0)),"Solucan gübresi ekleyin.","")),"")</f>
        <v/>
      </c>
    </row>
    <row r="45">
      <c r="A45" s="9" t="inlineStr">
        <is>
          <t>Lavanta</t>
        </is>
      </c>
      <c r="B45" s="9" t="inlineStr">
        <is>
          <t>lavender</t>
        </is>
      </c>
      <c r="C45" s="9" t="inlineStr">
        <is>
          <t>Aromatik</t>
        </is>
      </c>
      <c r="D45" s="10" t="n">
        <v>4</v>
      </c>
      <c r="E45" s="10" t="n">
        <v>3</v>
      </c>
      <c r="F45" s="10" t="n">
        <v>1</v>
      </c>
      <c r="G45" s="10" t="n">
        <v>1</v>
      </c>
      <c r="H45" s="10" t="inlineStr">
        <is>
          <t>Kumlu</t>
        </is>
      </c>
      <c r="I45" s="11" t="inlineStr">
        <is>
          <t>hg-aromatik-bitkiler-icin-saksi-topragi</t>
        </is>
      </c>
      <c r="J45" s="12">
        <f>IF(I45="","",IFERROR(INDEX(Topraklar!$B$2:$B$55,MATCH(I45,Topraklar!$A$2:$A$55,0)),"⚠ slug bulunamadı"))</f>
        <v/>
      </c>
      <c r="K45" s="12">
        <f>INDEX(Uyum!$B$2:$AY$2,MATCH(MAX(Uyum!$B$46:$AY$46),Uyum!$B$46:$AY$46,0))</f>
        <v/>
      </c>
      <c r="L45" s="13">
        <f>MIN(1,MAX(Uyum!$B$46:$AY$46))</f>
        <v/>
      </c>
      <c r="M45" s="12">
        <f>IF(I45&lt;&gt;"",J45,K45)</f>
        <v/>
      </c>
      <c r="N45" s="12">
        <f>IFERROR(TRIM(IF(E45&gt;INDEX(Topraklar!$E$2:$E$55,MATCH(IF(I45&lt;&gt;"",I45,INDEX(Uyum!$B$1:$AY$1,MATCH(MAX(Uyum!$B$46:$AY$46),Uyum!$B$46:$AY$46,0))),Topraklar!$A$2:$A$55,0)),"Perlit karıştırın. ","")&amp;IF(D45&lt;INDEX(Topraklar!$D$2:$D$55,MATCH(IF(I45&lt;&gt;"",I45,INDEX(Uyum!$B$1:$AY$1,MATCH(MAX(Uyum!$B$46:$AY$46),Uyum!$B$46:$AY$46,0))),Topraklar!$A$2:$A$55,0)),"Asidik torf karıştırın. ","")&amp;IF(F45&gt;INDEX(Topraklar!$F$2:$F$55,MATCH(IF(I45&lt;&gt;"",I45,INDEX(Uyum!$B$1:$AY$1,MATCH(MAX(Uyum!$B$46:$AY$46),Uyum!$B$46:$AY$46,0))),Topraklar!$A$2:$A$55,0)),"Vermikülit karıştırın. ","")&amp;IF(G45&gt;INDEX(Topraklar!$G$2:$G$55,MATCH(IF(I45&lt;&gt;"",I45,INDEX(Uyum!$B$1:$AY$1,MATCH(MAX(Uyum!$B$46:$AY$46),Uyum!$B$46:$AY$46,0))),Topraklar!$A$2:$A$55,0)),"Solucan gübresi ekleyin.","")),"")</f>
        <v/>
      </c>
    </row>
    <row r="46">
      <c r="A46" s="9" t="inlineStr">
        <is>
          <t>Biberiye</t>
        </is>
      </c>
      <c r="B46" s="9" t="inlineStr">
        <is>
          <t>rosemary</t>
        </is>
      </c>
      <c r="C46" s="9" t="inlineStr">
        <is>
          <t>Aromatik</t>
        </is>
      </c>
      <c r="D46" s="10" t="n">
        <v>3</v>
      </c>
      <c r="E46" s="10" t="n">
        <v>3</v>
      </c>
      <c r="F46" s="10" t="n">
        <v>1</v>
      </c>
      <c r="G46" s="10" t="n">
        <v>1</v>
      </c>
      <c r="H46" s="10" t="inlineStr">
        <is>
          <t>Kumlu</t>
        </is>
      </c>
      <c r="I46" s="11" t="inlineStr">
        <is>
          <t>hg-aromatik-bitkiler-icin-saksi-topragi</t>
        </is>
      </c>
      <c r="J46" s="12">
        <f>IF(I46="","",IFERROR(INDEX(Topraklar!$B$2:$B$55,MATCH(I46,Topraklar!$A$2:$A$55,0)),"⚠ slug bulunamadı"))</f>
        <v/>
      </c>
      <c r="K46" s="12">
        <f>INDEX(Uyum!$B$2:$AY$2,MATCH(MAX(Uyum!$B$47:$AY$47),Uyum!$B$47:$AY$47,0))</f>
        <v/>
      </c>
      <c r="L46" s="13">
        <f>MIN(1,MAX(Uyum!$B$47:$AY$47))</f>
        <v/>
      </c>
      <c r="M46" s="12">
        <f>IF(I46&lt;&gt;"",J46,K46)</f>
        <v/>
      </c>
      <c r="N46" s="12">
        <f>IFERROR(TRIM(IF(E46&gt;INDEX(Topraklar!$E$2:$E$55,MATCH(IF(I46&lt;&gt;"",I46,INDEX(Uyum!$B$1:$AY$1,MATCH(MAX(Uyum!$B$47:$AY$47),Uyum!$B$47:$AY$47,0))),Topraklar!$A$2:$A$55,0)),"Perlit karıştırın. ","")&amp;IF(D46&lt;INDEX(Topraklar!$D$2:$D$55,MATCH(IF(I46&lt;&gt;"",I46,INDEX(Uyum!$B$1:$AY$1,MATCH(MAX(Uyum!$B$47:$AY$47),Uyum!$B$47:$AY$47,0))),Topraklar!$A$2:$A$55,0)),"Asidik torf karıştırın. ","")&amp;IF(F46&gt;INDEX(Topraklar!$F$2:$F$55,MATCH(IF(I46&lt;&gt;"",I46,INDEX(Uyum!$B$1:$AY$1,MATCH(MAX(Uyum!$B$47:$AY$47),Uyum!$B$47:$AY$47,0))),Topraklar!$A$2:$A$55,0)),"Vermikülit karıştırın. ","")&amp;IF(G46&gt;INDEX(Topraklar!$G$2:$G$55,MATCH(IF(I46&lt;&gt;"",I46,INDEX(Uyum!$B$1:$AY$1,MATCH(MAX(Uyum!$B$47:$AY$47),Uyum!$B$47:$AY$47,0))),Topraklar!$A$2:$A$55,0)),"Solucan gübresi ekleyin.","")),"")</f>
        <v/>
      </c>
    </row>
    <row r="47">
      <c r="A47" s="9" t="inlineStr">
        <is>
          <t>Fesleğen</t>
        </is>
      </c>
      <c r="B47" s="9" t="inlineStr">
        <is>
          <t>reyhan, basil</t>
        </is>
      </c>
      <c r="C47" s="9" t="inlineStr">
        <is>
          <t>Aromatik</t>
        </is>
      </c>
      <c r="D47" s="10" t="n">
        <v>3</v>
      </c>
      <c r="E47" s="10" t="n">
        <v>2</v>
      </c>
      <c r="F47" s="10" t="n">
        <v>2</v>
      </c>
      <c r="G47" s="10" t="n">
        <v>2</v>
      </c>
      <c r="H47" s="10" t="inlineStr">
        <is>
          <t>Dengeli</t>
        </is>
      </c>
      <c r="I47" s="11" t="inlineStr">
        <is>
          <t>hg-aromatik-bitkiler-icin-saksi-topragi</t>
        </is>
      </c>
      <c r="J47" s="12">
        <f>IF(I47="","",IFERROR(INDEX(Topraklar!$B$2:$B$55,MATCH(I47,Topraklar!$A$2:$A$55,0)),"⚠ slug bulunamadı"))</f>
        <v/>
      </c>
      <c r="K47" s="12">
        <f>INDEX(Uyum!$B$2:$AY$2,MATCH(MAX(Uyum!$B$48:$AY$48),Uyum!$B$48:$AY$48,0))</f>
        <v/>
      </c>
      <c r="L47" s="13">
        <f>MIN(1,MAX(Uyum!$B$48:$AY$48))</f>
        <v/>
      </c>
      <c r="M47" s="12">
        <f>IF(I47&lt;&gt;"",J47,K47)</f>
        <v/>
      </c>
      <c r="N47" s="12">
        <f>IFERROR(TRIM(IF(E47&gt;INDEX(Topraklar!$E$2:$E$55,MATCH(IF(I47&lt;&gt;"",I47,INDEX(Uyum!$B$1:$AY$1,MATCH(MAX(Uyum!$B$48:$AY$48),Uyum!$B$48:$AY$48,0))),Topraklar!$A$2:$A$55,0)),"Perlit karıştırın. ","")&amp;IF(D47&lt;INDEX(Topraklar!$D$2:$D$55,MATCH(IF(I47&lt;&gt;"",I47,INDEX(Uyum!$B$1:$AY$1,MATCH(MAX(Uyum!$B$48:$AY$48),Uyum!$B$48:$AY$48,0))),Topraklar!$A$2:$A$55,0)),"Asidik torf karıştırın. ","")&amp;IF(F47&gt;INDEX(Topraklar!$F$2:$F$55,MATCH(IF(I47&lt;&gt;"",I47,INDEX(Uyum!$B$1:$AY$1,MATCH(MAX(Uyum!$B$48:$AY$48),Uyum!$B$48:$AY$48,0))),Topraklar!$A$2:$A$55,0)),"Vermikülit karıştırın. ","")&amp;IF(G47&gt;INDEX(Topraklar!$G$2:$G$55,MATCH(IF(I47&lt;&gt;"",I47,INDEX(Uyum!$B$1:$AY$1,MATCH(MAX(Uyum!$B$48:$AY$48),Uyum!$B$48:$AY$48,0))),Topraklar!$A$2:$A$55,0)),"Solucan gübresi ekleyin.","")),"")</f>
        <v/>
      </c>
    </row>
    <row r="48">
      <c r="A48" s="9" t="inlineStr">
        <is>
          <t>Nane</t>
        </is>
      </c>
      <c r="B48" s="9" t="inlineStr">
        <is>
          <t>mint</t>
        </is>
      </c>
      <c r="C48" s="9" t="inlineStr">
        <is>
          <t>Aromatik</t>
        </is>
      </c>
      <c r="D48" s="10" t="n">
        <v>3</v>
      </c>
      <c r="E48" s="10" t="n">
        <v>2</v>
      </c>
      <c r="F48" s="10" t="n">
        <v>3</v>
      </c>
      <c r="G48" s="10" t="n">
        <v>2</v>
      </c>
      <c r="H48" s="10" t="inlineStr">
        <is>
          <t>Dengeli</t>
        </is>
      </c>
      <c r="I48" s="11" t="inlineStr">
        <is>
          <t>hg-aromatik-bitkiler-icin-saksi-topragi</t>
        </is>
      </c>
      <c r="J48" s="12">
        <f>IF(I48="","",IFERROR(INDEX(Topraklar!$B$2:$B$55,MATCH(I48,Topraklar!$A$2:$A$55,0)),"⚠ slug bulunamadı"))</f>
        <v/>
      </c>
      <c r="K48" s="12">
        <f>INDEX(Uyum!$B$2:$AY$2,MATCH(MAX(Uyum!$B$49:$AY$49),Uyum!$B$49:$AY$49,0))</f>
        <v/>
      </c>
      <c r="L48" s="13">
        <f>MIN(1,MAX(Uyum!$B$49:$AY$49))</f>
        <v/>
      </c>
      <c r="M48" s="12">
        <f>IF(I48&lt;&gt;"",J48,K48)</f>
        <v/>
      </c>
      <c r="N48" s="12">
        <f>IFERROR(TRIM(IF(E48&gt;INDEX(Topraklar!$E$2:$E$55,MATCH(IF(I48&lt;&gt;"",I48,INDEX(Uyum!$B$1:$AY$1,MATCH(MAX(Uyum!$B$49:$AY$49),Uyum!$B$49:$AY$49,0))),Topraklar!$A$2:$A$55,0)),"Perlit karıştırın. ","")&amp;IF(D48&lt;INDEX(Topraklar!$D$2:$D$55,MATCH(IF(I48&lt;&gt;"",I48,INDEX(Uyum!$B$1:$AY$1,MATCH(MAX(Uyum!$B$49:$AY$49),Uyum!$B$49:$AY$49,0))),Topraklar!$A$2:$A$55,0)),"Asidik torf karıştırın. ","")&amp;IF(F48&gt;INDEX(Topraklar!$F$2:$F$55,MATCH(IF(I48&lt;&gt;"",I48,INDEX(Uyum!$B$1:$AY$1,MATCH(MAX(Uyum!$B$49:$AY$49),Uyum!$B$49:$AY$49,0))),Topraklar!$A$2:$A$55,0)),"Vermikülit karıştırın. ","")&amp;IF(G48&gt;INDEX(Topraklar!$G$2:$G$55,MATCH(IF(I48&lt;&gt;"",I48,INDEX(Uyum!$B$1:$AY$1,MATCH(MAX(Uyum!$B$49:$AY$49),Uyum!$B$49:$AY$49,0))),Topraklar!$A$2:$A$55,0)),"Solucan gübresi ekleyin.","")),"")</f>
        <v/>
      </c>
    </row>
    <row r="49">
      <c r="A49" s="9" t="inlineStr">
        <is>
          <t>Kekik</t>
        </is>
      </c>
      <c r="B49" s="9" t="inlineStr">
        <is>
          <t>thyme</t>
        </is>
      </c>
      <c r="C49" s="9" t="inlineStr">
        <is>
          <t>Aromatik</t>
        </is>
      </c>
      <c r="D49" s="10" t="n">
        <v>3</v>
      </c>
      <c r="E49" s="10" t="n">
        <v>3</v>
      </c>
      <c r="F49" s="10" t="n">
        <v>1</v>
      </c>
      <c r="G49" s="10" t="n">
        <v>1</v>
      </c>
      <c r="H49" s="10" t="inlineStr">
        <is>
          <t>Kumlu</t>
        </is>
      </c>
      <c r="I49" s="11" t="inlineStr">
        <is>
          <t>hg-aromatik-bitkiler-icin-saksi-topragi</t>
        </is>
      </c>
      <c r="J49" s="12">
        <f>IF(I49="","",IFERROR(INDEX(Topraklar!$B$2:$B$55,MATCH(I49,Topraklar!$A$2:$A$55,0)),"⚠ slug bulunamadı"))</f>
        <v/>
      </c>
      <c r="K49" s="12">
        <f>INDEX(Uyum!$B$2:$AY$2,MATCH(MAX(Uyum!$B$50:$AY$50),Uyum!$B$50:$AY$50,0))</f>
        <v/>
      </c>
      <c r="L49" s="13">
        <f>MIN(1,MAX(Uyum!$B$50:$AY$50))</f>
        <v/>
      </c>
      <c r="M49" s="12">
        <f>IF(I49&lt;&gt;"",J49,K49)</f>
        <v/>
      </c>
      <c r="N49" s="12">
        <f>IFERROR(TRIM(IF(E49&gt;INDEX(Topraklar!$E$2:$E$55,MATCH(IF(I49&lt;&gt;"",I49,INDEX(Uyum!$B$1:$AY$1,MATCH(MAX(Uyum!$B$50:$AY$50),Uyum!$B$50:$AY$50,0))),Topraklar!$A$2:$A$55,0)),"Perlit karıştırın. ","")&amp;IF(D49&lt;INDEX(Topraklar!$D$2:$D$55,MATCH(IF(I49&lt;&gt;"",I49,INDEX(Uyum!$B$1:$AY$1,MATCH(MAX(Uyum!$B$50:$AY$50),Uyum!$B$50:$AY$50,0))),Topraklar!$A$2:$A$55,0)),"Asidik torf karıştırın. ","")&amp;IF(F49&gt;INDEX(Topraklar!$F$2:$F$55,MATCH(IF(I49&lt;&gt;"",I49,INDEX(Uyum!$B$1:$AY$1,MATCH(MAX(Uyum!$B$50:$AY$50),Uyum!$B$50:$AY$50,0))),Topraklar!$A$2:$A$55,0)),"Vermikülit karıştırın. ","")&amp;IF(G49&gt;INDEX(Topraklar!$G$2:$G$55,MATCH(IF(I49&lt;&gt;"",I49,INDEX(Uyum!$B$1:$AY$1,MATCH(MAX(Uyum!$B$50:$AY$50),Uyum!$B$50:$AY$50,0))),Topraklar!$A$2:$A$55,0)),"Solucan gübresi ekleyin.","")),"")</f>
        <v/>
      </c>
    </row>
    <row r="50">
      <c r="A50" s="9" t="inlineStr">
        <is>
          <t>Adaçayı</t>
        </is>
      </c>
      <c r="B50" s="9" t="inlineStr">
        <is>
          <t>sage</t>
        </is>
      </c>
      <c r="C50" s="9" t="inlineStr">
        <is>
          <t>Aromatik</t>
        </is>
      </c>
      <c r="D50" s="10" t="n">
        <v>3</v>
      </c>
      <c r="E50" s="10" t="n">
        <v>3</v>
      </c>
      <c r="F50" s="10" t="n">
        <v>1</v>
      </c>
      <c r="G50" s="10" t="n">
        <v>1</v>
      </c>
      <c r="H50" s="10" t="inlineStr">
        <is>
          <t>Kumlu</t>
        </is>
      </c>
      <c r="I50" s="11" t="inlineStr">
        <is>
          <t>hg-aromatik-bitkiler-icin-saksi-topragi</t>
        </is>
      </c>
      <c r="J50" s="12">
        <f>IF(I50="","",IFERROR(INDEX(Topraklar!$B$2:$B$55,MATCH(I50,Topraklar!$A$2:$A$55,0)),"⚠ slug bulunamadı"))</f>
        <v/>
      </c>
      <c r="K50" s="12">
        <f>INDEX(Uyum!$B$2:$AY$2,MATCH(MAX(Uyum!$B$51:$AY$51),Uyum!$B$51:$AY$51,0))</f>
        <v/>
      </c>
      <c r="L50" s="13">
        <f>MIN(1,MAX(Uyum!$B$51:$AY$51))</f>
        <v/>
      </c>
      <c r="M50" s="12">
        <f>IF(I50&lt;&gt;"",J50,K50)</f>
        <v/>
      </c>
      <c r="N50" s="12">
        <f>IFERROR(TRIM(IF(E50&gt;INDEX(Topraklar!$E$2:$E$55,MATCH(IF(I50&lt;&gt;"",I50,INDEX(Uyum!$B$1:$AY$1,MATCH(MAX(Uyum!$B$51:$AY$51),Uyum!$B$51:$AY$51,0))),Topraklar!$A$2:$A$55,0)),"Perlit karıştırın. ","")&amp;IF(D50&lt;INDEX(Topraklar!$D$2:$D$55,MATCH(IF(I50&lt;&gt;"",I50,INDEX(Uyum!$B$1:$AY$1,MATCH(MAX(Uyum!$B$51:$AY$51),Uyum!$B$51:$AY$51,0))),Topraklar!$A$2:$A$55,0)),"Asidik torf karıştırın. ","")&amp;IF(F50&gt;INDEX(Topraklar!$F$2:$F$55,MATCH(IF(I50&lt;&gt;"",I50,INDEX(Uyum!$B$1:$AY$1,MATCH(MAX(Uyum!$B$51:$AY$51),Uyum!$B$51:$AY$51,0))),Topraklar!$A$2:$A$55,0)),"Vermikülit karıştırın. ","")&amp;IF(G50&gt;INDEX(Topraklar!$G$2:$G$55,MATCH(IF(I50&lt;&gt;"",I50,INDEX(Uyum!$B$1:$AY$1,MATCH(MAX(Uyum!$B$51:$AY$51),Uyum!$B$51:$AY$51,0))),Topraklar!$A$2:$A$55,0)),"Solucan gübresi ekleyin.","")),"")</f>
        <v/>
      </c>
    </row>
    <row r="51">
      <c r="A51" s="9" t="inlineStr">
        <is>
          <t>Petunya</t>
        </is>
      </c>
      <c r="B51" s="9" t="inlineStr">
        <is>
          <t>petunia</t>
        </is>
      </c>
      <c r="C51" s="9" t="inlineStr">
        <is>
          <t>Çiçek</t>
        </is>
      </c>
      <c r="D51" s="10" t="n">
        <v>2</v>
      </c>
      <c r="E51" s="10" t="n">
        <v>2</v>
      </c>
      <c r="F51" s="10" t="n">
        <v>2</v>
      </c>
      <c r="G51" s="10" t="n">
        <v>3</v>
      </c>
      <c r="H51" s="10" t="inlineStr">
        <is>
          <t>Dengeli</t>
        </is>
      </c>
      <c r="I51" s="11" t="inlineStr"/>
      <c r="J51" s="12">
        <f>IF(I51="","",IFERROR(INDEX(Topraklar!$B$2:$B$55,MATCH(I51,Topraklar!$A$2:$A$55,0)),"⚠ slug bulunamadı"))</f>
        <v/>
      </c>
      <c r="K51" s="12">
        <f>INDEX(Uyum!$B$2:$AY$2,MATCH(MAX(Uyum!$B$52:$AY$52),Uyum!$B$52:$AY$52,0))</f>
        <v/>
      </c>
      <c r="L51" s="13">
        <f>MIN(1,MAX(Uyum!$B$52:$AY$52))</f>
        <v/>
      </c>
      <c r="M51" s="12">
        <f>IF(I51&lt;&gt;"",J51,K51)</f>
        <v/>
      </c>
      <c r="N51" s="12">
        <f>IFERROR(TRIM(IF(E51&gt;INDEX(Topraklar!$E$2:$E$55,MATCH(IF(I51&lt;&gt;"",I51,INDEX(Uyum!$B$1:$AY$1,MATCH(MAX(Uyum!$B$52:$AY$52),Uyum!$B$52:$AY$52,0))),Topraklar!$A$2:$A$55,0)),"Perlit karıştırın. ","")&amp;IF(D51&lt;INDEX(Topraklar!$D$2:$D$55,MATCH(IF(I51&lt;&gt;"",I51,INDEX(Uyum!$B$1:$AY$1,MATCH(MAX(Uyum!$B$52:$AY$52),Uyum!$B$52:$AY$52,0))),Topraklar!$A$2:$A$55,0)),"Asidik torf karıştırın. ","")&amp;IF(F51&gt;INDEX(Topraklar!$F$2:$F$55,MATCH(IF(I51&lt;&gt;"",I51,INDEX(Uyum!$B$1:$AY$1,MATCH(MAX(Uyum!$B$52:$AY$52),Uyum!$B$52:$AY$52,0))),Topraklar!$A$2:$A$55,0)),"Vermikülit karıştırın. ","")&amp;IF(G51&gt;INDEX(Topraklar!$G$2:$G$55,MATCH(IF(I51&lt;&gt;"",I51,INDEX(Uyum!$B$1:$AY$1,MATCH(MAX(Uyum!$B$52:$AY$52),Uyum!$B$52:$AY$52,0))),Topraklar!$A$2:$A$55,0)),"Solucan gübresi ekleyin.","")),"")</f>
        <v/>
      </c>
    </row>
    <row r="52">
      <c r="A52" s="9" t="inlineStr">
        <is>
          <t>Karanfil</t>
        </is>
      </c>
      <c r="B52" s="9" t="inlineStr">
        <is>
          <t>dianthus</t>
        </is>
      </c>
      <c r="C52" s="9" t="inlineStr">
        <is>
          <t>Çiçek</t>
        </is>
      </c>
      <c r="D52" s="10" t="n">
        <v>3</v>
      </c>
      <c r="E52" s="10" t="n">
        <v>3</v>
      </c>
      <c r="F52" s="10" t="n">
        <v>1</v>
      </c>
      <c r="G52" s="10" t="n">
        <v>2</v>
      </c>
      <c r="H52" s="10" t="inlineStr">
        <is>
          <t>Dengeli</t>
        </is>
      </c>
      <c r="I52" s="11" t="inlineStr"/>
      <c r="J52" s="12">
        <f>IF(I52="","",IFERROR(INDEX(Topraklar!$B$2:$B$55,MATCH(I52,Topraklar!$A$2:$A$55,0)),"⚠ slug bulunamadı"))</f>
        <v/>
      </c>
      <c r="K52" s="12">
        <f>INDEX(Uyum!$B$2:$AY$2,MATCH(MAX(Uyum!$B$53:$AY$53),Uyum!$B$53:$AY$53,0))</f>
        <v/>
      </c>
      <c r="L52" s="13">
        <f>MIN(1,MAX(Uyum!$B$53:$AY$53))</f>
        <v/>
      </c>
      <c r="M52" s="12">
        <f>IF(I52&lt;&gt;"",J52,K52)</f>
        <v/>
      </c>
      <c r="N52" s="12">
        <f>IFERROR(TRIM(IF(E52&gt;INDEX(Topraklar!$E$2:$E$55,MATCH(IF(I52&lt;&gt;"",I52,INDEX(Uyum!$B$1:$AY$1,MATCH(MAX(Uyum!$B$53:$AY$53),Uyum!$B$53:$AY$53,0))),Topraklar!$A$2:$A$55,0)),"Perlit karıştırın. ","")&amp;IF(D52&lt;INDEX(Topraklar!$D$2:$D$55,MATCH(IF(I52&lt;&gt;"",I52,INDEX(Uyum!$B$1:$AY$1,MATCH(MAX(Uyum!$B$53:$AY$53),Uyum!$B$53:$AY$53,0))),Topraklar!$A$2:$A$55,0)),"Asidik torf karıştırın. ","")&amp;IF(F52&gt;INDEX(Topraklar!$F$2:$F$55,MATCH(IF(I52&lt;&gt;"",I52,INDEX(Uyum!$B$1:$AY$1,MATCH(MAX(Uyum!$B$53:$AY$53),Uyum!$B$53:$AY$53,0))),Topraklar!$A$2:$A$55,0)),"Vermikülit karıştırın. ","")&amp;IF(G52&gt;INDEX(Topraklar!$G$2:$G$55,MATCH(IF(I52&lt;&gt;"",I52,INDEX(Uyum!$B$1:$AY$1,MATCH(MAX(Uyum!$B$53:$AY$53),Uyum!$B$53:$AY$53,0))),Topraklar!$A$2:$A$55,0)),"Solucan gübresi ekleyin.","")),"")</f>
        <v/>
      </c>
    </row>
    <row r="53">
      <c r="A53" s="9" t="inlineStr">
        <is>
          <t>Yasemin</t>
        </is>
      </c>
      <c r="B53" s="9" t="inlineStr">
        <is>
          <t>jasmine</t>
        </is>
      </c>
      <c r="C53" s="9" t="inlineStr">
        <is>
          <t>Çiçek</t>
        </is>
      </c>
      <c r="D53" s="10" t="n">
        <v>2</v>
      </c>
      <c r="E53" s="10" t="n">
        <v>2</v>
      </c>
      <c r="F53" s="10" t="n">
        <v>2</v>
      </c>
      <c r="G53" s="10" t="n">
        <v>2</v>
      </c>
      <c r="H53" s="10" t="inlineStr">
        <is>
          <t>Dengeli</t>
        </is>
      </c>
      <c r="I53" s="11" t="inlineStr"/>
      <c r="J53" s="12">
        <f>IF(I53="","",IFERROR(INDEX(Topraklar!$B$2:$B$55,MATCH(I53,Topraklar!$A$2:$A$55,0)),"⚠ slug bulunamadı"))</f>
        <v/>
      </c>
      <c r="K53" s="12">
        <f>INDEX(Uyum!$B$2:$AY$2,MATCH(MAX(Uyum!$B$54:$AY$54),Uyum!$B$54:$AY$54,0))</f>
        <v/>
      </c>
      <c r="L53" s="13">
        <f>MIN(1,MAX(Uyum!$B$54:$AY$54))</f>
        <v/>
      </c>
      <c r="M53" s="12">
        <f>IF(I53&lt;&gt;"",J53,K53)</f>
        <v/>
      </c>
      <c r="N53" s="12">
        <f>IFERROR(TRIM(IF(E53&gt;INDEX(Topraklar!$E$2:$E$55,MATCH(IF(I53&lt;&gt;"",I53,INDEX(Uyum!$B$1:$AY$1,MATCH(MAX(Uyum!$B$54:$AY$54),Uyum!$B$54:$AY$54,0))),Topraklar!$A$2:$A$55,0)),"Perlit karıştırın. ","")&amp;IF(D53&lt;INDEX(Topraklar!$D$2:$D$55,MATCH(IF(I53&lt;&gt;"",I53,INDEX(Uyum!$B$1:$AY$1,MATCH(MAX(Uyum!$B$54:$AY$54),Uyum!$B$54:$AY$54,0))),Topraklar!$A$2:$A$55,0)),"Asidik torf karıştırın. ","")&amp;IF(F53&gt;INDEX(Topraklar!$F$2:$F$55,MATCH(IF(I53&lt;&gt;"",I53,INDEX(Uyum!$B$1:$AY$1,MATCH(MAX(Uyum!$B$54:$AY$54),Uyum!$B$54:$AY$54,0))),Topraklar!$A$2:$A$55,0)),"Vermikülit karıştırın. ","")&amp;IF(G53&gt;INDEX(Topraklar!$G$2:$G$55,MATCH(IF(I53&lt;&gt;"",I53,INDEX(Uyum!$B$1:$AY$1,MATCH(MAX(Uyum!$B$54:$AY$54),Uyum!$B$54:$AY$54,0))),Topraklar!$A$2:$A$55,0)),"Solucan gübresi ekleyin.","")),"")</f>
        <v/>
      </c>
    </row>
    <row r="54">
      <c r="A54" s="9" t="inlineStr">
        <is>
          <t>Lale</t>
        </is>
      </c>
      <c r="B54" s="9" t="inlineStr">
        <is>
          <t>tulip, soğanlı çiçek</t>
        </is>
      </c>
      <c r="C54" s="9" t="inlineStr">
        <is>
          <t>Çiçek</t>
        </is>
      </c>
      <c r="D54" s="10" t="n">
        <v>3</v>
      </c>
      <c r="E54" s="10" t="n">
        <v>3</v>
      </c>
      <c r="F54" s="10" t="n">
        <v>1</v>
      </c>
      <c r="G54" s="10" t="n">
        <v>2</v>
      </c>
      <c r="H54" s="10" t="inlineStr">
        <is>
          <t>Dengeli</t>
        </is>
      </c>
      <c r="I54" s="11" t="inlineStr"/>
      <c r="J54" s="12">
        <f>IF(I54="","",IFERROR(INDEX(Topraklar!$B$2:$B$55,MATCH(I54,Topraklar!$A$2:$A$55,0)),"⚠ slug bulunamadı"))</f>
        <v/>
      </c>
      <c r="K54" s="12">
        <f>INDEX(Uyum!$B$2:$AY$2,MATCH(MAX(Uyum!$B$55:$AY$55),Uyum!$B$55:$AY$55,0))</f>
        <v/>
      </c>
      <c r="L54" s="13">
        <f>MIN(1,MAX(Uyum!$B$55:$AY$55))</f>
        <v/>
      </c>
      <c r="M54" s="12">
        <f>IF(I54&lt;&gt;"",J54,K54)</f>
        <v/>
      </c>
      <c r="N54" s="12">
        <f>IFERROR(TRIM(IF(E54&gt;INDEX(Topraklar!$E$2:$E$55,MATCH(IF(I54&lt;&gt;"",I54,INDEX(Uyum!$B$1:$AY$1,MATCH(MAX(Uyum!$B$55:$AY$55),Uyum!$B$55:$AY$55,0))),Topraklar!$A$2:$A$55,0)),"Perlit karıştırın. ","")&amp;IF(D54&lt;INDEX(Topraklar!$D$2:$D$55,MATCH(IF(I54&lt;&gt;"",I54,INDEX(Uyum!$B$1:$AY$1,MATCH(MAX(Uyum!$B$55:$AY$55),Uyum!$B$55:$AY$55,0))),Topraklar!$A$2:$A$55,0)),"Asidik torf karıştırın. ","")&amp;IF(F54&gt;INDEX(Topraklar!$F$2:$F$55,MATCH(IF(I54&lt;&gt;"",I54,INDEX(Uyum!$B$1:$AY$1,MATCH(MAX(Uyum!$B$55:$AY$55),Uyum!$B$55:$AY$55,0))),Topraklar!$A$2:$A$55,0)),"Vermikülit karıştırın. ","")&amp;IF(G54&gt;INDEX(Topraklar!$G$2:$G$55,MATCH(IF(I54&lt;&gt;"",I54,INDEX(Uyum!$B$1:$AY$1,MATCH(MAX(Uyum!$B$55:$AY$55),Uyum!$B$55:$AY$55,0))),Topraklar!$A$2:$A$55,0)),"Solucan gübresi ekleyin.","")),"")</f>
        <v/>
      </c>
    </row>
    <row r="55">
      <c r="A55" s="9" t="inlineStr">
        <is>
          <t>Limon</t>
        </is>
      </c>
      <c r="B55" s="9" t="inlineStr">
        <is>
          <t>limon ağacı</t>
        </is>
      </c>
      <c r="C55" s="9" t="inlineStr">
        <is>
          <t>Meyve</t>
        </is>
      </c>
      <c r="D55" s="10" t="n">
        <v>2</v>
      </c>
      <c r="E55" s="10" t="n">
        <v>3</v>
      </c>
      <c r="F55" s="10" t="n">
        <v>2</v>
      </c>
      <c r="G55" s="10" t="n">
        <v>3</v>
      </c>
      <c r="H55" s="10" t="inlineStr">
        <is>
          <t>Dengeli</t>
        </is>
      </c>
      <c r="I55" s="11" t="inlineStr">
        <is>
          <t>limon-agaci-topragi-ozel-organik-karisim</t>
        </is>
      </c>
      <c r="J55" s="12">
        <f>IF(I55="","",IFERROR(INDEX(Topraklar!$B$2:$B$55,MATCH(I55,Topraklar!$A$2:$A$55,0)),"⚠ slug bulunamadı"))</f>
        <v/>
      </c>
      <c r="K55" s="12">
        <f>INDEX(Uyum!$B$2:$AY$2,MATCH(MAX(Uyum!$B$56:$AY$56),Uyum!$B$56:$AY$56,0))</f>
        <v/>
      </c>
      <c r="L55" s="13">
        <f>MIN(1,MAX(Uyum!$B$56:$AY$56))</f>
        <v/>
      </c>
      <c r="M55" s="12">
        <f>IF(I55&lt;&gt;"",J55,K55)</f>
        <v/>
      </c>
      <c r="N55" s="12">
        <f>IFERROR(TRIM(IF(E55&gt;INDEX(Topraklar!$E$2:$E$55,MATCH(IF(I55&lt;&gt;"",I55,INDEX(Uyum!$B$1:$AY$1,MATCH(MAX(Uyum!$B$56:$AY$56),Uyum!$B$56:$AY$56,0))),Topraklar!$A$2:$A$55,0)),"Perlit karıştırın. ","")&amp;IF(D55&lt;INDEX(Topraklar!$D$2:$D$55,MATCH(IF(I55&lt;&gt;"",I55,INDEX(Uyum!$B$1:$AY$1,MATCH(MAX(Uyum!$B$56:$AY$56),Uyum!$B$56:$AY$56,0))),Topraklar!$A$2:$A$55,0)),"Asidik torf karıştırın. ","")&amp;IF(F55&gt;INDEX(Topraklar!$F$2:$F$55,MATCH(IF(I55&lt;&gt;"",I55,INDEX(Uyum!$B$1:$AY$1,MATCH(MAX(Uyum!$B$56:$AY$56),Uyum!$B$56:$AY$56,0))),Topraklar!$A$2:$A$55,0)),"Vermikülit karıştırın. ","")&amp;IF(G55&gt;INDEX(Topraklar!$G$2:$G$55,MATCH(IF(I55&lt;&gt;"",I55,INDEX(Uyum!$B$1:$AY$1,MATCH(MAX(Uyum!$B$56:$AY$56),Uyum!$B$56:$AY$56,0))),Topraklar!$A$2:$A$55,0)),"Solucan gübresi ekleyin.","")),"")</f>
        <v/>
      </c>
    </row>
    <row r="56">
      <c r="A56" s="9" t="inlineStr">
        <is>
          <t>Portakal</t>
        </is>
      </c>
      <c r="B56" s="9" t="inlineStr">
        <is>
          <t>mandalina, narenciye, turunç</t>
        </is>
      </c>
      <c r="C56" s="9" t="inlineStr">
        <is>
          <t>Meyve</t>
        </is>
      </c>
      <c r="D56" s="10" t="n">
        <v>2</v>
      </c>
      <c r="E56" s="10" t="n">
        <v>3</v>
      </c>
      <c r="F56" s="10" t="n">
        <v>2</v>
      </c>
      <c r="G56" s="10" t="n">
        <v>3</v>
      </c>
      <c r="H56" s="10" t="inlineStr">
        <is>
          <t>Dengeli</t>
        </is>
      </c>
      <c r="I56" s="11" t="inlineStr">
        <is>
          <t>hg-narenciye-topragi</t>
        </is>
      </c>
      <c r="J56" s="12">
        <f>IF(I56="","",IFERROR(INDEX(Topraklar!$B$2:$B$55,MATCH(I56,Topraklar!$A$2:$A$55,0)),"⚠ slug bulunamadı"))</f>
        <v/>
      </c>
      <c r="K56" s="12">
        <f>INDEX(Uyum!$B$2:$AY$2,MATCH(MAX(Uyum!$B$57:$AY$57),Uyum!$B$57:$AY$57,0))</f>
        <v/>
      </c>
      <c r="L56" s="13">
        <f>MIN(1,MAX(Uyum!$B$57:$AY$57))</f>
        <v/>
      </c>
      <c r="M56" s="12">
        <f>IF(I56&lt;&gt;"",J56,K56)</f>
        <v/>
      </c>
      <c r="N56" s="12">
        <f>IFERROR(TRIM(IF(E56&gt;INDEX(Topraklar!$E$2:$E$55,MATCH(IF(I56&lt;&gt;"",I56,INDEX(Uyum!$B$1:$AY$1,MATCH(MAX(Uyum!$B$57:$AY$57),Uyum!$B$57:$AY$57,0))),Topraklar!$A$2:$A$55,0)),"Perlit karıştırın. ","")&amp;IF(D56&lt;INDEX(Topraklar!$D$2:$D$55,MATCH(IF(I56&lt;&gt;"",I56,INDEX(Uyum!$B$1:$AY$1,MATCH(MAX(Uyum!$B$57:$AY$57),Uyum!$B$57:$AY$57,0))),Topraklar!$A$2:$A$55,0)),"Asidik torf karıştırın. ","")&amp;IF(F56&gt;INDEX(Topraklar!$F$2:$F$55,MATCH(IF(I56&lt;&gt;"",I56,INDEX(Uyum!$B$1:$AY$1,MATCH(MAX(Uyum!$B$57:$AY$57),Uyum!$B$57:$AY$57,0))),Topraklar!$A$2:$A$55,0)),"Vermikülit karıştırın. ","")&amp;IF(G56&gt;INDEX(Topraklar!$G$2:$G$55,MATCH(IF(I56&lt;&gt;"",I56,INDEX(Uyum!$B$1:$AY$1,MATCH(MAX(Uyum!$B$57:$AY$57),Uyum!$B$57:$AY$57,0))),Topraklar!$A$2:$A$55,0)),"Solucan gübresi ekleyin.","")),"")</f>
        <v/>
      </c>
    </row>
    <row r="57">
      <c r="A57" s="9" t="inlineStr">
        <is>
          <t>Kumkuat</t>
        </is>
      </c>
      <c r="B57" s="9" t="inlineStr">
        <is>
          <t>kamkat</t>
        </is>
      </c>
      <c r="C57" s="9" t="inlineStr">
        <is>
          <t>Meyve</t>
        </is>
      </c>
      <c r="D57" s="10" t="n">
        <v>2</v>
      </c>
      <c r="E57" s="10" t="n">
        <v>3</v>
      </c>
      <c r="F57" s="10" t="n">
        <v>2</v>
      </c>
      <c r="G57" s="10" t="n">
        <v>3</v>
      </c>
      <c r="H57" s="10" t="inlineStr">
        <is>
          <t>Dengeli</t>
        </is>
      </c>
      <c r="I57" s="11" t="inlineStr">
        <is>
          <t>hg-kumkuat-kamkat-topragi-ozel-karisim</t>
        </is>
      </c>
      <c r="J57" s="12">
        <f>IF(I57="","",IFERROR(INDEX(Topraklar!$B$2:$B$55,MATCH(I57,Topraklar!$A$2:$A$55,0)),"⚠ slug bulunamadı"))</f>
        <v/>
      </c>
      <c r="K57" s="12">
        <f>INDEX(Uyum!$B$2:$AY$2,MATCH(MAX(Uyum!$B$58:$AY$58),Uyum!$B$58:$AY$58,0))</f>
        <v/>
      </c>
      <c r="L57" s="13">
        <f>MIN(1,MAX(Uyum!$B$58:$AY$58))</f>
        <v/>
      </c>
      <c r="M57" s="12">
        <f>IF(I57&lt;&gt;"",J57,K57)</f>
        <v/>
      </c>
      <c r="N57" s="12">
        <f>IFERROR(TRIM(IF(E57&gt;INDEX(Topraklar!$E$2:$E$55,MATCH(IF(I57&lt;&gt;"",I57,INDEX(Uyum!$B$1:$AY$1,MATCH(MAX(Uyum!$B$58:$AY$58),Uyum!$B$58:$AY$58,0))),Topraklar!$A$2:$A$55,0)),"Perlit karıştırın. ","")&amp;IF(D57&lt;INDEX(Topraklar!$D$2:$D$55,MATCH(IF(I57&lt;&gt;"",I57,INDEX(Uyum!$B$1:$AY$1,MATCH(MAX(Uyum!$B$58:$AY$58),Uyum!$B$58:$AY$58,0))),Topraklar!$A$2:$A$55,0)),"Asidik torf karıştırın. ","")&amp;IF(F57&gt;INDEX(Topraklar!$F$2:$F$55,MATCH(IF(I57&lt;&gt;"",I57,INDEX(Uyum!$B$1:$AY$1,MATCH(MAX(Uyum!$B$58:$AY$58),Uyum!$B$58:$AY$58,0))),Topraklar!$A$2:$A$55,0)),"Vermikülit karıştırın. ","")&amp;IF(G57&gt;INDEX(Topraklar!$G$2:$G$55,MATCH(IF(I57&lt;&gt;"",I57,INDEX(Uyum!$B$1:$AY$1,MATCH(MAX(Uyum!$B$58:$AY$58),Uyum!$B$58:$AY$58,0))),Topraklar!$A$2:$A$55,0)),"Solucan gübresi ekleyin.","")),"")</f>
        <v/>
      </c>
    </row>
    <row r="58">
      <c r="A58" s="9" t="inlineStr">
        <is>
          <t>Avokado</t>
        </is>
      </c>
      <c r="B58" s="9" t="inlineStr"/>
      <c r="C58" s="9" t="inlineStr">
        <is>
          <t>Meyve</t>
        </is>
      </c>
      <c r="D58" s="10" t="n">
        <v>2</v>
      </c>
      <c r="E58" s="10" t="n">
        <v>3</v>
      </c>
      <c r="F58" s="10" t="n">
        <v>2</v>
      </c>
      <c r="G58" s="10" t="n">
        <v>2</v>
      </c>
      <c r="H58" s="10" t="inlineStr">
        <is>
          <t>Havalı</t>
        </is>
      </c>
      <c r="I58" s="11" t="inlineStr">
        <is>
          <t>hg-avokado-topragi-ozel-karisim</t>
        </is>
      </c>
      <c r="J58" s="12">
        <f>IF(I58="","",IFERROR(INDEX(Topraklar!$B$2:$B$55,MATCH(I58,Topraklar!$A$2:$A$55,0)),"⚠ slug bulunamadı"))</f>
        <v/>
      </c>
      <c r="K58" s="12">
        <f>INDEX(Uyum!$B$2:$AY$2,MATCH(MAX(Uyum!$B$59:$AY$59),Uyum!$B$59:$AY$59,0))</f>
        <v/>
      </c>
      <c r="L58" s="13">
        <f>MIN(1,MAX(Uyum!$B$59:$AY$59))</f>
        <v/>
      </c>
      <c r="M58" s="12">
        <f>IF(I58&lt;&gt;"",J58,K58)</f>
        <v/>
      </c>
      <c r="N58" s="12">
        <f>IFERROR(TRIM(IF(E58&gt;INDEX(Topraklar!$E$2:$E$55,MATCH(IF(I58&lt;&gt;"",I58,INDEX(Uyum!$B$1:$AY$1,MATCH(MAX(Uyum!$B$59:$AY$59),Uyum!$B$59:$AY$59,0))),Topraklar!$A$2:$A$55,0)),"Perlit karıştırın. ","")&amp;IF(D58&lt;INDEX(Topraklar!$D$2:$D$55,MATCH(IF(I58&lt;&gt;"",I58,INDEX(Uyum!$B$1:$AY$1,MATCH(MAX(Uyum!$B$59:$AY$59),Uyum!$B$59:$AY$59,0))),Topraklar!$A$2:$A$55,0)),"Asidik torf karıştırın. ","")&amp;IF(F58&gt;INDEX(Topraklar!$F$2:$F$55,MATCH(IF(I58&lt;&gt;"",I58,INDEX(Uyum!$B$1:$AY$1,MATCH(MAX(Uyum!$B$59:$AY$59),Uyum!$B$59:$AY$59,0))),Topraklar!$A$2:$A$55,0)),"Vermikülit karıştırın. ","")&amp;IF(G58&gt;INDEX(Topraklar!$G$2:$G$55,MATCH(IF(I58&lt;&gt;"",I58,INDEX(Uyum!$B$1:$AY$1,MATCH(MAX(Uyum!$B$59:$AY$59),Uyum!$B$59:$AY$59,0))),Topraklar!$A$2:$A$55,0)),"Solucan gübresi ekleyin.","")),"")</f>
        <v/>
      </c>
    </row>
    <row r="59">
      <c r="A59" s="9" t="inlineStr">
        <is>
          <t>Yaban mersini</t>
        </is>
      </c>
      <c r="B59" s="9" t="inlineStr">
        <is>
          <t>blueberry</t>
        </is>
      </c>
      <c r="C59" s="9" t="inlineStr">
        <is>
          <t>Asit seven</t>
        </is>
      </c>
      <c r="D59" s="10" t="n">
        <v>1</v>
      </c>
      <c r="E59" s="10" t="n">
        <v>2</v>
      </c>
      <c r="F59" s="10" t="n">
        <v>2</v>
      </c>
      <c r="G59" s="10" t="n">
        <v>2</v>
      </c>
      <c r="H59" s="10" t="inlineStr">
        <is>
          <t>Dengeli</t>
        </is>
      </c>
      <c r="I59" s="11" t="inlineStr">
        <is>
          <t>yaban-mersini-ve-ortanca-topragi</t>
        </is>
      </c>
      <c r="J59" s="12">
        <f>IF(I59="","",IFERROR(INDEX(Topraklar!$B$2:$B$55,MATCH(I59,Topraklar!$A$2:$A$55,0)),"⚠ slug bulunamadı"))</f>
        <v/>
      </c>
      <c r="K59" s="12">
        <f>INDEX(Uyum!$B$2:$AY$2,MATCH(MAX(Uyum!$B$60:$AY$60),Uyum!$B$60:$AY$60,0))</f>
        <v/>
      </c>
      <c r="L59" s="13">
        <f>MIN(1,MAX(Uyum!$B$60:$AY$60))</f>
        <v/>
      </c>
      <c r="M59" s="12">
        <f>IF(I59&lt;&gt;"",J59,K59)</f>
        <v/>
      </c>
      <c r="N59" s="12">
        <f>IFERROR(TRIM(IF(E59&gt;INDEX(Topraklar!$E$2:$E$55,MATCH(IF(I59&lt;&gt;"",I59,INDEX(Uyum!$B$1:$AY$1,MATCH(MAX(Uyum!$B$60:$AY$60),Uyum!$B$60:$AY$60,0))),Topraklar!$A$2:$A$55,0)),"Perlit karıştırın. ","")&amp;IF(D59&lt;INDEX(Topraklar!$D$2:$D$55,MATCH(IF(I59&lt;&gt;"",I59,INDEX(Uyum!$B$1:$AY$1,MATCH(MAX(Uyum!$B$60:$AY$60),Uyum!$B$60:$AY$60,0))),Topraklar!$A$2:$A$55,0)),"Asidik torf karıştırın. ","")&amp;IF(F59&gt;INDEX(Topraklar!$F$2:$F$55,MATCH(IF(I59&lt;&gt;"",I59,INDEX(Uyum!$B$1:$AY$1,MATCH(MAX(Uyum!$B$60:$AY$60),Uyum!$B$60:$AY$60,0))),Topraklar!$A$2:$A$55,0)),"Vermikülit karıştırın. ","")&amp;IF(G59&gt;INDEX(Topraklar!$G$2:$G$55,MATCH(IF(I59&lt;&gt;"",I59,INDEX(Uyum!$B$1:$AY$1,MATCH(MAX(Uyum!$B$60:$AY$60),Uyum!$B$60:$AY$60,0))),Topraklar!$A$2:$A$55,0)),"Solucan gübresi ekleyin.","")),"")</f>
        <v/>
      </c>
    </row>
    <row r="60">
      <c r="A60" s="9" t="inlineStr">
        <is>
          <t>Aronya</t>
        </is>
      </c>
      <c r="B60" s="9" t="inlineStr"/>
      <c r="C60" s="9" t="inlineStr">
        <is>
          <t>Asit seven</t>
        </is>
      </c>
      <c r="D60" s="10" t="n">
        <v>1</v>
      </c>
      <c r="E60" s="10" t="n">
        <v>2</v>
      </c>
      <c r="F60" s="10" t="n">
        <v>2</v>
      </c>
      <c r="G60" s="10" t="n">
        <v>2</v>
      </c>
      <c r="H60" s="10" t="inlineStr">
        <is>
          <t>Dengeli</t>
        </is>
      </c>
      <c r="I60" s="11" t="inlineStr">
        <is>
          <t>aronya-bitkisi-topragi-ozel-asidik-torf-karisimi</t>
        </is>
      </c>
      <c r="J60" s="12">
        <f>IF(I60="","",IFERROR(INDEX(Topraklar!$B$2:$B$55,MATCH(I60,Topraklar!$A$2:$A$55,0)),"⚠ slug bulunamadı"))</f>
        <v/>
      </c>
      <c r="K60" s="12">
        <f>INDEX(Uyum!$B$2:$AY$2,MATCH(MAX(Uyum!$B$61:$AY$61),Uyum!$B$61:$AY$61,0))</f>
        <v/>
      </c>
      <c r="L60" s="13">
        <f>MIN(1,MAX(Uyum!$B$61:$AY$61))</f>
        <v/>
      </c>
      <c r="M60" s="12">
        <f>IF(I60&lt;&gt;"",J60,K60)</f>
        <v/>
      </c>
      <c r="N60" s="12">
        <f>IFERROR(TRIM(IF(E60&gt;INDEX(Topraklar!$E$2:$E$55,MATCH(IF(I60&lt;&gt;"",I60,INDEX(Uyum!$B$1:$AY$1,MATCH(MAX(Uyum!$B$61:$AY$61),Uyum!$B$61:$AY$61,0))),Topraklar!$A$2:$A$55,0)),"Perlit karıştırın. ","")&amp;IF(D60&lt;INDEX(Topraklar!$D$2:$D$55,MATCH(IF(I60&lt;&gt;"",I60,INDEX(Uyum!$B$1:$AY$1,MATCH(MAX(Uyum!$B$61:$AY$61),Uyum!$B$61:$AY$61,0))),Topraklar!$A$2:$A$55,0)),"Asidik torf karıştırın. ","")&amp;IF(F60&gt;INDEX(Topraklar!$F$2:$F$55,MATCH(IF(I60&lt;&gt;"",I60,INDEX(Uyum!$B$1:$AY$1,MATCH(MAX(Uyum!$B$61:$AY$61),Uyum!$B$61:$AY$61,0))),Topraklar!$A$2:$A$55,0)),"Vermikülit karıştırın. ","")&amp;IF(G60&gt;INDEX(Topraklar!$G$2:$G$55,MATCH(IF(I60&lt;&gt;"",I60,INDEX(Uyum!$B$1:$AY$1,MATCH(MAX(Uyum!$B$61:$AY$61),Uyum!$B$61:$AY$61,0))),Topraklar!$A$2:$A$55,0)),"Solucan gübresi ekleyin.","")),"")</f>
        <v/>
      </c>
    </row>
    <row r="61">
      <c r="A61" s="9" t="inlineStr">
        <is>
          <t>Böğürtlen</t>
        </is>
      </c>
      <c r="B61" s="9" t="inlineStr"/>
      <c r="C61" s="9" t="inlineStr">
        <is>
          <t>Asit seven</t>
        </is>
      </c>
      <c r="D61" s="10" t="n">
        <v>1</v>
      </c>
      <c r="E61" s="10" t="n">
        <v>2</v>
      </c>
      <c r="F61" s="10" t="n">
        <v>2</v>
      </c>
      <c r="G61" s="10" t="n">
        <v>2</v>
      </c>
      <c r="H61" s="10" t="inlineStr">
        <is>
          <t>Dengeli</t>
        </is>
      </c>
      <c r="I61" s="11" t="inlineStr">
        <is>
          <t>ortanca-bogurtlen-acelya-topragi</t>
        </is>
      </c>
      <c r="J61" s="12">
        <f>IF(I61="","",IFERROR(INDEX(Topraklar!$B$2:$B$55,MATCH(I61,Topraklar!$A$2:$A$55,0)),"⚠ slug bulunamadı"))</f>
        <v/>
      </c>
      <c r="K61" s="12">
        <f>INDEX(Uyum!$B$2:$AY$2,MATCH(MAX(Uyum!$B$62:$AY$62),Uyum!$B$62:$AY$62,0))</f>
        <v/>
      </c>
      <c r="L61" s="13">
        <f>MIN(1,MAX(Uyum!$B$62:$AY$62))</f>
        <v/>
      </c>
      <c r="M61" s="12">
        <f>IF(I61&lt;&gt;"",J61,K61)</f>
        <v/>
      </c>
      <c r="N61" s="12">
        <f>IFERROR(TRIM(IF(E61&gt;INDEX(Topraklar!$E$2:$E$55,MATCH(IF(I61&lt;&gt;"",I61,INDEX(Uyum!$B$1:$AY$1,MATCH(MAX(Uyum!$B$62:$AY$62),Uyum!$B$62:$AY$62,0))),Topraklar!$A$2:$A$55,0)),"Perlit karıştırın. ","")&amp;IF(D61&lt;INDEX(Topraklar!$D$2:$D$55,MATCH(IF(I61&lt;&gt;"",I61,INDEX(Uyum!$B$1:$AY$1,MATCH(MAX(Uyum!$B$62:$AY$62),Uyum!$B$62:$AY$62,0))),Topraklar!$A$2:$A$55,0)),"Asidik torf karıştırın. ","")&amp;IF(F61&gt;INDEX(Topraklar!$F$2:$F$55,MATCH(IF(I61&lt;&gt;"",I61,INDEX(Uyum!$B$1:$AY$1,MATCH(MAX(Uyum!$B$62:$AY$62),Uyum!$B$62:$AY$62,0))),Topraklar!$A$2:$A$55,0)),"Vermikülit karıştırın. ","")&amp;IF(G61&gt;INDEX(Topraklar!$G$2:$G$55,MATCH(IF(I61&lt;&gt;"",I61,INDEX(Uyum!$B$1:$AY$1,MATCH(MAX(Uyum!$B$62:$AY$62),Uyum!$B$62:$AY$62,0))),Topraklar!$A$2:$A$55,0)),"Solucan gübresi ekleyin.","")),"")</f>
        <v/>
      </c>
    </row>
    <row r="62">
      <c r="A62" s="9" t="inlineStr">
        <is>
          <t>Ahududu</t>
        </is>
      </c>
      <c r="B62" s="9" t="inlineStr">
        <is>
          <t>frambuaz</t>
        </is>
      </c>
      <c r="C62" s="9" t="inlineStr">
        <is>
          <t>Meyve</t>
        </is>
      </c>
      <c r="D62" s="10" t="n">
        <v>2</v>
      </c>
      <c r="E62" s="10" t="n">
        <v>2</v>
      </c>
      <c r="F62" s="10" t="n">
        <v>2</v>
      </c>
      <c r="G62" s="10" t="n">
        <v>3</v>
      </c>
      <c r="H62" s="10" t="inlineStr">
        <is>
          <t>Dengeli</t>
        </is>
      </c>
      <c r="I62" s="11" t="inlineStr"/>
      <c r="J62" s="12">
        <f>IF(I62="","",IFERROR(INDEX(Topraklar!$B$2:$B$55,MATCH(I62,Topraklar!$A$2:$A$55,0)),"⚠ slug bulunamadı"))</f>
        <v/>
      </c>
      <c r="K62" s="12">
        <f>INDEX(Uyum!$B$2:$AY$2,MATCH(MAX(Uyum!$B$63:$AY$63),Uyum!$B$63:$AY$63,0))</f>
        <v/>
      </c>
      <c r="L62" s="13">
        <f>MIN(1,MAX(Uyum!$B$63:$AY$63))</f>
        <v/>
      </c>
      <c r="M62" s="12">
        <f>IF(I62&lt;&gt;"",J62,K62)</f>
        <v/>
      </c>
      <c r="N62" s="12">
        <f>IFERROR(TRIM(IF(E62&gt;INDEX(Topraklar!$E$2:$E$55,MATCH(IF(I62&lt;&gt;"",I62,INDEX(Uyum!$B$1:$AY$1,MATCH(MAX(Uyum!$B$63:$AY$63),Uyum!$B$63:$AY$63,0))),Topraklar!$A$2:$A$55,0)),"Perlit karıştırın. ","")&amp;IF(D62&lt;INDEX(Topraklar!$D$2:$D$55,MATCH(IF(I62&lt;&gt;"",I62,INDEX(Uyum!$B$1:$AY$1,MATCH(MAX(Uyum!$B$63:$AY$63),Uyum!$B$63:$AY$63,0))),Topraklar!$A$2:$A$55,0)),"Asidik torf karıştırın. ","")&amp;IF(F62&gt;INDEX(Topraklar!$F$2:$F$55,MATCH(IF(I62&lt;&gt;"",I62,INDEX(Uyum!$B$1:$AY$1,MATCH(MAX(Uyum!$B$63:$AY$63),Uyum!$B$63:$AY$63,0))),Topraklar!$A$2:$A$55,0)),"Vermikülit karıştırın. ","")&amp;IF(G62&gt;INDEX(Topraklar!$G$2:$G$55,MATCH(IF(I62&lt;&gt;"",I62,INDEX(Uyum!$B$1:$AY$1,MATCH(MAX(Uyum!$B$63:$AY$63),Uyum!$B$63:$AY$63,0))),Topraklar!$A$2:$A$55,0)),"Solucan gübresi ekleyin.","")),"")</f>
        <v/>
      </c>
    </row>
    <row r="63">
      <c r="A63" s="9" t="inlineStr">
        <is>
          <t>Kivi</t>
        </is>
      </c>
      <c r="B63" s="9" t="inlineStr"/>
      <c r="C63" s="9" t="inlineStr">
        <is>
          <t>Meyve</t>
        </is>
      </c>
      <c r="D63" s="10" t="n">
        <v>2</v>
      </c>
      <c r="E63" s="10" t="n">
        <v>2</v>
      </c>
      <c r="F63" s="10" t="n">
        <v>2</v>
      </c>
      <c r="G63" s="10" t="n">
        <v>3</v>
      </c>
      <c r="H63" s="10" t="inlineStr">
        <is>
          <t>Dengeli</t>
        </is>
      </c>
      <c r="I63" s="11" t="inlineStr"/>
      <c r="J63" s="12">
        <f>IF(I63="","",IFERROR(INDEX(Topraklar!$B$2:$B$55,MATCH(I63,Topraklar!$A$2:$A$55,0)),"⚠ slug bulunamadı"))</f>
        <v/>
      </c>
      <c r="K63" s="12">
        <f>INDEX(Uyum!$B$2:$AY$2,MATCH(MAX(Uyum!$B$64:$AY$64),Uyum!$B$64:$AY$64,0))</f>
        <v/>
      </c>
      <c r="L63" s="13">
        <f>MIN(1,MAX(Uyum!$B$64:$AY$64))</f>
        <v/>
      </c>
      <c r="M63" s="12">
        <f>IF(I63&lt;&gt;"",J63,K63)</f>
        <v/>
      </c>
      <c r="N63" s="12">
        <f>IFERROR(TRIM(IF(E63&gt;INDEX(Topraklar!$E$2:$E$55,MATCH(IF(I63&lt;&gt;"",I63,INDEX(Uyum!$B$1:$AY$1,MATCH(MAX(Uyum!$B$64:$AY$64),Uyum!$B$64:$AY$64,0))),Topraklar!$A$2:$A$55,0)),"Perlit karıştırın. ","")&amp;IF(D63&lt;INDEX(Topraklar!$D$2:$D$55,MATCH(IF(I63&lt;&gt;"",I63,INDEX(Uyum!$B$1:$AY$1,MATCH(MAX(Uyum!$B$64:$AY$64),Uyum!$B$64:$AY$64,0))),Topraklar!$A$2:$A$55,0)),"Asidik torf karıştırın. ","")&amp;IF(F63&gt;INDEX(Topraklar!$F$2:$F$55,MATCH(IF(I63&lt;&gt;"",I63,INDEX(Uyum!$B$1:$AY$1,MATCH(MAX(Uyum!$B$64:$AY$64),Uyum!$B$64:$AY$64,0))),Topraklar!$A$2:$A$55,0)),"Vermikülit karıştırın. ","")&amp;IF(G63&gt;INDEX(Topraklar!$G$2:$G$55,MATCH(IF(I63&lt;&gt;"",I63,INDEX(Uyum!$B$1:$AY$1,MATCH(MAX(Uyum!$B$64:$AY$64),Uyum!$B$64:$AY$64,0))),Topraklar!$A$2:$A$55,0)),"Solucan gübresi ekleyin.","")),"")</f>
        <v/>
      </c>
    </row>
    <row r="64">
      <c r="A64" s="9" t="inlineStr">
        <is>
          <t>Trabzon hurması</t>
        </is>
      </c>
      <c r="B64" s="9" t="inlineStr">
        <is>
          <t>cennet hurması, hurma</t>
        </is>
      </c>
      <c r="C64" s="9" t="inlineStr">
        <is>
          <t>Meyve</t>
        </is>
      </c>
      <c r="D64" s="10" t="n">
        <v>3</v>
      </c>
      <c r="E64" s="10" t="n">
        <v>2</v>
      </c>
      <c r="F64" s="10" t="n">
        <v>2</v>
      </c>
      <c r="G64" s="10" t="n">
        <v>2</v>
      </c>
      <c r="H64" s="10" t="inlineStr">
        <is>
          <t>Dengeli</t>
        </is>
      </c>
      <c r="I64" s="11" t="inlineStr">
        <is>
          <t>trabzon-hurmasi-cennet-hurmasi-topragi</t>
        </is>
      </c>
      <c r="J64" s="12">
        <f>IF(I64="","",IFERROR(INDEX(Topraklar!$B$2:$B$55,MATCH(I64,Topraklar!$A$2:$A$55,0)),"⚠ slug bulunamadı"))</f>
        <v/>
      </c>
      <c r="K64" s="12">
        <f>INDEX(Uyum!$B$2:$AY$2,MATCH(MAX(Uyum!$B$65:$AY$65),Uyum!$B$65:$AY$65,0))</f>
        <v/>
      </c>
      <c r="L64" s="13">
        <f>MIN(1,MAX(Uyum!$B$65:$AY$65))</f>
        <v/>
      </c>
      <c r="M64" s="12">
        <f>IF(I64&lt;&gt;"",J64,K64)</f>
        <v/>
      </c>
      <c r="N64" s="12">
        <f>IFERROR(TRIM(IF(E64&gt;INDEX(Topraklar!$E$2:$E$55,MATCH(IF(I64&lt;&gt;"",I64,INDEX(Uyum!$B$1:$AY$1,MATCH(MAX(Uyum!$B$65:$AY$65),Uyum!$B$65:$AY$65,0))),Topraklar!$A$2:$A$55,0)),"Perlit karıştırın. ","")&amp;IF(D64&lt;INDEX(Topraklar!$D$2:$D$55,MATCH(IF(I64&lt;&gt;"",I64,INDEX(Uyum!$B$1:$AY$1,MATCH(MAX(Uyum!$B$65:$AY$65),Uyum!$B$65:$AY$65,0))),Topraklar!$A$2:$A$55,0)),"Asidik torf karıştırın. ","")&amp;IF(F64&gt;INDEX(Topraklar!$F$2:$F$55,MATCH(IF(I64&lt;&gt;"",I64,INDEX(Uyum!$B$1:$AY$1,MATCH(MAX(Uyum!$B$65:$AY$65),Uyum!$B$65:$AY$65,0))),Topraklar!$A$2:$A$55,0)),"Vermikülit karıştırın. ","")&amp;IF(G64&gt;INDEX(Topraklar!$G$2:$G$55,MATCH(IF(I64&lt;&gt;"",I64,INDEX(Uyum!$B$1:$AY$1,MATCH(MAX(Uyum!$B$65:$AY$65),Uyum!$B$65:$AY$65,0))),Topraklar!$A$2:$A$55,0)),"Solucan gübresi ekleyin.","")),"")</f>
        <v/>
      </c>
    </row>
    <row r="65">
      <c r="A65" s="9" t="inlineStr">
        <is>
          <t>Çilek</t>
        </is>
      </c>
      <c r="B65" s="9" t="inlineStr"/>
      <c r="C65" s="9" t="inlineStr">
        <is>
          <t>Meyve</t>
        </is>
      </c>
      <c r="D65" s="10" t="n">
        <v>2</v>
      </c>
      <c r="E65" s="10" t="n">
        <v>2</v>
      </c>
      <c r="F65" s="10" t="n">
        <v>2</v>
      </c>
      <c r="G65" s="10" t="n">
        <v>3</v>
      </c>
      <c r="H65" s="10" t="inlineStr">
        <is>
          <t>Dengeli</t>
        </is>
      </c>
      <c r="I65" s="11" t="inlineStr">
        <is>
          <t>hg-cilek-topragi</t>
        </is>
      </c>
      <c r="J65" s="12">
        <f>IF(I65="","",IFERROR(INDEX(Topraklar!$B$2:$B$55,MATCH(I65,Topraklar!$A$2:$A$55,0)),"⚠ slug bulunamadı"))</f>
        <v/>
      </c>
      <c r="K65" s="12">
        <f>INDEX(Uyum!$B$2:$AY$2,MATCH(MAX(Uyum!$B$66:$AY$66),Uyum!$B$66:$AY$66,0))</f>
        <v/>
      </c>
      <c r="L65" s="13">
        <f>MIN(1,MAX(Uyum!$B$66:$AY$66))</f>
        <v/>
      </c>
      <c r="M65" s="12">
        <f>IF(I65&lt;&gt;"",J65,K65)</f>
        <v/>
      </c>
      <c r="N65" s="12">
        <f>IFERROR(TRIM(IF(E65&gt;INDEX(Topraklar!$E$2:$E$55,MATCH(IF(I65&lt;&gt;"",I65,INDEX(Uyum!$B$1:$AY$1,MATCH(MAX(Uyum!$B$66:$AY$66),Uyum!$B$66:$AY$66,0))),Topraklar!$A$2:$A$55,0)),"Perlit karıştırın. ","")&amp;IF(D65&lt;INDEX(Topraklar!$D$2:$D$55,MATCH(IF(I65&lt;&gt;"",I65,INDEX(Uyum!$B$1:$AY$1,MATCH(MAX(Uyum!$B$66:$AY$66),Uyum!$B$66:$AY$66,0))),Topraklar!$A$2:$A$55,0)),"Asidik torf karıştırın. ","")&amp;IF(F65&gt;INDEX(Topraklar!$F$2:$F$55,MATCH(IF(I65&lt;&gt;"",I65,INDEX(Uyum!$B$1:$AY$1,MATCH(MAX(Uyum!$B$66:$AY$66),Uyum!$B$66:$AY$66,0))),Topraklar!$A$2:$A$55,0)),"Vermikülit karıştırın. ","")&amp;IF(G65&gt;INDEX(Topraklar!$G$2:$G$55,MATCH(IF(I65&lt;&gt;"",I65,INDEX(Uyum!$B$1:$AY$1,MATCH(MAX(Uyum!$B$66:$AY$66),Uyum!$B$66:$AY$66,0))),Topraklar!$A$2:$A$55,0)),"Solucan gübresi ekleyin.","")),"")</f>
        <v/>
      </c>
    </row>
    <row r="66">
      <c r="A66" s="9" t="inlineStr">
        <is>
          <t>İncir</t>
        </is>
      </c>
      <c r="B66" s="9" t="inlineStr"/>
      <c r="C66" s="9" t="inlineStr">
        <is>
          <t>Meyve</t>
        </is>
      </c>
      <c r="D66" s="10" t="n">
        <v>3</v>
      </c>
      <c r="E66" s="10" t="n">
        <v>2</v>
      </c>
      <c r="F66" s="10" t="n">
        <v>2</v>
      </c>
      <c r="G66" s="10" t="n">
        <v>2</v>
      </c>
      <c r="H66" s="10" t="inlineStr">
        <is>
          <t>Dengeli</t>
        </is>
      </c>
      <c r="I66" s="11" t="inlineStr"/>
      <c r="J66" s="12">
        <f>IF(I66="","",IFERROR(INDEX(Topraklar!$B$2:$B$55,MATCH(I66,Topraklar!$A$2:$A$55,0)),"⚠ slug bulunamadı"))</f>
        <v/>
      </c>
      <c r="K66" s="12">
        <f>INDEX(Uyum!$B$2:$AY$2,MATCH(MAX(Uyum!$B$67:$AY$67),Uyum!$B$67:$AY$67,0))</f>
        <v/>
      </c>
      <c r="L66" s="13">
        <f>MIN(1,MAX(Uyum!$B$67:$AY$67))</f>
        <v/>
      </c>
      <c r="M66" s="12">
        <f>IF(I66&lt;&gt;"",J66,K66)</f>
        <v/>
      </c>
      <c r="N66" s="12">
        <f>IFERROR(TRIM(IF(E66&gt;INDEX(Topraklar!$E$2:$E$55,MATCH(IF(I66&lt;&gt;"",I66,INDEX(Uyum!$B$1:$AY$1,MATCH(MAX(Uyum!$B$67:$AY$67),Uyum!$B$67:$AY$67,0))),Topraklar!$A$2:$A$55,0)),"Perlit karıştırın. ","")&amp;IF(D66&lt;INDEX(Topraklar!$D$2:$D$55,MATCH(IF(I66&lt;&gt;"",I66,INDEX(Uyum!$B$1:$AY$1,MATCH(MAX(Uyum!$B$67:$AY$67),Uyum!$B$67:$AY$67,0))),Topraklar!$A$2:$A$55,0)),"Asidik torf karıştırın. ","")&amp;IF(F66&gt;INDEX(Topraklar!$F$2:$F$55,MATCH(IF(I66&lt;&gt;"",I66,INDEX(Uyum!$B$1:$AY$1,MATCH(MAX(Uyum!$B$67:$AY$67),Uyum!$B$67:$AY$67,0))),Topraklar!$A$2:$A$55,0)),"Vermikülit karıştırın. ","")&amp;IF(G66&gt;INDEX(Topraklar!$G$2:$G$55,MATCH(IF(I66&lt;&gt;"",I66,INDEX(Uyum!$B$1:$AY$1,MATCH(MAX(Uyum!$B$67:$AY$67),Uyum!$B$67:$AY$67,0))),Topraklar!$A$2:$A$55,0)),"Solucan gübresi ekleyin.","")),"")</f>
        <v/>
      </c>
    </row>
    <row r="67">
      <c r="A67" s="9" t="inlineStr">
        <is>
          <t>Zeytin</t>
        </is>
      </c>
      <c r="B67" s="9" t="inlineStr"/>
      <c r="C67" s="9" t="inlineStr">
        <is>
          <t>Meyve</t>
        </is>
      </c>
      <c r="D67" s="10" t="n">
        <v>4</v>
      </c>
      <c r="E67" s="10" t="n">
        <v>3</v>
      </c>
      <c r="F67" s="10" t="n">
        <v>1</v>
      </c>
      <c r="G67" s="10" t="n">
        <v>1</v>
      </c>
      <c r="H67" s="10" t="inlineStr">
        <is>
          <t>Kumlu</t>
        </is>
      </c>
      <c r="I67" s="11" t="inlineStr"/>
      <c r="J67" s="12">
        <f>IF(I67="","",IFERROR(INDEX(Topraklar!$B$2:$B$55,MATCH(I67,Topraklar!$A$2:$A$55,0)),"⚠ slug bulunamadı"))</f>
        <v/>
      </c>
      <c r="K67" s="12">
        <f>INDEX(Uyum!$B$2:$AY$2,MATCH(MAX(Uyum!$B$68:$AY$68),Uyum!$B$68:$AY$68,0))</f>
        <v/>
      </c>
      <c r="L67" s="13">
        <f>MIN(1,MAX(Uyum!$B$68:$AY$68))</f>
        <v/>
      </c>
      <c r="M67" s="12">
        <f>IF(I67&lt;&gt;"",J67,K67)</f>
        <v/>
      </c>
      <c r="N67" s="12">
        <f>IFERROR(TRIM(IF(E67&gt;INDEX(Topraklar!$E$2:$E$55,MATCH(IF(I67&lt;&gt;"",I67,INDEX(Uyum!$B$1:$AY$1,MATCH(MAX(Uyum!$B$68:$AY$68),Uyum!$B$68:$AY$68,0))),Topraklar!$A$2:$A$55,0)),"Perlit karıştırın. ","")&amp;IF(D67&lt;INDEX(Topraklar!$D$2:$D$55,MATCH(IF(I67&lt;&gt;"",I67,INDEX(Uyum!$B$1:$AY$1,MATCH(MAX(Uyum!$B$68:$AY$68),Uyum!$B$68:$AY$68,0))),Topraklar!$A$2:$A$55,0)),"Asidik torf karıştırın. ","")&amp;IF(F67&gt;INDEX(Topraklar!$F$2:$F$55,MATCH(IF(I67&lt;&gt;"",I67,INDEX(Uyum!$B$1:$AY$1,MATCH(MAX(Uyum!$B$68:$AY$68),Uyum!$B$68:$AY$68,0))),Topraklar!$A$2:$A$55,0)),"Vermikülit karıştırın. ","")&amp;IF(G67&gt;INDEX(Topraklar!$G$2:$G$55,MATCH(IF(I67&lt;&gt;"",I67,INDEX(Uyum!$B$1:$AY$1,MATCH(MAX(Uyum!$B$68:$AY$68),Uyum!$B$68:$AY$68,0))),Topraklar!$A$2:$A$55,0)),"Solucan gübresi ekleyin.","")),"")</f>
        <v/>
      </c>
    </row>
    <row r="68">
      <c r="A68" s="9" t="inlineStr">
        <is>
          <t>Nar</t>
        </is>
      </c>
      <c r="B68" s="9" t="inlineStr"/>
      <c r="C68" s="9" t="inlineStr">
        <is>
          <t>Meyve</t>
        </is>
      </c>
      <c r="D68" s="10" t="n">
        <v>3</v>
      </c>
      <c r="E68" s="10" t="n">
        <v>2</v>
      </c>
      <c r="F68" s="10" t="n">
        <v>2</v>
      </c>
      <c r="G68" s="10" t="n">
        <v>2</v>
      </c>
      <c r="H68" s="10" t="inlineStr">
        <is>
          <t>Dengeli</t>
        </is>
      </c>
      <c r="I68" s="11" t="inlineStr"/>
      <c r="J68" s="12">
        <f>IF(I68="","",IFERROR(INDEX(Topraklar!$B$2:$B$55,MATCH(I68,Topraklar!$A$2:$A$55,0)),"⚠ slug bulunamadı"))</f>
        <v/>
      </c>
      <c r="K68" s="12">
        <f>INDEX(Uyum!$B$2:$AY$2,MATCH(MAX(Uyum!$B$69:$AY$69),Uyum!$B$69:$AY$69,0))</f>
        <v/>
      </c>
      <c r="L68" s="13">
        <f>MIN(1,MAX(Uyum!$B$69:$AY$69))</f>
        <v/>
      </c>
      <c r="M68" s="12">
        <f>IF(I68&lt;&gt;"",J68,K68)</f>
        <v/>
      </c>
      <c r="N68" s="12">
        <f>IFERROR(TRIM(IF(E68&gt;INDEX(Topraklar!$E$2:$E$55,MATCH(IF(I68&lt;&gt;"",I68,INDEX(Uyum!$B$1:$AY$1,MATCH(MAX(Uyum!$B$69:$AY$69),Uyum!$B$69:$AY$69,0))),Topraklar!$A$2:$A$55,0)),"Perlit karıştırın. ","")&amp;IF(D68&lt;INDEX(Topraklar!$D$2:$D$55,MATCH(IF(I68&lt;&gt;"",I68,INDEX(Uyum!$B$1:$AY$1,MATCH(MAX(Uyum!$B$69:$AY$69),Uyum!$B$69:$AY$69,0))),Topraklar!$A$2:$A$55,0)),"Asidik torf karıştırın. ","")&amp;IF(F68&gt;INDEX(Topraklar!$F$2:$F$55,MATCH(IF(I68&lt;&gt;"",I68,INDEX(Uyum!$B$1:$AY$1,MATCH(MAX(Uyum!$B$69:$AY$69),Uyum!$B$69:$AY$69,0))),Topraklar!$A$2:$A$55,0)),"Vermikülit karıştırın. ","")&amp;IF(G68&gt;INDEX(Topraklar!$G$2:$G$55,MATCH(IF(I68&lt;&gt;"",I68,INDEX(Uyum!$B$1:$AY$1,MATCH(MAX(Uyum!$B$69:$AY$69),Uyum!$B$69:$AY$69,0))),Topraklar!$A$2:$A$55,0)),"Solucan gübresi ekleyin.","")),"")</f>
        <v/>
      </c>
    </row>
    <row r="69">
      <c r="A69" s="9" t="inlineStr">
        <is>
          <t>Muz</t>
        </is>
      </c>
      <c r="B69" s="9" t="inlineStr"/>
      <c r="C69" s="9" t="inlineStr">
        <is>
          <t>Meyve</t>
        </is>
      </c>
      <c r="D69" s="10" t="n">
        <v>2</v>
      </c>
      <c r="E69" s="10" t="n">
        <v>2</v>
      </c>
      <c r="F69" s="10" t="n">
        <v>3</v>
      </c>
      <c r="G69" s="10" t="n">
        <v>3</v>
      </c>
      <c r="H69" s="10" t="inlineStr">
        <is>
          <t>Dengeli</t>
        </is>
      </c>
      <c r="I69" s="11" t="inlineStr"/>
      <c r="J69" s="12">
        <f>IF(I69="","",IFERROR(INDEX(Topraklar!$B$2:$B$55,MATCH(I69,Topraklar!$A$2:$A$55,0)),"⚠ slug bulunamadı"))</f>
        <v/>
      </c>
      <c r="K69" s="12">
        <f>INDEX(Uyum!$B$2:$AY$2,MATCH(MAX(Uyum!$B$70:$AY$70),Uyum!$B$70:$AY$70,0))</f>
        <v/>
      </c>
      <c r="L69" s="13">
        <f>MIN(1,MAX(Uyum!$B$70:$AY$70))</f>
        <v/>
      </c>
      <c r="M69" s="12">
        <f>IF(I69&lt;&gt;"",J69,K69)</f>
        <v/>
      </c>
      <c r="N69" s="12">
        <f>IFERROR(TRIM(IF(E69&gt;INDEX(Topraklar!$E$2:$E$55,MATCH(IF(I69&lt;&gt;"",I69,INDEX(Uyum!$B$1:$AY$1,MATCH(MAX(Uyum!$B$70:$AY$70),Uyum!$B$70:$AY$70,0))),Topraklar!$A$2:$A$55,0)),"Perlit karıştırın. ","")&amp;IF(D69&lt;INDEX(Topraklar!$D$2:$D$55,MATCH(IF(I69&lt;&gt;"",I69,INDEX(Uyum!$B$1:$AY$1,MATCH(MAX(Uyum!$B$70:$AY$70),Uyum!$B$70:$AY$70,0))),Topraklar!$A$2:$A$55,0)),"Asidik torf karıştırın. ","")&amp;IF(F69&gt;INDEX(Topraklar!$F$2:$F$55,MATCH(IF(I69&lt;&gt;"",I69,INDEX(Uyum!$B$1:$AY$1,MATCH(MAX(Uyum!$B$70:$AY$70),Uyum!$B$70:$AY$70,0))),Topraklar!$A$2:$A$55,0)),"Vermikülit karıştırın. ","")&amp;IF(G69&gt;INDEX(Topraklar!$G$2:$G$55,MATCH(IF(I69&lt;&gt;"",I69,INDEX(Uyum!$B$1:$AY$1,MATCH(MAX(Uyum!$B$70:$AY$70),Uyum!$B$70:$AY$70,0))),Topraklar!$A$2:$A$55,0)),"Solucan gübresi ekleyin.","")),"")</f>
        <v/>
      </c>
    </row>
    <row r="70">
      <c r="A70" s="9" t="inlineStr">
        <is>
          <t>Asma</t>
        </is>
      </c>
      <c r="B70" s="9" t="inlineStr">
        <is>
          <t>üzüm</t>
        </is>
      </c>
      <c r="C70" s="9" t="inlineStr">
        <is>
          <t>Meyve</t>
        </is>
      </c>
      <c r="D70" s="10" t="n">
        <v>3</v>
      </c>
      <c r="E70" s="10" t="n">
        <v>2</v>
      </c>
      <c r="F70" s="10" t="n">
        <v>2</v>
      </c>
      <c r="G70" s="10" t="n">
        <v>2</v>
      </c>
      <c r="H70" s="10" t="inlineStr">
        <is>
          <t>Dengeli</t>
        </is>
      </c>
      <c r="I70" s="11" t="inlineStr"/>
      <c r="J70" s="12">
        <f>IF(I70="","",IFERROR(INDEX(Topraklar!$B$2:$B$55,MATCH(I70,Topraklar!$A$2:$A$55,0)),"⚠ slug bulunamadı"))</f>
        <v/>
      </c>
      <c r="K70" s="12">
        <f>INDEX(Uyum!$B$2:$AY$2,MATCH(MAX(Uyum!$B$71:$AY$71),Uyum!$B$71:$AY$71,0))</f>
        <v/>
      </c>
      <c r="L70" s="13">
        <f>MIN(1,MAX(Uyum!$B$71:$AY$71))</f>
        <v/>
      </c>
      <c r="M70" s="12">
        <f>IF(I70&lt;&gt;"",J70,K70)</f>
        <v/>
      </c>
      <c r="N70" s="12">
        <f>IFERROR(TRIM(IF(E70&gt;INDEX(Topraklar!$E$2:$E$55,MATCH(IF(I70&lt;&gt;"",I70,INDEX(Uyum!$B$1:$AY$1,MATCH(MAX(Uyum!$B$71:$AY$71),Uyum!$B$71:$AY$71,0))),Topraklar!$A$2:$A$55,0)),"Perlit karıştırın. ","")&amp;IF(D70&lt;INDEX(Topraklar!$D$2:$D$55,MATCH(IF(I70&lt;&gt;"",I70,INDEX(Uyum!$B$1:$AY$1,MATCH(MAX(Uyum!$B$71:$AY$71),Uyum!$B$71:$AY$71,0))),Topraklar!$A$2:$A$55,0)),"Asidik torf karıştırın. ","")&amp;IF(F70&gt;INDEX(Topraklar!$F$2:$F$55,MATCH(IF(I70&lt;&gt;"",I70,INDEX(Uyum!$B$1:$AY$1,MATCH(MAX(Uyum!$B$71:$AY$71),Uyum!$B$71:$AY$71,0))),Topraklar!$A$2:$A$55,0)),"Vermikülit karıştırın. ","")&amp;IF(G70&gt;INDEX(Topraklar!$G$2:$G$55,MATCH(IF(I70&lt;&gt;"",I70,INDEX(Uyum!$B$1:$AY$1,MATCH(MAX(Uyum!$B$71:$AY$71),Uyum!$B$71:$AY$71,0))),Topraklar!$A$2:$A$55,0)),"Solucan gübresi ekleyin.","")),"")</f>
        <v/>
      </c>
    </row>
    <row r="71">
      <c r="A71" s="9" t="inlineStr">
        <is>
          <t>Meyve fidanı</t>
        </is>
      </c>
      <c r="B71" s="9" t="inlineStr">
        <is>
          <t>elma, armut, kiraz, erik, şeftali</t>
        </is>
      </c>
      <c r="C71" s="9" t="inlineStr">
        <is>
          <t>Meyve</t>
        </is>
      </c>
      <c r="D71" s="10" t="n">
        <v>3</v>
      </c>
      <c r="E71" s="10" t="n">
        <v>2</v>
      </c>
      <c r="F71" s="10" t="n">
        <v>2</v>
      </c>
      <c r="G71" s="10" t="n">
        <v>2</v>
      </c>
      <c r="H71" s="10" t="inlineStr">
        <is>
          <t>Dengeli</t>
        </is>
      </c>
      <c r="I71" s="11" t="inlineStr"/>
      <c r="J71" s="12">
        <f>IF(I71="","",IFERROR(INDEX(Topraklar!$B$2:$B$55,MATCH(I71,Topraklar!$A$2:$A$55,0)),"⚠ slug bulunamadı"))</f>
        <v/>
      </c>
      <c r="K71" s="12">
        <f>INDEX(Uyum!$B$2:$AY$2,MATCH(MAX(Uyum!$B$72:$AY$72),Uyum!$B$72:$AY$72,0))</f>
        <v/>
      </c>
      <c r="L71" s="13">
        <f>MIN(1,MAX(Uyum!$B$72:$AY$72))</f>
        <v/>
      </c>
      <c r="M71" s="12">
        <f>IF(I71&lt;&gt;"",J71,K71)</f>
        <v/>
      </c>
      <c r="N71" s="12">
        <f>IFERROR(TRIM(IF(E71&gt;INDEX(Topraklar!$E$2:$E$55,MATCH(IF(I71&lt;&gt;"",I71,INDEX(Uyum!$B$1:$AY$1,MATCH(MAX(Uyum!$B$72:$AY$72),Uyum!$B$72:$AY$72,0))),Topraklar!$A$2:$A$55,0)),"Perlit karıştırın. ","")&amp;IF(D71&lt;INDEX(Topraklar!$D$2:$D$55,MATCH(IF(I71&lt;&gt;"",I71,INDEX(Uyum!$B$1:$AY$1,MATCH(MAX(Uyum!$B$72:$AY$72),Uyum!$B$72:$AY$72,0))),Topraklar!$A$2:$A$55,0)),"Asidik torf karıştırın. ","")&amp;IF(F71&gt;INDEX(Topraklar!$F$2:$F$55,MATCH(IF(I71&lt;&gt;"",I71,INDEX(Uyum!$B$1:$AY$1,MATCH(MAX(Uyum!$B$72:$AY$72),Uyum!$B$72:$AY$72,0))),Topraklar!$A$2:$A$55,0)),"Vermikülit karıştırın. ","")&amp;IF(G71&gt;INDEX(Topraklar!$G$2:$G$55,MATCH(IF(I71&lt;&gt;"",I71,INDEX(Uyum!$B$1:$AY$1,MATCH(MAX(Uyum!$B$72:$AY$72),Uyum!$B$72:$AY$72,0))),Topraklar!$A$2:$A$55,0)),"Solucan gübresi ekleyin.","")),"")</f>
        <v/>
      </c>
    </row>
    <row r="72">
      <c r="A72" s="9" t="inlineStr">
        <is>
          <t>Domates</t>
        </is>
      </c>
      <c r="B72" s="9" t="inlineStr"/>
      <c r="C72" s="9" t="inlineStr">
        <is>
          <t>Sebze</t>
        </is>
      </c>
      <c r="D72" s="10" t="n">
        <v>3</v>
      </c>
      <c r="E72" s="10" t="n">
        <v>2</v>
      </c>
      <c r="F72" s="10" t="n">
        <v>2</v>
      </c>
      <c r="G72" s="10" t="n">
        <v>3</v>
      </c>
      <c r="H72" s="10" t="inlineStr">
        <is>
          <t>Dengeli</t>
        </is>
      </c>
      <c r="I72" s="11" t="inlineStr">
        <is>
          <t>hg-bol-verimli-sebze-topragi</t>
        </is>
      </c>
      <c r="J72" s="12">
        <f>IF(I72="","",IFERROR(INDEX(Topraklar!$B$2:$B$55,MATCH(I72,Topraklar!$A$2:$A$55,0)),"⚠ slug bulunamadı"))</f>
        <v/>
      </c>
      <c r="K72" s="12">
        <f>INDEX(Uyum!$B$2:$AY$2,MATCH(MAX(Uyum!$B$73:$AY$73),Uyum!$B$73:$AY$73,0))</f>
        <v/>
      </c>
      <c r="L72" s="13">
        <f>MIN(1,MAX(Uyum!$B$73:$AY$73))</f>
        <v/>
      </c>
      <c r="M72" s="12">
        <f>IF(I72&lt;&gt;"",J72,K72)</f>
        <v/>
      </c>
      <c r="N72" s="12">
        <f>IFERROR(TRIM(IF(E72&gt;INDEX(Topraklar!$E$2:$E$55,MATCH(IF(I72&lt;&gt;"",I72,INDEX(Uyum!$B$1:$AY$1,MATCH(MAX(Uyum!$B$73:$AY$73),Uyum!$B$73:$AY$73,0))),Topraklar!$A$2:$A$55,0)),"Perlit karıştırın. ","")&amp;IF(D72&lt;INDEX(Topraklar!$D$2:$D$55,MATCH(IF(I72&lt;&gt;"",I72,INDEX(Uyum!$B$1:$AY$1,MATCH(MAX(Uyum!$B$73:$AY$73),Uyum!$B$73:$AY$73,0))),Topraklar!$A$2:$A$55,0)),"Asidik torf karıştırın. ","")&amp;IF(F72&gt;INDEX(Topraklar!$F$2:$F$55,MATCH(IF(I72&lt;&gt;"",I72,INDEX(Uyum!$B$1:$AY$1,MATCH(MAX(Uyum!$B$73:$AY$73),Uyum!$B$73:$AY$73,0))),Topraklar!$A$2:$A$55,0)),"Vermikülit karıştırın. ","")&amp;IF(G72&gt;INDEX(Topraklar!$G$2:$G$55,MATCH(IF(I72&lt;&gt;"",I72,INDEX(Uyum!$B$1:$AY$1,MATCH(MAX(Uyum!$B$73:$AY$73),Uyum!$B$73:$AY$73,0))),Topraklar!$A$2:$A$55,0)),"Solucan gübresi ekleyin.","")),"")</f>
        <v/>
      </c>
    </row>
    <row r="73">
      <c r="A73" s="9" t="inlineStr">
        <is>
          <t>Biber</t>
        </is>
      </c>
      <c r="B73" s="9" t="inlineStr"/>
      <c r="C73" s="9" t="inlineStr">
        <is>
          <t>Sebze</t>
        </is>
      </c>
      <c r="D73" s="10" t="n">
        <v>3</v>
      </c>
      <c r="E73" s="10" t="n">
        <v>2</v>
      </c>
      <c r="F73" s="10" t="n">
        <v>2</v>
      </c>
      <c r="G73" s="10" t="n">
        <v>3</v>
      </c>
      <c r="H73" s="10" t="inlineStr">
        <is>
          <t>Dengeli</t>
        </is>
      </c>
      <c r="I73" s="11" t="inlineStr">
        <is>
          <t>hg-bol-verimli-sebze-topragi</t>
        </is>
      </c>
      <c r="J73" s="12">
        <f>IF(I73="","",IFERROR(INDEX(Topraklar!$B$2:$B$55,MATCH(I73,Topraklar!$A$2:$A$55,0)),"⚠ slug bulunamadı"))</f>
        <v/>
      </c>
      <c r="K73" s="12">
        <f>INDEX(Uyum!$B$2:$AY$2,MATCH(MAX(Uyum!$B$74:$AY$74),Uyum!$B$74:$AY$74,0))</f>
        <v/>
      </c>
      <c r="L73" s="13">
        <f>MIN(1,MAX(Uyum!$B$74:$AY$74))</f>
        <v/>
      </c>
      <c r="M73" s="12">
        <f>IF(I73&lt;&gt;"",J73,K73)</f>
        <v/>
      </c>
      <c r="N73" s="12">
        <f>IFERROR(TRIM(IF(E73&gt;INDEX(Topraklar!$E$2:$E$55,MATCH(IF(I73&lt;&gt;"",I73,INDEX(Uyum!$B$1:$AY$1,MATCH(MAX(Uyum!$B$74:$AY$74),Uyum!$B$74:$AY$74,0))),Topraklar!$A$2:$A$55,0)),"Perlit karıştırın. ","")&amp;IF(D73&lt;INDEX(Topraklar!$D$2:$D$55,MATCH(IF(I73&lt;&gt;"",I73,INDEX(Uyum!$B$1:$AY$1,MATCH(MAX(Uyum!$B$74:$AY$74),Uyum!$B$74:$AY$74,0))),Topraklar!$A$2:$A$55,0)),"Asidik torf karıştırın. ","")&amp;IF(F73&gt;INDEX(Topraklar!$F$2:$F$55,MATCH(IF(I73&lt;&gt;"",I73,INDEX(Uyum!$B$1:$AY$1,MATCH(MAX(Uyum!$B$74:$AY$74),Uyum!$B$74:$AY$74,0))),Topraklar!$A$2:$A$55,0)),"Vermikülit karıştırın. ","")&amp;IF(G73&gt;INDEX(Topraklar!$G$2:$G$55,MATCH(IF(I73&lt;&gt;"",I73,INDEX(Uyum!$B$1:$AY$1,MATCH(MAX(Uyum!$B$74:$AY$74),Uyum!$B$74:$AY$74,0))),Topraklar!$A$2:$A$55,0)),"Solucan gübresi ekleyin.","")),"")</f>
        <v/>
      </c>
    </row>
    <row r="74">
      <c r="A74" s="9" t="inlineStr">
        <is>
          <t>Patlıcan</t>
        </is>
      </c>
      <c r="B74" s="9" t="inlineStr"/>
      <c r="C74" s="9" t="inlineStr">
        <is>
          <t>Sebze</t>
        </is>
      </c>
      <c r="D74" s="10" t="n">
        <v>3</v>
      </c>
      <c r="E74" s="10" t="n">
        <v>2</v>
      </c>
      <c r="F74" s="10" t="n">
        <v>2</v>
      </c>
      <c r="G74" s="10" t="n">
        <v>3</v>
      </c>
      <c r="H74" s="10" t="inlineStr">
        <is>
          <t>Dengeli</t>
        </is>
      </c>
      <c r="I74" s="11" t="inlineStr">
        <is>
          <t>hg-bol-verimli-sebze-topragi</t>
        </is>
      </c>
      <c r="J74" s="12">
        <f>IF(I74="","",IFERROR(INDEX(Topraklar!$B$2:$B$55,MATCH(I74,Topraklar!$A$2:$A$55,0)),"⚠ slug bulunamadı"))</f>
        <v/>
      </c>
      <c r="K74" s="12">
        <f>INDEX(Uyum!$B$2:$AY$2,MATCH(MAX(Uyum!$B$75:$AY$75),Uyum!$B$75:$AY$75,0))</f>
        <v/>
      </c>
      <c r="L74" s="13">
        <f>MIN(1,MAX(Uyum!$B$75:$AY$75))</f>
        <v/>
      </c>
      <c r="M74" s="12">
        <f>IF(I74&lt;&gt;"",J74,K74)</f>
        <v/>
      </c>
      <c r="N74" s="12">
        <f>IFERROR(TRIM(IF(E74&gt;INDEX(Topraklar!$E$2:$E$55,MATCH(IF(I74&lt;&gt;"",I74,INDEX(Uyum!$B$1:$AY$1,MATCH(MAX(Uyum!$B$75:$AY$75),Uyum!$B$75:$AY$75,0))),Topraklar!$A$2:$A$55,0)),"Perlit karıştırın. ","")&amp;IF(D74&lt;INDEX(Topraklar!$D$2:$D$55,MATCH(IF(I74&lt;&gt;"",I74,INDEX(Uyum!$B$1:$AY$1,MATCH(MAX(Uyum!$B$75:$AY$75),Uyum!$B$75:$AY$75,0))),Topraklar!$A$2:$A$55,0)),"Asidik torf karıştırın. ","")&amp;IF(F74&gt;INDEX(Topraklar!$F$2:$F$55,MATCH(IF(I74&lt;&gt;"",I74,INDEX(Uyum!$B$1:$AY$1,MATCH(MAX(Uyum!$B$75:$AY$75),Uyum!$B$75:$AY$75,0))),Topraklar!$A$2:$A$55,0)),"Vermikülit karıştırın. ","")&amp;IF(G74&gt;INDEX(Topraklar!$G$2:$G$55,MATCH(IF(I74&lt;&gt;"",I74,INDEX(Uyum!$B$1:$AY$1,MATCH(MAX(Uyum!$B$75:$AY$75),Uyum!$B$75:$AY$75,0))),Topraklar!$A$2:$A$55,0)),"Solucan gübresi ekleyin.","")),"")</f>
        <v/>
      </c>
    </row>
    <row r="75">
      <c r="A75" s="9" t="inlineStr">
        <is>
          <t>Salatalık</t>
        </is>
      </c>
      <c r="B75" s="9" t="inlineStr">
        <is>
          <t>hıyar</t>
        </is>
      </c>
      <c r="C75" s="9" t="inlineStr">
        <is>
          <t>Sebze</t>
        </is>
      </c>
      <c r="D75" s="10" t="n">
        <v>3</v>
      </c>
      <c r="E75" s="10" t="n">
        <v>2</v>
      </c>
      <c r="F75" s="10" t="n">
        <v>2</v>
      </c>
      <c r="G75" s="10" t="n">
        <v>3</v>
      </c>
      <c r="H75" s="10" t="inlineStr">
        <is>
          <t>Dengeli</t>
        </is>
      </c>
      <c r="I75" s="11" t="inlineStr">
        <is>
          <t>hg-bol-verimli-sebze-topragi</t>
        </is>
      </c>
      <c r="J75" s="12">
        <f>IF(I75="","",IFERROR(INDEX(Topraklar!$B$2:$B$55,MATCH(I75,Topraklar!$A$2:$A$55,0)),"⚠ slug bulunamadı"))</f>
        <v/>
      </c>
      <c r="K75" s="12">
        <f>INDEX(Uyum!$B$2:$AY$2,MATCH(MAX(Uyum!$B$76:$AY$76),Uyum!$B$76:$AY$76,0))</f>
        <v/>
      </c>
      <c r="L75" s="13">
        <f>MIN(1,MAX(Uyum!$B$76:$AY$76))</f>
        <v/>
      </c>
      <c r="M75" s="12">
        <f>IF(I75&lt;&gt;"",J75,K75)</f>
        <v/>
      </c>
      <c r="N75" s="12">
        <f>IFERROR(TRIM(IF(E75&gt;INDEX(Topraklar!$E$2:$E$55,MATCH(IF(I75&lt;&gt;"",I75,INDEX(Uyum!$B$1:$AY$1,MATCH(MAX(Uyum!$B$76:$AY$76),Uyum!$B$76:$AY$76,0))),Topraklar!$A$2:$A$55,0)),"Perlit karıştırın. ","")&amp;IF(D75&lt;INDEX(Topraklar!$D$2:$D$55,MATCH(IF(I75&lt;&gt;"",I75,INDEX(Uyum!$B$1:$AY$1,MATCH(MAX(Uyum!$B$76:$AY$76),Uyum!$B$76:$AY$76,0))),Topraklar!$A$2:$A$55,0)),"Asidik torf karıştırın. ","")&amp;IF(F75&gt;INDEX(Topraklar!$F$2:$F$55,MATCH(IF(I75&lt;&gt;"",I75,INDEX(Uyum!$B$1:$AY$1,MATCH(MAX(Uyum!$B$76:$AY$76),Uyum!$B$76:$AY$76,0))),Topraklar!$A$2:$A$55,0)),"Vermikülit karıştırın. ","")&amp;IF(G75&gt;INDEX(Topraklar!$G$2:$G$55,MATCH(IF(I75&lt;&gt;"",I75,INDEX(Uyum!$B$1:$AY$1,MATCH(MAX(Uyum!$B$76:$AY$76),Uyum!$B$76:$AY$76,0))),Topraklar!$A$2:$A$55,0)),"Solucan gübresi ekleyin.","")),"")</f>
        <v/>
      </c>
    </row>
    <row r="76">
      <c r="A76" s="9" t="inlineStr">
        <is>
          <t>Kabak</t>
        </is>
      </c>
      <c r="B76" s="9" t="inlineStr"/>
      <c r="C76" s="9" t="inlineStr">
        <is>
          <t>Sebze</t>
        </is>
      </c>
      <c r="D76" s="10" t="n">
        <v>3</v>
      </c>
      <c r="E76" s="10" t="n">
        <v>2</v>
      </c>
      <c r="F76" s="10" t="n">
        <v>2</v>
      </c>
      <c r="G76" s="10" t="n">
        <v>3</v>
      </c>
      <c r="H76" s="10" t="inlineStr">
        <is>
          <t>Dengeli</t>
        </is>
      </c>
      <c r="I76" s="11" t="inlineStr">
        <is>
          <t>hg-bol-verimli-sebze-topragi</t>
        </is>
      </c>
      <c r="J76" s="12">
        <f>IF(I76="","",IFERROR(INDEX(Topraklar!$B$2:$B$55,MATCH(I76,Topraklar!$A$2:$A$55,0)),"⚠ slug bulunamadı"))</f>
        <v/>
      </c>
      <c r="K76" s="12">
        <f>INDEX(Uyum!$B$2:$AY$2,MATCH(MAX(Uyum!$B$77:$AY$77),Uyum!$B$77:$AY$77,0))</f>
        <v/>
      </c>
      <c r="L76" s="13">
        <f>MIN(1,MAX(Uyum!$B$77:$AY$77))</f>
        <v/>
      </c>
      <c r="M76" s="12">
        <f>IF(I76&lt;&gt;"",J76,K76)</f>
        <v/>
      </c>
      <c r="N76" s="12">
        <f>IFERROR(TRIM(IF(E76&gt;INDEX(Topraklar!$E$2:$E$55,MATCH(IF(I76&lt;&gt;"",I76,INDEX(Uyum!$B$1:$AY$1,MATCH(MAX(Uyum!$B$77:$AY$77),Uyum!$B$77:$AY$77,0))),Topraklar!$A$2:$A$55,0)),"Perlit karıştırın. ","")&amp;IF(D76&lt;INDEX(Topraklar!$D$2:$D$55,MATCH(IF(I76&lt;&gt;"",I76,INDEX(Uyum!$B$1:$AY$1,MATCH(MAX(Uyum!$B$77:$AY$77),Uyum!$B$77:$AY$77,0))),Topraklar!$A$2:$A$55,0)),"Asidik torf karıştırın. ","")&amp;IF(F76&gt;INDEX(Topraklar!$F$2:$F$55,MATCH(IF(I76&lt;&gt;"",I76,INDEX(Uyum!$B$1:$AY$1,MATCH(MAX(Uyum!$B$77:$AY$77),Uyum!$B$77:$AY$77,0))),Topraklar!$A$2:$A$55,0)),"Vermikülit karıştırın. ","")&amp;IF(G76&gt;INDEX(Topraklar!$G$2:$G$55,MATCH(IF(I76&lt;&gt;"",I76,INDEX(Uyum!$B$1:$AY$1,MATCH(MAX(Uyum!$B$77:$AY$77),Uyum!$B$77:$AY$77,0))),Topraklar!$A$2:$A$55,0)),"Solucan gübresi ekleyin.","")),"")</f>
        <v/>
      </c>
    </row>
    <row r="77">
      <c r="A77" s="9" t="inlineStr">
        <is>
          <t>Marul</t>
        </is>
      </c>
      <c r="B77" s="9" t="inlineStr">
        <is>
          <t>yeşillik, roka, ıspanak</t>
        </is>
      </c>
      <c r="C77" s="9" t="inlineStr">
        <is>
          <t>Sebze</t>
        </is>
      </c>
      <c r="D77" s="10" t="n">
        <v>3</v>
      </c>
      <c r="E77" s="10" t="n">
        <v>2</v>
      </c>
      <c r="F77" s="10" t="n">
        <v>2</v>
      </c>
      <c r="G77" s="10" t="n">
        <v>2</v>
      </c>
      <c r="H77" s="10" t="inlineStr">
        <is>
          <t>Dengeli</t>
        </is>
      </c>
      <c r="I77" s="11" t="inlineStr">
        <is>
          <t>solucan-gubreli-sebze-topragi</t>
        </is>
      </c>
      <c r="J77" s="12">
        <f>IF(I77="","",IFERROR(INDEX(Topraklar!$B$2:$B$55,MATCH(I77,Topraklar!$A$2:$A$55,0)),"⚠ slug bulunamadı"))</f>
        <v/>
      </c>
      <c r="K77" s="12">
        <f>INDEX(Uyum!$B$2:$AY$2,MATCH(MAX(Uyum!$B$78:$AY$78),Uyum!$B$78:$AY$78,0))</f>
        <v/>
      </c>
      <c r="L77" s="13">
        <f>MIN(1,MAX(Uyum!$B$78:$AY$78))</f>
        <v/>
      </c>
      <c r="M77" s="12">
        <f>IF(I77&lt;&gt;"",J77,K77)</f>
        <v/>
      </c>
      <c r="N77" s="12">
        <f>IFERROR(TRIM(IF(E77&gt;INDEX(Topraklar!$E$2:$E$55,MATCH(IF(I77&lt;&gt;"",I77,INDEX(Uyum!$B$1:$AY$1,MATCH(MAX(Uyum!$B$78:$AY$78),Uyum!$B$78:$AY$78,0))),Topraklar!$A$2:$A$55,0)),"Perlit karıştırın. ","")&amp;IF(D77&lt;INDEX(Topraklar!$D$2:$D$55,MATCH(IF(I77&lt;&gt;"",I77,INDEX(Uyum!$B$1:$AY$1,MATCH(MAX(Uyum!$B$78:$AY$78),Uyum!$B$78:$AY$78,0))),Topraklar!$A$2:$A$55,0)),"Asidik torf karıştırın. ","")&amp;IF(F77&gt;INDEX(Topraklar!$F$2:$F$55,MATCH(IF(I77&lt;&gt;"",I77,INDEX(Uyum!$B$1:$AY$1,MATCH(MAX(Uyum!$B$78:$AY$78),Uyum!$B$78:$AY$78,0))),Topraklar!$A$2:$A$55,0)),"Vermikülit karıştırın. ","")&amp;IF(G77&gt;INDEX(Topraklar!$G$2:$G$55,MATCH(IF(I77&lt;&gt;"",I77,INDEX(Uyum!$B$1:$AY$1,MATCH(MAX(Uyum!$B$78:$AY$78),Uyum!$B$78:$AY$78,0))),Topraklar!$A$2:$A$55,0)),"Solucan gübresi ekleyin.","")),"")</f>
        <v/>
      </c>
    </row>
    <row r="78">
      <c r="A78" s="9" t="inlineStr">
        <is>
          <t>Maydanoz</t>
        </is>
      </c>
      <c r="B78" s="9" t="inlineStr">
        <is>
          <t>dereotu</t>
        </is>
      </c>
      <c r="C78" s="9" t="inlineStr">
        <is>
          <t>Sebze</t>
        </is>
      </c>
      <c r="D78" s="10" t="n">
        <v>3</v>
      </c>
      <c r="E78" s="10" t="n">
        <v>2</v>
      </c>
      <c r="F78" s="10" t="n">
        <v>2</v>
      </c>
      <c r="G78" s="10" t="n">
        <v>2</v>
      </c>
      <c r="H78" s="10" t="inlineStr">
        <is>
          <t>Dengeli</t>
        </is>
      </c>
      <c r="I78" s="11" t="inlineStr">
        <is>
          <t>solucan-gubreli-sebze-topragi</t>
        </is>
      </c>
      <c r="J78" s="12">
        <f>IF(I78="","",IFERROR(INDEX(Topraklar!$B$2:$B$55,MATCH(I78,Topraklar!$A$2:$A$55,0)),"⚠ slug bulunamadı"))</f>
        <v/>
      </c>
      <c r="K78" s="12">
        <f>INDEX(Uyum!$B$2:$AY$2,MATCH(MAX(Uyum!$B$79:$AY$79),Uyum!$B$79:$AY$79,0))</f>
        <v/>
      </c>
      <c r="L78" s="13">
        <f>MIN(1,MAX(Uyum!$B$79:$AY$79))</f>
        <v/>
      </c>
      <c r="M78" s="12">
        <f>IF(I78&lt;&gt;"",J78,K78)</f>
        <v/>
      </c>
      <c r="N78" s="12">
        <f>IFERROR(TRIM(IF(E78&gt;INDEX(Topraklar!$E$2:$E$55,MATCH(IF(I78&lt;&gt;"",I78,INDEX(Uyum!$B$1:$AY$1,MATCH(MAX(Uyum!$B$79:$AY$79),Uyum!$B$79:$AY$79,0))),Topraklar!$A$2:$A$55,0)),"Perlit karıştırın. ","")&amp;IF(D78&lt;INDEX(Topraklar!$D$2:$D$55,MATCH(IF(I78&lt;&gt;"",I78,INDEX(Uyum!$B$1:$AY$1,MATCH(MAX(Uyum!$B$79:$AY$79),Uyum!$B$79:$AY$79,0))),Topraklar!$A$2:$A$55,0)),"Asidik torf karıştırın. ","")&amp;IF(F78&gt;INDEX(Topraklar!$F$2:$F$55,MATCH(IF(I78&lt;&gt;"",I78,INDEX(Uyum!$B$1:$AY$1,MATCH(MAX(Uyum!$B$79:$AY$79),Uyum!$B$79:$AY$79,0))),Topraklar!$A$2:$A$55,0)),"Vermikülit karıştırın. ","")&amp;IF(G78&gt;INDEX(Topraklar!$G$2:$G$55,MATCH(IF(I78&lt;&gt;"",I78,INDEX(Uyum!$B$1:$AY$1,MATCH(MAX(Uyum!$B$79:$AY$79),Uyum!$B$79:$AY$79,0))),Topraklar!$A$2:$A$55,0)),"Solucan gübresi ekleyin.","")),"")</f>
        <v/>
      </c>
    </row>
    <row r="79">
      <c r="A79" s="9" t="inlineStr">
        <is>
          <t>Fasulye</t>
        </is>
      </c>
      <c r="B79" s="9" t="inlineStr">
        <is>
          <t>bezelye</t>
        </is>
      </c>
      <c r="C79" s="9" t="inlineStr">
        <is>
          <t>Sebze</t>
        </is>
      </c>
      <c r="D79" s="10" t="n">
        <v>3</v>
      </c>
      <c r="E79" s="10" t="n">
        <v>2</v>
      </c>
      <c r="F79" s="10" t="n">
        <v>2</v>
      </c>
      <c r="G79" s="10" t="n">
        <v>2</v>
      </c>
      <c r="H79" s="10" t="inlineStr">
        <is>
          <t>Dengeli</t>
        </is>
      </c>
      <c r="I79" s="11" t="inlineStr">
        <is>
          <t>solucan-gubreli-sebze-topragi</t>
        </is>
      </c>
      <c r="J79" s="12">
        <f>IF(I79="","",IFERROR(INDEX(Topraklar!$B$2:$B$55,MATCH(I79,Topraklar!$A$2:$A$55,0)),"⚠ slug bulunamadı"))</f>
        <v/>
      </c>
      <c r="K79" s="12">
        <f>INDEX(Uyum!$B$2:$AY$2,MATCH(MAX(Uyum!$B$80:$AY$80),Uyum!$B$80:$AY$80,0))</f>
        <v/>
      </c>
      <c r="L79" s="13">
        <f>MIN(1,MAX(Uyum!$B$80:$AY$80))</f>
        <v/>
      </c>
      <c r="M79" s="12">
        <f>IF(I79&lt;&gt;"",J79,K79)</f>
        <v/>
      </c>
      <c r="N79" s="12">
        <f>IFERROR(TRIM(IF(E79&gt;INDEX(Topraklar!$E$2:$E$55,MATCH(IF(I79&lt;&gt;"",I79,INDEX(Uyum!$B$1:$AY$1,MATCH(MAX(Uyum!$B$80:$AY$80),Uyum!$B$80:$AY$80,0))),Topraklar!$A$2:$A$55,0)),"Perlit karıştırın. ","")&amp;IF(D79&lt;INDEX(Topraklar!$D$2:$D$55,MATCH(IF(I79&lt;&gt;"",I79,INDEX(Uyum!$B$1:$AY$1,MATCH(MAX(Uyum!$B$80:$AY$80),Uyum!$B$80:$AY$80,0))),Topraklar!$A$2:$A$55,0)),"Asidik torf karıştırın. ","")&amp;IF(F79&gt;INDEX(Topraklar!$F$2:$F$55,MATCH(IF(I79&lt;&gt;"",I79,INDEX(Uyum!$B$1:$AY$1,MATCH(MAX(Uyum!$B$80:$AY$80),Uyum!$B$80:$AY$80,0))),Topraklar!$A$2:$A$55,0)),"Vermikülit karıştırın. ","")&amp;IF(G79&gt;INDEX(Topraklar!$G$2:$G$55,MATCH(IF(I79&lt;&gt;"",I79,INDEX(Uyum!$B$1:$AY$1,MATCH(MAX(Uyum!$B$80:$AY$80),Uyum!$B$80:$AY$80,0))),Topraklar!$A$2:$A$55,0)),"Solucan gübresi ekleyin.","")),"")</f>
        <v/>
      </c>
    </row>
    <row r="80">
      <c r="A80" s="9" t="inlineStr">
        <is>
          <t>Soğan</t>
        </is>
      </c>
      <c r="B80" s="9" t="inlineStr">
        <is>
          <t>sarımsak, pırasa</t>
        </is>
      </c>
      <c r="C80" s="9" t="inlineStr">
        <is>
          <t>Sebze</t>
        </is>
      </c>
      <c r="D80" s="10" t="n">
        <v>3</v>
      </c>
      <c r="E80" s="10" t="n">
        <v>2</v>
      </c>
      <c r="F80" s="10" t="n">
        <v>2</v>
      </c>
      <c r="G80" s="10" t="n">
        <v>2</v>
      </c>
      <c r="H80" s="10" t="inlineStr">
        <is>
          <t>Dengeli</t>
        </is>
      </c>
      <c r="I80" s="11" t="inlineStr">
        <is>
          <t>solucan-gubreli-sebze-topragi</t>
        </is>
      </c>
      <c r="J80" s="12">
        <f>IF(I80="","",IFERROR(INDEX(Topraklar!$B$2:$B$55,MATCH(I80,Topraklar!$A$2:$A$55,0)),"⚠ slug bulunamadı"))</f>
        <v/>
      </c>
      <c r="K80" s="12">
        <f>INDEX(Uyum!$B$2:$AY$2,MATCH(MAX(Uyum!$B$81:$AY$81),Uyum!$B$81:$AY$81,0))</f>
        <v/>
      </c>
      <c r="L80" s="13">
        <f>MIN(1,MAX(Uyum!$B$81:$AY$81))</f>
        <v/>
      </c>
      <c r="M80" s="12">
        <f>IF(I80&lt;&gt;"",J80,K80)</f>
        <v/>
      </c>
      <c r="N80" s="12">
        <f>IFERROR(TRIM(IF(E80&gt;INDEX(Topraklar!$E$2:$E$55,MATCH(IF(I80&lt;&gt;"",I80,INDEX(Uyum!$B$1:$AY$1,MATCH(MAX(Uyum!$B$81:$AY$81),Uyum!$B$81:$AY$81,0))),Topraklar!$A$2:$A$55,0)),"Perlit karıştırın. ","")&amp;IF(D80&lt;INDEX(Topraklar!$D$2:$D$55,MATCH(IF(I80&lt;&gt;"",I80,INDEX(Uyum!$B$1:$AY$1,MATCH(MAX(Uyum!$B$81:$AY$81),Uyum!$B$81:$AY$81,0))),Topraklar!$A$2:$A$55,0)),"Asidik torf karıştırın. ","")&amp;IF(F80&gt;INDEX(Topraklar!$F$2:$F$55,MATCH(IF(I80&lt;&gt;"",I80,INDEX(Uyum!$B$1:$AY$1,MATCH(MAX(Uyum!$B$81:$AY$81),Uyum!$B$81:$AY$81,0))),Topraklar!$A$2:$A$55,0)),"Vermikülit karıştırın. ","")&amp;IF(G80&gt;INDEX(Topraklar!$G$2:$G$55,MATCH(IF(I80&lt;&gt;"",I80,INDEX(Uyum!$B$1:$AY$1,MATCH(MAX(Uyum!$B$81:$AY$81),Uyum!$B$81:$AY$81,0))),Topraklar!$A$2:$A$55,0)),"Solucan gübresi ekleyin.","")),"")</f>
        <v/>
      </c>
    </row>
    <row r="81">
      <c r="A81" s="9" t="inlineStr">
        <is>
          <t>Havuç</t>
        </is>
      </c>
      <c r="B81" s="9" t="inlineStr">
        <is>
          <t>turp, pancar</t>
        </is>
      </c>
      <c r="C81" s="9" t="inlineStr">
        <is>
          <t>Sebze</t>
        </is>
      </c>
      <c r="D81" s="10" t="n">
        <v>3</v>
      </c>
      <c r="E81" s="10" t="n">
        <v>3</v>
      </c>
      <c r="F81" s="10" t="n">
        <v>2</v>
      </c>
      <c r="G81" s="10" t="n">
        <v>2</v>
      </c>
      <c r="H81" s="10" t="inlineStr">
        <is>
          <t>Kumlu</t>
        </is>
      </c>
      <c r="I81" s="11" t="inlineStr">
        <is>
          <t>solucan-gubreli-sebze-topragi</t>
        </is>
      </c>
      <c r="J81" s="12">
        <f>IF(I81="","",IFERROR(INDEX(Topraklar!$B$2:$B$55,MATCH(I81,Topraklar!$A$2:$A$55,0)),"⚠ slug bulunamadı"))</f>
        <v/>
      </c>
      <c r="K81" s="12">
        <f>INDEX(Uyum!$B$2:$AY$2,MATCH(MAX(Uyum!$B$82:$AY$82),Uyum!$B$82:$AY$82,0))</f>
        <v/>
      </c>
      <c r="L81" s="13">
        <f>MIN(1,MAX(Uyum!$B$82:$AY$82))</f>
        <v/>
      </c>
      <c r="M81" s="12">
        <f>IF(I81&lt;&gt;"",J81,K81)</f>
        <v/>
      </c>
      <c r="N81" s="12">
        <f>IFERROR(TRIM(IF(E81&gt;INDEX(Topraklar!$E$2:$E$55,MATCH(IF(I81&lt;&gt;"",I81,INDEX(Uyum!$B$1:$AY$1,MATCH(MAX(Uyum!$B$82:$AY$82),Uyum!$B$82:$AY$82,0))),Topraklar!$A$2:$A$55,0)),"Perlit karıştırın. ","")&amp;IF(D81&lt;INDEX(Topraklar!$D$2:$D$55,MATCH(IF(I81&lt;&gt;"",I81,INDEX(Uyum!$B$1:$AY$1,MATCH(MAX(Uyum!$B$82:$AY$82),Uyum!$B$82:$AY$82,0))),Topraklar!$A$2:$A$55,0)),"Asidik torf karıştırın. ","")&amp;IF(F81&gt;INDEX(Topraklar!$F$2:$F$55,MATCH(IF(I81&lt;&gt;"",I81,INDEX(Uyum!$B$1:$AY$1,MATCH(MAX(Uyum!$B$82:$AY$82),Uyum!$B$82:$AY$82,0))),Topraklar!$A$2:$A$55,0)),"Vermikülit karıştırın. ","")&amp;IF(G81&gt;INDEX(Topraklar!$G$2:$G$55,MATCH(IF(I81&lt;&gt;"",I81,INDEX(Uyum!$B$1:$AY$1,MATCH(MAX(Uyum!$B$82:$AY$82),Uyum!$B$82:$AY$82,0))),Topraklar!$A$2:$A$55,0)),"Solucan gübresi ekleyin.","")),"")</f>
        <v/>
      </c>
    </row>
    <row r="82">
      <c r="A82" s="9" t="inlineStr">
        <is>
          <t>Lahana</t>
        </is>
      </c>
      <c r="B82" s="9" t="inlineStr">
        <is>
          <t>brokoli, karnabahar</t>
        </is>
      </c>
      <c r="C82" s="9" t="inlineStr">
        <is>
          <t>Sebze</t>
        </is>
      </c>
      <c r="D82" s="10" t="n">
        <v>3</v>
      </c>
      <c r="E82" s="10" t="n">
        <v>2</v>
      </c>
      <c r="F82" s="10" t="n">
        <v>2</v>
      </c>
      <c r="G82" s="10" t="n">
        <v>3</v>
      </c>
      <c r="H82" s="10" t="inlineStr">
        <is>
          <t>Dengeli</t>
        </is>
      </c>
      <c r="I82" s="11" t="inlineStr">
        <is>
          <t>solucan-gubreli-sebze-topragi</t>
        </is>
      </c>
      <c r="J82" s="12">
        <f>IF(I82="","",IFERROR(INDEX(Topraklar!$B$2:$B$55,MATCH(I82,Topraklar!$A$2:$A$55,0)),"⚠ slug bulunamadı"))</f>
        <v/>
      </c>
      <c r="K82" s="12">
        <f>INDEX(Uyum!$B$2:$AY$2,MATCH(MAX(Uyum!$B$83:$AY$83),Uyum!$B$83:$AY$83,0))</f>
        <v/>
      </c>
      <c r="L82" s="13">
        <f>MIN(1,MAX(Uyum!$B$83:$AY$83))</f>
        <v/>
      </c>
      <c r="M82" s="12">
        <f>IF(I82&lt;&gt;"",J82,K82)</f>
        <v/>
      </c>
      <c r="N82" s="12">
        <f>IFERROR(TRIM(IF(E82&gt;INDEX(Topraklar!$E$2:$E$55,MATCH(IF(I82&lt;&gt;"",I82,INDEX(Uyum!$B$1:$AY$1,MATCH(MAX(Uyum!$B$83:$AY$83),Uyum!$B$83:$AY$83,0))),Topraklar!$A$2:$A$55,0)),"Perlit karıştırın. ","")&amp;IF(D82&lt;INDEX(Topraklar!$D$2:$D$55,MATCH(IF(I82&lt;&gt;"",I82,INDEX(Uyum!$B$1:$AY$1,MATCH(MAX(Uyum!$B$83:$AY$83),Uyum!$B$83:$AY$83,0))),Topraklar!$A$2:$A$55,0)),"Asidik torf karıştırın. ","")&amp;IF(F82&gt;INDEX(Topraklar!$F$2:$F$55,MATCH(IF(I82&lt;&gt;"",I82,INDEX(Uyum!$B$1:$AY$1,MATCH(MAX(Uyum!$B$83:$AY$83),Uyum!$B$83:$AY$83,0))),Topraklar!$A$2:$A$55,0)),"Vermikülit karıştırın. ","")&amp;IF(G82&gt;INDEX(Topraklar!$G$2:$G$55,MATCH(IF(I82&lt;&gt;"",I82,INDEX(Uyum!$B$1:$AY$1,MATCH(MAX(Uyum!$B$83:$AY$83),Uyum!$B$83:$AY$83,0))),Topraklar!$A$2:$A$55,0)),"Solucan gübresi ekleyin.","")),"")</f>
        <v/>
      </c>
    </row>
    <row r="83">
      <c r="A83" s="9" t="inlineStr">
        <is>
          <t>Fide</t>
        </is>
      </c>
      <c r="B83" s="9" t="inlineStr">
        <is>
          <t>tohum çimlendirme, fide yetiştirme</t>
        </is>
      </c>
      <c r="C83" s="9" t="inlineStr">
        <is>
          <t>Sebze</t>
        </is>
      </c>
      <c r="D83" s="10" t="n">
        <v>2</v>
      </c>
      <c r="E83" s="10" t="n">
        <v>2</v>
      </c>
      <c r="F83" s="10" t="n">
        <v>2</v>
      </c>
      <c r="G83" s="10" t="n">
        <v>1</v>
      </c>
      <c r="H83" s="10" t="inlineStr">
        <is>
          <t>Dengeli</t>
        </is>
      </c>
      <c r="I83" s="11" t="inlineStr">
        <is>
          <t>hg-fide-topragi</t>
        </is>
      </c>
      <c r="J83" s="12">
        <f>IF(I83="","",IFERROR(INDEX(Topraklar!$B$2:$B$55,MATCH(I83,Topraklar!$A$2:$A$55,0)),"⚠ slug bulunamadı"))</f>
        <v/>
      </c>
      <c r="K83" s="12">
        <f>INDEX(Uyum!$B$2:$AY$2,MATCH(MAX(Uyum!$B$84:$AY$84),Uyum!$B$84:$AY$84,0))</f>
        <v/>
      </c>
      <c r="L83" s="13">
        <f>MIN(1,MAX(Uyum!$B$84:$AY$84))</f>
        <v/>
      </c>
      <c r="M83" s="12">
        <f>IF(I83&lt;&gt;"",J83,K83)</f>
        <v/>
      </c>
      <c r="N83" s="12">
        <f>IFERROR(TRIM(IF(E83&gt;INDEX(Topraklar!$E$2:$E$55,MATCH(IF(I83&lt;&gt;"",I83,INDEX(Uyum!$B$1:$AY$1,MATCH(MAX(Uyum!$B$84:$AY$84),Uyum!$B$84:$AY$84,0))),Topraklar!$A$2:$A$55,0)),"Perlit karıştırın. ","")&amp;IF(D83&lt;INDEX(Topraklar!$D$2:$D$55,MATCH(IF(I83&lt;&gt;"",I83,INDEX(Uyum!$B$1:$AY$1,MATCH(MAX(Uyum!$B$84:$AY$84),Uyum!$B$84:$AY$84,0))),Topraklar!$A$2:$A$55,0)),"Asidik torf karıştırın. ","")&amp;IF(F83&gt;INDEX(Topraklar!$F$2:$F$55,MATCH(IF(I83&lt;&gt;"",I83,INDEX(Uyum!$B$1:$AY$1,MATCH(MAX(Uyum!$B$84:$AY$84),Uyum!$B$84:$AY$84,0))),Topraklar!$A$2:$A$55,0)),"Vermikülit karıştırın. ","")&amp;IF(G83&gt;INDEX(Topraklar!$G$2:$G$55,MATCH(IF(I83&lt;&gt;"",I83,INDEX(Uyum!$B$1:$AY$1,MATCH(MAX(Uyum!$B$84:$AY$84),Uyum!$B$84:$AY$84,0))),Topraklar!$A$2:$A$55,0)),"Solucan gübresi ekleyin.","")),"")</f>
        <v/>
      </c>
    </row>
    <row r="84">
      <c r="A84" s="9" t="inlineStr">
        <is>
          <t>Çim</t>
        </is>
      </c>
      <c r="B84" s="9" t="inlineStr">
        <is>
          <t>çim tohumu</t>
        </is>
      </c>
      <c r="C84" s="9" t="inlineStr">
        <is>
          <t>Bahçe</t>
        </is>
      </c>
      <c r="D84" s="10" t="n">
        <v>3</v>
      </c>
      <c r="E84" s="10" t="n">
        <v>2</v>
      </c>
      <c r="F84" s="10" t="n">
        <v>2</v>
      </c>
      <c r="G84" s="10" t="n">
        <v>2</v>
      </c>
      <c r="H84" s="10" t="inlineStr">
        <is>
          <t>Dengeli</t>
        </is>
      </c>
      <c r="I84" s="11" t="inlineStr">
        <is>
          <t>cim-kapama-topragi-leonarditli-formul</t>
        </is>
      </c>
      <c r="J84" s="12">
        <f>IF(I84="","",IFERROR(INDEX(Topraklar!$B$2:$B$55,MATCH(I84,Topraklar!$A$2:$A$55,0)),"⚠ slug bulunamadı"))</f>
        <v/>
      </c>
      <c r="K84" s="12">
        <f>INDEX(Uyum!$B$2:$AY$2,MATCH(MAX(Uyum!$B$85:$AY$85),Uyum!$B$85:$AY$85,0))</f>
        <v/>
      </c>
      <c r="L84" s="13">
        <f>MIN(1,MAX(Uyum!$B$85:$AY$85))</f>
        <v/>
      </c>
      <c r="M84" s="12">
        <f>IF(I84&lt;&gt;"",J84,K84)</f>
        <v/>
      </c>
      <c r="N84" s="12">
        <f>IFERROR(TRIM(IF(E84&gt;INDEX(Topraklar!$E$2:$E$55,MATCH(IF(I84&lt;&gt;"",I84,INDEX(Uyum!$B$1:$AY$1,MATCH(MAX(Uyum!$B$85:$AY$85),Uyum!$B$85:$AY$85,0))),Topraklar!$A$2:$A$55,0)),"Perlit karıştırın. ","")&amp;IF(D84&lt;INDEX(Topraklar!$D$2:$D$55,MATCH(IF(I84&lt;&gt;"",I84,INDEX(Uyum!$B$1:$AY$1,MATCH(MAX(Uyum!$B$85:$AY$85),Uyum!$B$85:$AY$85,0))),Topraklar!$A$2:$A$55,0)),"Asidik torf karıştırın. ","")&amp;IF(F84&gt;INDEX(Topraklar!$F$2:$F$55,MATCH(IF(I84&lt;&gt;"",I84,INDEX(Uyum!$B$1:$AY$1,MATCH(MAX(Uyum!$B$85:$AY$85),Uyum!$B$85:$AY$85,0))),Topraklar!$A$2:$A$55,0)),"Vermikülit karıştırın. ","")&amp;IF(G84&gt;INDEX(Topraklar!$G$2:$G$55,MATCH(IF(I84&lt;&gt;"",I84,INDEX(Uyum!$B$1:$AY$1,MATCH(MAX(Uyum!$B$85:$AY$85),Uyum!$B$85:$AY$85,0))),Topraklar!$A$2:$A$55,0)),"Solucan gübresi ekleyin.","")),"")</f>
        <v/>
      </c>
    </row>
    <row r="85">
      <c r="A85" s="9" t="inlineStr">
        <is>
          <t>Nilüfer</t>
        </is>
      </c>
      <c r="B85" s="9" t="inlineStr">
        <is>
          <t>lotus, su bitkisi</t>
        </is>
      </c>
      <c r="C85" s="9" t="inlineStr">
        <is>
          <t>Su bitkisi</t>
        </is>
      </c>
      <c r="D85" s="10" t="n">
        <v>3</v>
      </c>
      <c r="E85" s="10" t="n">
        <v>1</v>
      </c>
      <c r="F85" s="10" t="n">
        <v>3</v>
      </c>
      <c r="G85" s="10" t="n">
        <v>3</v>
      </c>
      <c r="H85" s="10" t="inlineStr">
        <is>
          <t>Dengeli</t>
        </is>
      </c>
      <c r="I85" s="11" t="inlineStr">
        <is>
          <t>lotus-nilufer-cicegi-topragi</t>
        </is>
      </c>
      <c r="J85" s="12">
        <f>IF(I85="","",IFERROR(INDEX(Topraklar!$B$2:$B$55,MATCH(I85,Topraklar!$A$2:$A$55,0)),"⚠ slug bulunamadı"))</f>
        <v/>
      </c>
      <c r="K85" s="12">
        <f>INDEX(Uyum!$B$2:$AY$2,MATCH(MAX(Uyum!$B$86:$AY$86),Uyum!$B$86:$AY$86,0))</f>
        <v/>
      </c>
      <c r="L85" s="13">
        <f>MIN(1,MAX(Uyum!$B$86:$AY$86))</f>
        <v/>
      </c>
      <c r="M85" s="12">
        <f>IF(I85&lt;&gt;"",J85,K85)</f>
        <v/>
      </c>
      <c r="N85" s="12">
        <f>IFERROR(TRIM(IF(E85&gt;INDEX(Topraklar!$E$2:$E$55,MATCH(IF(I85&lt;&gt;"",I85,INDEX(Uyum!$B$1:$AY$1,MATCH(MAX(Uyum!$B$86:$AY$86),Uyum!$B$86:$AY$86,0))),Topraklar!$A$2:$A$55,0)),"Perlit karıştırın. ","")&amp;IF(D85&lt;INDEX(Topraklar!$D$2:$D$55,MATCH(IF(I85&lt;&gt;"",I85,INDEX(Uyum!$B$1:$AY$1,MATCH(MAX(Uyum!$B$86:$AY$86),Uyum!$B$86:$AY$86,0))),Topraklar!$A$2:$A$55,0)),"Asidik torf karıştırın. ","")&amp;IF(F85&gt;INDEX(Topraklar!$F$2:$F$55,MATCH(IF(I85&lt;&gt;"",I85,INDEX(Uyum!$B$1:$AY$1,MATCH(MAX(Uyum!$B$86:$AY$86),Uyum!$B$86:$AY$86,0))),Topraklar!$A$2:$A$55,0)),"Vermikülit karıştırın. ","")&amp;IF(G85&gt;INDEX(Topraklar!$G$2:$G$55,MATCH(IF(I85&lt;&gt;"",I85,INDEX(Uyum!$B$1:$AY$1,MATCH(MAX(Uyum!$B$86:$AY$86),Uyum!$B$86:$AY$86,0))),Topraklar!$A$2:$A$55,0)),"Solucan gübresi ekleyin.","")),"")</f>
        <v/>
      </c>
    </row>
  </sheetData>
  <conditionalFormatting sqref="L2:L85">
    <cfRule type="colorScale" priority="1">
      <colorScale>
        <cfvo type="num" val="0.5"/>
        <cfvo type="num" val="0.75"/>
        <cfvo type="num" val="1"/>
        <color rgb="00F4C7C3"/>
        <color rgb="00FFF2CC"/>
        <color rgb="00C9E7D3"/>
      </colorScale>
    </cfRule>
  </conditionalFormatting>
  <dataValidations count="3">
    <dataValidation sqref="D2:D85" showDropDown="0" showInputMessage="0" showErrorMessage="0" allowBlank="0" type="whole" operator="between">
      <formula1>1</formula1>
      <formula2>4</formula2>
    </dataValidation>
    <dataValidation sqref="E2:E85 F2:F85 G2:G85" showDropDown="0" showInputMessage="0" showErrorMessage="0" allowBlank="0" type="whole" operator="between">
      <formula1>1</formula1>
      <formula2>3</formula2>
    </dataValidation>
    <dataValidation sqref="H2:H85" showDropDown="0" showInputMessage="0" showErrorMessage="0" allowBlank="0" type="list">
      <formula1>"Kumlu,Havalı,Dengeli"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Y8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</cols>
  <sheetData>
    <row r="1" hidden="1">
      <c r="A1" s="14" t="inlineStr">
        <is>
          <t>slug →</t>
        </is>
      </c>
      <c r="B1" s="14">
        <f>Topraklar!A2</f>
        <v/>
      </c>
      <c r="C1" s="14">
        <f>Topraklar!A3</f>
        <v/>
      </c>
      <c r="D1" s="14">
        <f>Topraklar!A4</f>
        <v/>
      </c>
      <c r="E1" s="14">
        <f>Topraklar!A5</f>
        <v/>
      </c>
      <c r="F1" s="14">
        <f>Topraklar!A6</f>
        <v/>
      </c>
      <c r="G1" s="14">
        <f>Topraklar!A7</f>
        <v/>
      </c>
      <c r="H1" s="14">
        <f>Topraklar!A8</f>
        <v/>
      </c>
      <c r="I1" s="14">
        <f>Topraklar!A9</f>
        <v/>
      </c>
      <c r="J1" s="14">
        <f>Topraklar!A10</f>
        <v/>
      </c>
      <c r="K1" s="14">
        <f>Topraklar!A11</f>
        <v/>
      </c>
      <c r="L1" s="14">
        <f>Topraklar!A12</f>
        <v/>
      </c>
      <c r="M1" s="14">
        <f>Topraklar!A13</f>
        <v/>
      </c>
      <c r="N1" s="14">
        <f>Topraklar!A14</f>
        <v/>
      </c>
      <c r="O1" s="14">
        <f>Topraklar!A15</f>
        <v/>
      </c>
      <c r="P1" s="14">
        <f>Topraklar!A16</f>
        <v/>
      </c>
      <c r="Q1" s="14">
        <f>Topraklar!A17</f>
        <v/>
      </c>
      <c r="R1" s="14">
        <f>Topraklar!A18</f>
        <v/>
      </c>
      <c r="S1" s="14">
        <f>Topraklar!A19</f>
        <v/>
      </c>
      <c r="T1" s="14">
        <f>Topraklar!A20</f>
        <v/>
      </c>
      <c r="U1" s="14">
        <f>Topraklar!A21</f>
        <v/>
      </c>
      <c r="V1" s="14">
        <f>Topraklar!A22</f>
        <v/>
      </c>
      <c r="W1" s="14">
        <f>Topraklar!A23</f>
        <v/>
      </c>
      <c r="X1" s="14">
        <f>Topraklar!A24</f>
        <v/>
      </c>
      <c r="Y1" s="14">
        <f>Topraklar!A25</f>
        <v/>
      </c>
      <c r="Z1" s="14">
        <f>Topraklar!A26</f>
        <v/>
      </c>
      <c r="AA1" s="14">
        <f>Topraklar!A27</f>
        <v/>
      </c>
      <c r="AB1" s="14">
        <f>Topraklar!A28</f>
        <v/>
      </c>
      <c r="AC1" s="14">
        <f>Topraklar!A29</f>
        <v/>
      </c>
      <c r="AD1" s="14">
        <f>Topraklar!A30</f>
        <v/>
      </c>
      <c r="AE1" s="14">
        <f>Topraklar!A31</f>
        <v/>
      </c>
      <c r="AF1" s="14">
        <f>Topraklar!A32</f>
        <v/>
      </c>
      <c r="AG1" s="14">
        <f>Topraklar!A33</f>
        <v/>
      </c>
      <c r="AH1" s="14">
        <f>Topraklar!A34</f>
        <v/>
      </c>
      <c r="AI1" s="14">
        <f>Topraklar!A35</f>
        <v/>
      </c>
      <c r="AJ1" s="14">
        <f>Topraklar!A36</f>
        <v/>
      </c>
      <c r="AK1" s="14">
        <f>Topraklar!A37</f>
        <v/>
      </c>
      <c r="AL1" s="14">
        <f>Topraklar!A38</f>
        <v/>
      </c>
      <c r="AM1" s="14">
        <f>Topraklar!A39</f>
        <v/>
      </c>
      <c r="AN1" s="14">
        <f>Topraklar!A40</f>
        <v/>
      </c>
      <c r="AO1" s="14">
        <f>Topraklar!A41</f>
        <v/>
      </c>
      <c r="AP1" s="14">
        <f>Topraklar!A42</f>
        <v/>
      </c>
      <c r="AQ1" s="14">
        <f>Topraklar!A43</f>
        <v/>
      </c>
      <c r="AR1" s="14">
        <f>Topraklar!A44</f>
        <v/>
      </c>
      <c r="AS1" s="14">
        <f>Topraklar!A45</f>
        <v/>
      </c>
      <c r="AT1" s="14">
        <f>Topraklar!A46</f>
        <v/>
      </c>
      <c r="AU1" s="14">
        <f>Topraklar!A47</f>
        <v/>
      </c>
      <c r="AV1" s="14">
        <f>Topraklar!A48</f>
        <v/>
      </c>
      <c r="AW1" s="14">
        <f>Topraklar!A49</f>
        <v/>
      </c>
      <c r="AX1" s="14">
        <f>Topraklar!A50</f>
        <v/>
      </c>
      <c r="AY1" s="14">
        <f>Topraklar!A51</f>
        <v/>
      </c>
    </row>
    <row r="2" ht="90" customHeight="1">
      <c r="A2" s="14" t="inlineStr">
        <is>
          <t>Bitki ↓ / Toprak →</t>
        </is>
      </c>
      <c r="B2" s="14">
        <f>Topraklar!B2</f>
        <v/>
      </c>
      <c r="C2" s="14">
        <f>Topraklar!B3</f>
        <v/>
      </c>
      <c r="D2" s="14">
        <f>Topraklar!B4</f>
        <v/>
      </c>
      <c r="E2" s="14">
        <f>Topraklar!B5</f>
        <v/>
      </c>
      <c r="F2" s="14">
        <f>Topraklar!B6</f>
        <v/>
      </c>
      <c r="G2" s="14">
        <f>Topraklar!B7</f>
        <v/>
      </c>
      <c r="H2" s="14">
        <f>Topraklar!B8</f>
        <v/>
      </c>
      <c r="I2" s="14">
        <f>Topraklar!B9</f>
        <v/>
      </c>
      <c r="J2" s="14">
        <f>Topraklar!B10</f>
        <v/>
      </c>
      <c r="K2" s="14">
        <f>Topraklar!B11</f>
        <v/>
      </c>
      <c r="L2" s="14">
        <f>Topraklar!B12</f>
        <v/>
      </c>
      <c r="M2" s="14">
        <f>Topraklar!B13</f>
        <v/>
      </c>
      <c r="N2" s="14">
        <f>Topraklar!B14</f>
        <v/>
      </c>
      <c r="O2" s="14">
        <f>Topraklar!B15</f>
        <v/>
      </c>
      <c r="P2" s="14">
        <f>Topraklar!B16</f>
        <v/>
      </c>
      <c r="Q2" s="14">
        <f>Topraklar!B17</f>
        <v/>
      </c>
      <c r="R2" s="14">
        <f>Topraklar!B18</f>
        <v/>
      </c>
      <c r="S2" s="14">
        <f>Topraklar!B19</f>
        <v/>
      </c>
      <c r="T2" s="14">
        <f>Topraklar!B20</f>
        <v/>
      </c>
      <c r="U2" s="14">
        <f>Topraklar!B21</f>
        <v/>
      </c>
      <c r="V2" s="14">
        <f>Topraklar!B22</f>
        <v/>
      </c>
      <c r="W2" s="14">
        <f>Topraklar!B23</f>
        <v/>
      </c>
      <c r="X2" s="14">
        <f>Topraklar!B24</f>
        <v/>
      </c>
      <c r="Y2" s="14">
        <f>Topraklar!B25</f>
        <v/>
      </c>
      <c r="Z2" s="14">
        <f>Topraklar!B26</f>
        <v/>
      </c>
      <c r="AA2" s="14">
        <f>Topraklar!B27</f>
        <v/>
      </c>
      <c r="AB2" s="14">
        <f>Topraklar!B28</f>
        <v/>
      </c>
      <c r="AC2" s="14">
        <f>Topraklar!B29</f>
        <v/>
      </c>
      <c r="AD2" s="14">
        <f>Topraklar!B30</f>
        <v/>
      </c>
      <c r="AE2" s="14">
        <f>Topraklar!B31</f>
        <v/>
      </c>
      <c r="AF2" s="14">
        <f>Topraklar!B32</f>
        <v/>
      </c>
      <c r="AG2" s="14">
        <f>Topraklar!B33</f>
        <v/>
      </c>
      <c r="AH2" s="14">
        <f>Topraklar!B34</f>
        <v/>
      </c>
      <c r="AI2" s="14">
        <f>Topraklar!B35</f>
        <v/>
      </c>
      <c r="AJ2" s="14">
        <f>Topraklar!B36</f>
        <v/>
      </c>
      <c r="AK2" s="14">
        <f>Topraklar!B37</f>
        <v/>
      </c>
      <c r="AL2" s="14">
        <f>Topraklar!B38</f>
        <v/>
      </c>
      <c r="AM2" s="14">
        <f>Topraklar!B39</f>
        <v/>
      </c>
      <c r="AN2" s="14">
        <f>Topraklar!B40</f>
        <v/>
      </c>
      <c r="AO2" s="14">
        <f>Topraklar!B41</f>
        <v/>
      </c>
      <c r="AP2" s="14">
        <f>Topraklar!B42</f>
        <v/>
      </c>
      <c r="AQ2" s="14">
        <f>Topraklar!B43</f>
        <v/>
      </c>
      <c r="AR2" s="14">
        <f>Topraklar!B44</f>
        <v/>
      </c>
      <c r="AS2" s="14">
        <f>Topraklar!B45</f>
        <v/>
      </c>
      <c r="AT2" s="14">
        <f>Topraklar!B46</f>
        <v/>
      </c>
      <c r="AU2" s="14">
        <f>Topraklar!B47</f>
        <v/>
      </c>
      <c r="AV2" s="14">
        <f>Topraklar!B48</f>
        <v/>
      </c>
      <c r="AW2" s="14">
        <f>Topraklar!B49</f>
        <v/>
      </c>
      <c r="AX2" s="14">
        <f>Topraklar!B50</f>
        <v/>
      </c>
      <c r="AY2" s="14">
        <f>Topraklar!B51</f>
        <v/>
      </c>
    </row>
    <row r="3">
      <c r="A3" s="15">
        <f>Bitkiler!A2</f>
        <v/>
      </c>
      <c r="B3" s="16">
        <f>IF(OR(Topraklar!$J$2="Evet",AND(Topraklar!$L$2&lt;&gt;"Evet",Topraklar!$K$2&lt;&gt;Bitkiler!$C$2)),0,MAX(0,1-(Ayarlar!$B$2*ABS(Bitkiler!$D$2-Topraklar!$D$2)+Ayarlar!$B$3*ABS(Bitkiler!$E$2-Topraklar!$E$2)+Ayarlar!$B$4*ABS(Bitkiler!$F$2-Topraklar!$F$2)+Ayarlar!$B$5*ABS(Bitkiler!$G$2-Topraklar!$G$2)+Ayarlar!$B$6*IF(Bitkiler!$H$2=Topraklar!$H$2,0,1))/Ayarlar!$B$7)+IF(Topraklar!$K$2=Bitkiler!$C$2,0.002,IF(Topraklar!$L$2="Evet",0.001,0)))</f>
        <v/>
      </c>
      <c r="C3" s="16">
        <f>IF(OR(Topraklar!$J$3="Evet",AND(Topraklar!$L$3&lt;&gt;"Evet",Topraklar!$K$3&lt;&gt;Bitkiler!$C$2)),0,MAX(0,1-(Ayarlar!$B$2*ABS(Bitkiler!$D$2-Topraklar!$D$3)+Ayarlar!$B$3*ABS(Bitkiler!$E$2-Topraklar!$E$3)+Ayarlar!$B$4*ABS(Bitkiler!$F$2-Topraklar!$F$3)+Ayarlar!$B$5*ABS(Bitkiler!$G$2-Topraklar!$G$3)+Ayarlar!$B$6*IF(Bitkiler!$H$2=Topraklar!$H$3,0,1))/Ayarlar!$B$7)+IF(Topraklar!$K$3=Bitkiler!$C$2,0.002,IF(Topraklar!$L$3="Evet",0.001,0)))</f>
        <v/>
      </c>
      <c r="D3" s="16">
        <f>IF(OR(Topraklar!$J$4="Evet",AND(Topraklar!$L$4&lt;&gt;"Evet",Topraklar!$K$4&lt;&gt;Bitkiler!$C$2)),0,MAX(0,1-(Ayarlar!$B$2*ABS(Bitkiler!$D$2-Topraklar!$D$4)+Ayarlar!$B$3*ABS(Bitkiler!$E$2-Topraklar!$E$4)+Ayarlar!$B$4*ABS(Bitkiler!$F$2-Topraklar!$F$4)+Ayarlar!$B$5*ABS(Bitkiler!$G$2-Topraklar!$G$4)+Ayarlar!$B$6*IF(Bitkiler!$H$2=Topraklar!$H$4,0,1))/Ayarlar!$B$7)+IF(Topraklar!$K$4=Bitkiler!$C$2,0.002,IF(Topraklar!$L$4="Evet",0.001,0)))</f>
        <v/>
      </c>
      <c r="E3" s="16">
        <f>IF(OR(Topraklar!$J$5="Evet",AND(Topraklar!$L$5&lt;&gt;"Evet",Topraklar!$K$5&lt;&gt;Bitkiler!$C$2)),0,MAX(0,1-(Ayarlar!$B$2*ABS(Bitkiler!$D$2-Topraklar!$D$5)+Ayarlar!$B$3*ABS(Bitkiler!$E$2-Topraklar!$E$5)+Ayarlar!$B$4*ABS(Bitkiler!$F$2-Topraklar!$F$5)+Ayarlar!$B$5*ABS(Bitkiler!$G$2-Topraklar!$G$5)+Ayarlar!$B$6*IF(Bitkiler!$H$2=Topraklar!$H$5,0,1))/Ayarlar!$B$7)+IF(Topraklar!$K$5=Bitkiler!$C$2,0.002,IF(Topraklar!$L$5="Evet",0.001,0)))</f>
        <v/>
      </c>
      <c r="F3" s="16">
        <f>IF(OR(Topraklar!$J$6="Evet",AND(Topraklar!$L$6&lt;&gt;"Evet",Topraklar!$K$6&lt;&gt;Bitkiler!$C$2)),0,MAX(0,1-(Ayarlar!$B$2*ABS(Bitkiler!$D$2-Topraklar!$D$6)+Ayarlar!$B$3*ABS(Bitkiler!$E$2-Topraklar!$E$6)+Ayarlar!$B$4*ABS(Bitkiler!$F$2-Topraklar!$F$6)+Ayarlar!$B$5*ABS(Bitkiler!$G$2-Topraklar!$G$6)+Ayarlar!$B$6*IF(Bitkiler!$H$2=Topraklar!$H$6,0,1))/Ayarlar!$B$7)+IF(Topraklar!$K$6=Bitkiler!$C$2,0.002,IF(Topraklar!$L$6="Evet",0.001,0)))</f>
        <v/>
      </c>
      <c r="G3" s="16">
        <f>IF(OR(Topraklar!$J$7="Evet",AND(Topraklar!$L$7&lt;&gt;"Evet",Topraklar!$K$7&lt;&gt;Bitkiler!$C$2)),0,MAX(0,1-(Ayarlar!$B$2*ABS(Bitkiler!$D$2-Topraklar!$D$7)+Ayarlar!$B$3*ABS(Bitkiler!$E$2-Topraklar!$E$7)+Ayarlar!$B$4*ABS(Bitkiler!$F$2-Topraklar!$F$7)+Ayarlar!$B$5*ABS(Bitkiler!$G$2-Topraklar!$G$7)+Ayarlar!$B$6*IF(Bitkiler!$H$2=Topraklar!$H$7,0,1))/Ayarlar!$B$7)+IF(Topraklar!$K$7=Bitkiler!$C$2,0.002,IF(Topraklar!$L$7="Evet",0.001,0)))</f>
        <v/>
      </c>
      <c r="H3" s="16">
        <f>IF(OR(Topraklar!$J$8="Evet",AND(Topraklar!$L$8&lt;&gt;"Evet",Topraklar!$K$8&lt;&gt;Bitkiler!$C$2)),0,MAX(0,1-(Ayarlar!$B$2*ABS(Bitkiler!$D$2-Topraklar!$D$8)+Ayarlar!$B$3*ABS(Bitkiler!$E$2-Topraklar!$E$8)+Ayarlar!$B$4*ABS(Bitkiler!$F$2-Topraklar!$F$8)+Ayarlar!$B$5*ABS(Bitkiler!$G$2-Topraklar!$G$8)+Ayarlar!$B$6*IF(Bitkiler!$H$2=Topraklar!$H$8,0,1))/Ayarlar!$B$7)+IF(Topraklar!$K$8=Bitkiler!$C$2,0.002,IF(Topraklar!$L$8="Evet",0.001,0)))</f>
        <v/>
      </c>
      <c r="I3" s="16">
        <f>IF(OR(Topraklar!$J$9="Evet",AND(Topraklar!$L$9&lt;&gt;"Evet",Topraklar!$K$9&lt;&gt;Bitkiler!$C$2)),0,MAX(0,1-(Ayarlar!$B$2*ABS(Bitkiler!$D$2-Topraklar!$D$9)+Ayarlar!$B$3*ABS(Bitkiler!$E$2-Topraklar!$E$9)+Ayarlar!$B$4*ABS(Bitkiler!$F$2-Topraklar!$F$9)+Ayarlar!$B$5*ABS(Bitkiler!$G$2-Topraklar!$G$9)+Ayarlar!$B$6*IF(Bitkiler!$H$2=Topraklar!$H$9,0,1))/Ayarlar!$B$7)+IF(Topraklar!$K$9=Bitkiler!$C$2,0.002,IF(Topraklar!$L$9="Evet",0.001,0)))</f>
        <v/>
      </c>
      <c r="J3" s="16">
        <f>IF(OR(Topraklar!$J$10="Evet",AND(Topraklar!$L$10&lt;&gt;"Evet",Topraklar!$K$10&lt;&gt;Bitkiler!$C$2)),0,MAX(0,1-(Ayarlar!$B$2*ABS(Bitkiler!$D$2-Topraklar!$D$10)+Ayarlar!$B$3*ABS(Bitkiler!$E$2-Topraklar!$E$10)+Ayarlar!$B$4*ABS(Bitkiler!$F$2-Topraklar!$F$10)+Ayarlar!$B$5*ABS(Bitkiler!$G$2-Topraklar!$G$10)+Ayarlar!$B$6*IF(Bitkiler!$H$2=Topraklar!$H$10,0,1))/Ayarlar!$B$7)+IF(Topraklar!$K$10=Bitkiler!$C$2,0.002,IF(Topraklar!$L$10="Evet",0.001,0)))</f>
        <v/>
      </c>
      <c r="K3" s="16">
        <f>IF(OR(Topraklar!$J$11="Evet",AND(Topraklar!$L$11&lt;&gt;"Evet",Topraklar!$K$11&lt;&gt;Bitkiler!$C$2)),0,MAX(0,1-(Ayarlar!$B$2*ABS(Bitkiler!$D$2-Topraklar!$D$11)+Ayarlar!$B$3*ABS(Bitkiler!$E$2-Topraklar!$E$11)+Ayarlar!$B$4*ABS(Bitkiler!$F$2-Topraklar!$F$11)+Ayarlar!$B$5*ABS(Bitkiler!$G$2-Topraklar!$G$11)+Ayarlar!$B$6*IF(Bitkiler!$H$2=Topraklar!$H$11,0,1))/Ayarlar!$B$7)+IF(Topraklar!$K$11=Bitkiler!$C$2,0.002,IF(Topraklar!$L$11="Evet",0.001,0)))</f>
        <v/>
      </c>
      <c r="L3" s="16">
        <f>IF(OR(Topraklar!$J$12="Evet",AND(Topraklar!$L$12&lt;&gt;"Evet",Topraklar!$K$12&lt;&gt;Bitkiler!$C$2)),0,MAX(0,1-(Ayarlar!$B$2*ABS(Bitkiler!$D$2-Topraklar!$D$12)+Ayarlar!$B$3*ABS(Bitkiler!$E$2-Topraklar!$E$12)+Ayarlar!$B$4*ABS(Bitkiler!$F$2-Topraklar!$F$12)+Ayarlar!$B$5*ABS(Bitkiler!$G$2-Topraklar!$G$12)+Ayarlar!$B$6*IF(Bitkiler!$H$2=Topraklar!$H$12,0,1))/Ayarlar!$B$7)+IF(Topraklar!$K$12=Bitkiler!$C$2,0.002,IF(Topraklar!$L$12="Evet",0.001,0)))</f>
        <v/>
      </c>
      <c r="M3" s="16">
        <f>IF(OR(Topraklar!$J$13="Evet",AND(Topraklar!$L$13&lt;&gt;"Evet",Topraklar!$K$13&lt;&gt;Bitkiler!$C$2)),0,MAX(0,1-(Ayarlar!$B$2*ABS(Bitkiler!$D$2-Topraklar!$D$13)+Ayarlar!$B$3*ABS(Bitkiler!$E$2-Topraklar!$E$13)+Ayarlar!$B$4*ABS(Bitkiler!$F$2-Topraklar!$F$13)+Ayarlar!$B$5*ABS(Bitkiler!$G$2-Topraklar!$G$13)+Ayarlar!$B$6*IF(Bitkiler!$H$2=Topraklar!$H$13,0,1))/Ayarlar!$B$7)+IF(Topraklar!$K$13=Bitkiler!$C$2,0.002,IF(Topraklar!$L$13="Evet",0.001,0)))</f>
        <v/>
      </c>
      <c r="N3" s="16">
        <f>IF(OR(Topraklar!$J$14="Evet",AND(Topraklar!$L$14&lt;&gt;"Evet",Topraklar!$K$14&lt;&gt;Bitkiler!$C$2)),0,MAX(0,1-(Ayarlar!$B$2*ABS(Bitkiler!$D$2-Topraklar!$D$14)+Ayarlar!$B$3*ABS(Bitkiler!$E$2-Topraklar!$E$14)+Ayarlar!$B$4*ABS(Bitkiler!$F$2-Topraklar!$F$14)+Ayarlar!$B$5*ABS(Bitkiler!$G$2-Topraklar!$G$14)+Ayarlar!$B$6*IF(Bitkiler!$H$2=Topraklar!$H$14,0,1))/Ayarlar!$B$7)+IF(Topraklar!$K$14=Bitkiler!$C$2,0.002,IF(Topraklar!$L$14="Evet",0.001,0)))</f>
        <v/>
      </c>
      <c r="O3" s="16">
        <f>IF(OR(Topraklar!$J$15="Evet",AND(Topraklar!$L$15&lt;&gt;"Evet",Topraklar!$K$15&lt;&gt;Bitkiler!$C$2)),0,MAX(0,1-(Ayarlar!$B$2*ABS(Bitkiler!$D$2-Topraklar!$D$15)+Ayarlar!$B$3*ABS(Bitkiler!$E$2-Topraklar!$E$15)+Ayarlar!$B$4*ABS(Bitkiler!$F$2-Topraklar!$F$15)+Ayarlar!$B$5*ABS(Bitkiler!$G$2-Topraklar!$G$15)+Ayarlar!$B$6*IF(Bitkiler!$H$2=Topraklar!$H$15,0,1))/Ayarlar!$B$7)+IF(Topraklar!$K$15=Bitkiler!$C$2,0.002,IF(Topraklar!$L$15="Evet",0.001,0)))</f>
        <v/>
      </c>
      <c r="P3" s="16">
        <f>IF(OR(Topraklar!$J$16="Evet",AND(Topraklar!$L$16&lt;&gt;"Evet",Topraklar!$K$16&lt;&gt;Bitkiler!$C$2)),0,MAX(0,1-(Ayarlar!$B$2*ABS(Bitkiler!$D$2-Topraklar!$D$16)+Ayarlar!$B$3*ABS(Bitkiler!$E$2-Topraklar!$E$16)+Ayarlar!$B$4*ABS(Bitkiler!$F$2-Topraklar!$F$16)+Ayarlar!$B$5*ABS(Bitkiler!$G$2-Topraklar!$G$16)+Ayarlar!$B$6*IF(Bitkiler!$H$2=Topraklar!$H$16,0,1))/Ayarlar!$B$7)+IF(Topraklar!$K$16=Bitkiler!$C$2,0.002,IF(Topraklar!$L$16="Evet",0.001,0)))</f>
        <v/>
      </c>
      <c r="Q3" s="16">
        <f>IF(OR(Topraklar!$J$17="Evet",AND(Topraklar!$L$17&lt;&gt;"Evet",Topraklar!$K$17&lt;&gt;Bitkiler!$C$2)),0,MAX(0,1-(Ayarlar!$B$2*ABS(Bitkiler!$D$2-Topraklar!$D$17)+Ayarlar!$B$3*ABS(Bitkiler!$E$2-Topraklar!$E$17)+Ayarlar!$B$4*ABS(Bitkiler!$F$2-Topraklar!$F$17)+Ayarlar!$B$5*ABS(Bitkiler!$G$2-Topraklar!$G$17)+Ayarlar!$B$6*IF(Bitkiler!$H$2=Topraklar!$H$17,0,1))/Ayarlar!$B$7)+IF(Topraklar!$K$17=Bitkiler!$C$2,0.002,IF(Topraklar!$L$17="Evet",0.001,0)))</f>
        <v/>
      </c>
      <c r="R3" s="16">
        <f>IF(OR(Topraklar!$J$18="Evet",AND(Topraklar!$L$18&lt;&gt;"Evet",Topraklar!$K$18&lt;&gt;Bitkiler!$C$2)),0,MAX(0,1-(Ayarlar!$B$2*ABS(Bitkiler!$D$2-Topraklar!$D$18)+Ayarlar!$B$3*ABS(Bitkiler!$E$2-Topraklar!$E$18)+Ayarlar!$B$4*ABS(Bitkiler!$F$2-Topraklar!$F$18)+Ayarlar!$B$5*ABS(Bitkiler!$G$2-Topraklar!$G$18)+Ayarlar!$B$6*IF(Bitkiler!$H$2=Topraklar!$H$18,0,1))/Ayarlar!$B$7)+IF(Topraklar!$K$18=Bitkiler!$C$2,0.002,IF(Topraklar!$L$18="Evet",0.001,0)))</f>
        <v/>
      </c>
      <c r="S3" s="16">
        <f>IF(OR(Topraklar!$J$19="Evet",AND(Topraklar!$L$19&lt;&gt;"Evet",Topraklar!$K$19&lt;&gt;Bitkiler!$C$2)),0,MAX(0,1-(Ayarlar!$B$2*ABS(Bitkiler!$D$2-Topraklar!$D$19)+Ayarlar!$B$3*ABS(Bitkiler!$E$2-Topraklar!$E$19)+Ayarlar!$B$4*ABS(Bitkiler!$F$2-Topraklar!$F$19)+Ayarlar!$B$5*ABS(Bitkiler!$G$2-Topraklar!$G$19)+Ayarlar!$B$6*IF(Bitkiler!$H$2=Topraklar!$H$19,0,1))/Ayarlar!$B$7)+IF(Topraklar!$K$19=Bitkiler!$C$2,0.002,IF(Topraklar!$L$19="Evet",0.001,0)))</f>
        <v/>
      </c>
      <c r="T3" s="16">
        <f>IF(OR(Topraklar!$J$20="Evet",AND(Topraklar!$L$20&lt;&gt;"Evet",Topraklar!$K$20&lt;&gt;Bitkiler!$C$2)),0,MAX(0,1-(Ayarlar!$B$2*ABS(Bitkiler!$D$2-Topraklar!$D$20)+Ayarlar!$B$3*ABS(Bitkiler!$E$2-Topraklar!$E$20)+Ayarlar!$B$4*ABS(Bitkiler!$F$2-Topraklar!$F$20)+Ayarlar!$B$5*ABS(Bitkiler!$G$2-Topraklar!$G$20)+Ayarlar!$B$6*IF(Bitkiler!$H$2=Topraklar!$H$20,0,1))/Ayarlar!$B$7)+IF(Topraklar!$K$20=Bitkiler!$C$2,0.002,IF(Topraklar!$L$20="Evet",0.001,0)))</f>
        <v/>
      </c>
      <c r="U3" s="16">
        <f>IF(OR(Topraklar!$J$21="Evet",AND(Topraklar!$L$21&lt;&gt;"Evet",Topraklar!$K$21&lt;&gt;Bitkiler!$C$2)),0,MAX(0,1-(Ayarlar!$B$2*ABS(Bitkiler!$D$2-Topraklar!$D$21)+Ayarlar!$B$3*ABS(Bitkiler!$E$2-Topraklar!$E$21)+Ayarlar!$B$4*ABS(Bitkiler!$F$2-Topraklar!$F$21)+Ayarlar!$B$5*ABS(Bitkiler!$G$2-Topraklar!$G$21)+Ayarlar!$B$6*IF(Bitkiler!$H$2=Topraklar!$H$21,0,1))/Ayarlar!$B$7)+IF(Topraklar!$K$21=Bitkiler!$C$2,0.002,IF(Topraklar!$L$21="Evet",0.001,0)))</f>
        <v/>
      </c>
      <c r="V3" s="16">
        <f>IF(OR(Topraklar!$J$22="Evet",AND(Topraklar!$L$22&lt;&gt;"Evet",Topraklar!$K$22&lt;&gt;Bitkiler!$C$2)),0,MAX(0,1-(Ayarlar!$B$2*ABS(Bitkiler!$D$2-Topraklar!$D$22)+Ayarlar!$B$3*ABS(Bitkiler!$E$2-Topraklar!$E$22)+Ayarlar!$B$4*ABS(Bitkiler!$F$2-Topraklar!$F$22)+Ayarlar!$B$5*ABS(Bitkiler!$G$2-Topraklar!$G$22)+Ayarlar!$B$6*IF(Bitkiler!$H$2=Topraklar!$H$22,0,1))/Ayarlar!$B$7)+IF(Topraklar!$K$22=Bitkiler!$C$2,0.002,IF(Topraklar!$L$22="Evet",0.001,0)))</f>
        <v/>
      </c>
      <c r="W3" s="16">
        <f>IF(OR(Topraklar!$J$23="Evet",AND(Topraklar!$L$23&lt;&gt;"Evet",Topraklar!$K$23&lt;&gt;Bitkiler!$C$2)),0,MAX(0,1-(Ayarlar!$B$2*ABS(Bitkiler!$D$2-Topraklar!$D$23)+Ayarlar!$B$3*ABS(Bitkiler!$E$2-Topraklar!$E$23)+Ayarlar!$B$4*ABS(Bitkiler!$F$2-Topraklar!$F$23)+Ayarlar!$B$5*ABS(Bitkiler!$G$2-Topraklar!$G$23)+Ayarlar!$B$6*IF(Bitkiler!$H$2=Topraklar!$H$23,0,1))/Ayarlar!$B$7)+IF(Topraklar!$K$23=Bitkiler!$C$2,0.002,IF(Topraklar!$L$23="Evet",0.001,0)))</f>
        <v/>
      </c>
      <c r="X3" s="16">
        <f>IF(OR(Topraklar!$J$24="Evet",AND(Topraklar!$L$24&lt;&gt;"Evet",Topraklar!$K$24&lt;&gt;Bitkiler!$C$2)),0,MAX(0,1-(Ayarlar!$B$2*ABS(Bitkiler!$D$2-Topraklar!$D$24)+Ayarlar!$B$3*ABS(Bitkiler!$E$2-Topraklar!$E$24)+Ayarlar!$B$4*ABS(Bitkiler!$F$2-Topraklar!$F$24)+Ayarlar!$B$5*ABS(Bitkiler!$G$2-Topraklar!$G$24)+Ayarlar!$B$6*IF(Bitkiler!$H$2=Topraklar!$H$24,0,1))/Ayarlar!$B$7)+IF(Topraklar!$K$24=Bitkiler!$C$2,0.002,IF(Topraklar!$L$24="Evet",0.001,0)))</f>
        <v/>
      </c>
      <c r="Y3" s="16">
        <f>IF(OR(Topraklar!$J$25="Evet",AND(Topraklar!$L$25&lt;&gt;"Evet",Topraklar!$K$25&lt;&gt;Bitkiler!$C$2)),0,MAX(0,1-(Ayarlar!$B$2*ABS(Bitkiler!$D$2-Topraklar!$D$25)+Ayarlar!$B$3*ABS(Bitkiler!$E$2-Topraklar!$E$25)+Ayarlar!$B$4*ABS(Bitkiler!$F$2-Topraklar!$F$25)+Ayarlar!$B$5*ABS(Bitkiler!$G$2-Topraklar!$G$25)+Ayarlar!$B$6*IF(Bitkiler!$H$2=Topraklar!$H$25,0,1))/Ayarlar!$B$7)+IF(Topraklar!$K$25=Bitkiler!$C$2,0.002,IF(Topraklar!$L$25="Evet",0.001,0)))</f>
        <v/>
      </c>
      <c r="Z3" s="16">
        <f>IF(OR(Topraklar!$J$26="Evet",AND(Topraklar!$L$26&lt;&gt;"Evet",Topraklar!$K$26&lt;&gt;Bitkiler!$C$2)),0,MAX(0,1-(Ayarlar!$B$2*ABS(Bitkiler!$D$2-Topraklar!$D$26)+Ayarlar!$B$3*ABS(Bitkiler!$E$2-Topraklar!$E$26)+Ayarlar!$B$4*ABS(Bitkiler!$F$2-Topraklar!$F$26)+Ayarlar!$B$5*ABS(Bitkiler!$G$2-Topraklar!$G$26)+Ayarlar!$B$6*IF(Bitkiler!$H$2=Topraklar!$H$26,0,1))/Ayarlar!$B$7)+IF(Topraklar!$K$26=Bitkiler!$C$2,0.002,IF(Topraklar!$L$26="Evet",0.001,0)))</f>
        <v/>
      </c>
      <c r="AA3" s="16">
        <f>IF(OR(Topraklar!$J$27="Evet",AND(Topraklar!$L$27&lt;&gt;"Evet",Topraklar!$K$27&lt;&gt;Bitkiler!$C$2)),0,MAX(0,1-(Ayarlar!$B$2*ABS(Bitkiler!$D$2-Topraklar!$D$27)+Ayarlar!$B$3*ABS(Bitkiler!$E$2-Topraklar!$E$27)+Ayarlar!$B$4*ABS(Bitkiler!$F$2-Topraklar!$F$27)+Ayarlar!$B$5*ABS(Bitkiler!$G$2-Topraklar!$G$27)+Ayarlar!$B$6*IF(Bitkiler!$H$2=Topraklar!$H$27,0,1))/Ayarlar!$B$7)+IF(Topraklar!$K$27=Bitkiler!$C$2,0.002,IF(Topraklar!$L$27="Evet",0.001,0)))</f>
        <v/>
      </c>
      <c r="AB3" s="16">
        <f>IF(OR(Topraklar!$J$28="Evet",AND(Topraklar!$L$28&lt;&gt;"Evet",Topraklar!$K$28&lt;&gt;Bitkiler!$C$2)),0,MAX(0,1-(Ayarlar!$B$2*ABS(Bitkiler!$D$2-Topraklar!$D$28)+Ayarlar!$B$3*ABS(Bitkiler!$E$2-Topraklar!$E$28)+Ayarlar!$B$4*ABS(Bitkiler!$F$2-Topraklar!$F$28)+Ayarlar!$B$5*ABS(Bitkiler!$G$2-Topraklar!$G$28)+Ayarlar!$B$6*IF(Bitkiler!$H$2=Topraklar!$H$28,0,1))/Ayarlar!$B$7)+IF(Topraklar!$K$28=Bitkiler!$C$2,0.002,IF(Topraklar!$L$28="Evet",0.001,0)))</f>
        <v/>
      </c>
      <c r="AC3" s="16">
        <f>IF(OR(Topraklar!$J$29="Evet",AND(Topraklar!$L$29&lt;&gt;"Evet",Topraklar!$K$29&lt;&gt;Bitkiler!$C$2)),0,MAX(0,1-(Ayarlar!$B$2*ABS(Bitkiler!$D$2-Topraklar!$D$29)+Ayarlar!$B$3*ABS(Bitkiler!$E$2-Topraklar!$E$29)+Ayarlar!$B$4*ABS(Bitkiler!$F$2-Topraklar!$F$29)+Ayarlar!$B$5*ABS(Bitkiler!$G$2-Topraklar!$G$29)+Ayarlar!$B$6*IF(Bitkiler!$H$2=Topraklar!$H$29,0,1))/Ayarlar!$B$7)+IF(Topraklar!$K$29=Bitkiler!$C$2,0.002,IF(Topraklar!$L$29="Evet",0.001,0)))</f>
        <v/>
      </c>
      <c r="AD3" s="16">
        <f>IF(OR(Topraklar!$J$30="Evet",AND(Topraklar!$L$30&lt;&gt;"Evet",Topraklar!$K$30&lt;&gt;Bitkiler!$C$2)),0,MAX(0,1-(Ayarlar!$B$2*ABS(Bitkiler!$D$2-Topraklar!$D$30)+Ayarlar!$B$3*ABS(Bitkiler!$E$2-Topraklar!$E$30)+Ayarlar!$B$4*ABS(Bitkiler!$F$2-Topraklar!$F$30)+Ayarlar!$B$5*ABS(Bitkiler!$G$2-Topraklar!$G$30)+Ayarlar!$B$6*IF(Bitkiler!$H$2=Topraklar!$H$30,0,1))/Ayarlar!$B$7)+IF(Topraklar!$K$30=Bitkiler!$C$2,0.002,IF(Topraklar!$L$30="Evet",0.001,0)))</f>
        <v/>
      </c>
      <c r="AE3" s="16">
        <f>IF(OR(Topraklar!$J$31="Evet",AND(Topraklar!$L$31&lt;&gt;"Evet",Topraklar!$K$31&lt;&gt;Bitkiler!$C$2)),0,MAX(0,1-(Ayarlar!$B$2*ABS(Bitkiler!$D$2-Topraklar!$D$31)+Ayarlar!$B$3*ABS(Bitkiler!$E$2-Topraklar!$E$31)+Ayarlar!$B$4*ABS(Bitkiler!$F$2-Topraklar!$F$31)+Ayarlar!$B$5*ABS(Bitkiler!$G$2-Topraklar!$G$31)+Ayarlar!$B$6*IF(Bitkiler!$H$2=Topraklar!$H$31,0,1))/Ayarlar!$B$7)+IF(Topraklar!$K$31=Bitkiler!$C$2,0.002,IF(Topraklar!$L$31="Evet",0.001,0)))</f>
        <v/>
      </c>
      <c r="AF3" s="16">
        <f>IF(OR(Topraklar!$J$32="Evet",AND(Topraklar!$L$32&lt;&gt;"Evet",Topraklar!$K$32&lt;&gt;Bitkiler!$C$2)),0,MAX(0,1-(Ayarlar!$B$2*ABS(Bitkiler!$D$2-Topraklar!$D$32)+Ayarlar!$B$3*ABS(Bitkiler!$E$2-Topraklar!$E$32)+Ayarlar!$B$4*ABS(Bitkiler!$F$2-Topraklar!$F$32)+Ayarlar!$B$5*ABS(Bitkiler!$G$2-Topraklar!$G$32)+Ayarlar!$B$6*IF(Bitkiler!$H$2=Topraklar!$H$32,0,1))/Ayarlar!$B$7)+IF(Topraklar!$K$32=Bitkiler!$C$2,0.002,IF(Topraklar!$L$32="Evet",0.001,0)))</f>
        <v/>
      </c>
      <c r="AG3" s="16">
        <f>IF(OR(Topraklar!$J$33="Evet",AND(Topraklar!$L$33&lt;&gt;"Evet",Topraklar!$K$33&lt;&gt;Bitkiler!$C$2)),0,MAX(0,1-(Ayarlar!$B$2*ABS(Bitkiler!$D$2-Topraklar!$D$33)+Ayarlar!$B$3*ABS(Bitkiler!$E$2-Topraklar!$E$33)+Ayarlar!$B$4*ABS(Bitkiler!$F$2-Topraklar!$F$33)+Ayarlar!$B$5*ABS(Bitkiler!$G$2-Topraklar!$G$33)+Ayarlar!$B$6*IF(Bitkiler!$H$2=Topraklar!$H$33,0,1))/Ayarlar!$B$7)+IF(Topraklar!$K$33=Bitkiler!$C$2,0.002,IF(Topraklar!$L$33="Evet",0.001,0)))</f>
        <v/>
      </c>
      <c r="AH3" s="16">
        <f>IF(OR(Topraklar!$J$34="Evet",AND(Topraklar!$L$34&lt;&gt;"Evet",Topraklar!$K$34&lt;&gt;Bitkiler!$C$2)),0,MAX(0,1-(Ayarlar!$B$2*ABS(Bitkiler!$D$2-Topraklar!$D$34)+Ayarlar!$B$3*ABS(Bitkiler!$E$2-Topraklar!$E$34)+Ayarlar!$B$4*ABS(Bitkiler!$F$2-Topraklar!$F$34)+Ayarlar!$B$5*ABS(Bitkiler!$G$2-Topraklar!$G$34)+Ayarlar!$B$6*IF(Bitkiler!$H$2=Topraklar!$H$34,0,1))/Ayarlar!$B$7)+IF(Topraklar!$K$34=Bitkiler!$C$2,0.002,IF(Topraklar!$L$34="Evet",0.001,0)))</f>
        <v/>
      </c>
      <c r="AI3" s="16">
        <f>IF(OR(Topraklar!$J$35="Evet",AND(Topraklar!$L$35&lt;&gt;"Evet",Topraklar!$K$35&lt;&gt;Bitkiler!$C$2)),0,MAX(0,1-(Ayarlar!$B$2*ABS(Bitkiler!$D$2-Topraklar!$D$35)+Ayarlar!$B$3*ABS(Bitkiler!$E$2-Topraklar!$E$35)+Ayarlar!$B$4*ABS(Bitkiler!$F$2-Topraklar!$F$35)+Ayarlar!$B$5*ABS(Bitkiler!$G$2-Topraklar!$G$35)+Ayarlar!$B$6*IF(Bitkiler!$H$2=Topraklar!$H$35,0,1))/Ayarlar!$B$7)+IF(Topraklar!$K$35=Bitkiler!$C$2,0.002,IF(Topraklar!$L$35="Evet",0.001,0)))</f>
        <v/>
      </c>
      <c r="AJ3" s="16">
        <f>IF(OR(Topraklar!$J$36="Evet",AND(Topraklar!$L$36&lt;&gt;"Evet",Topraklar!$K$36&lt;&gt;Bitkiler!$C$2)),0,MAX(0,1-(Ayarlar!$B$2*ABS(Bitkiler!$D$2-Topraklar!$D$36)+Ayarlar!$B$3*ABS(Bitkiler!$E$2-Topraklar!$E$36)+Ayarlar!$B$4*ABS(Bitkiler!$F$2-Topraklar!$F$36)+Ayarlar!$B$5*ABS(Bitkiler!$G$2-Topraklar!$G$36)+Ayarlar!$B$6*IF(Bitkiler!$H$2=Topraklar!$H$36,0,1))/Ayarlar!$B$7)+IF(Topraklar!$K$36=Bitkiler!$C$2,0.002,IF(Topraklar!$L$36="Evet",0.001,0)))</f>
        <v/>
      </c>
      <c r="AK3" s="16">
        <f>IF(OR(Topraklar!$J$37="Evet",AND(Topraklar!$L$37&lt;&gt;"Evet",Topraklar!$K$37&lt;&gt;Bitkiler!$C$2)),0,MAX(0,1-(Ayarlar!$B$2*ABS(Bitkiler!$D$2-Topraklar!$D$37)+Ayarlar!$B$3*ABS(Bitkiler!$E$2-Topraklar!$E$37)+Ayarlar!$B$4*ABS(Bitkiler!$F$2-Topraklar!$F$37)+Ayarlar!$B$5*ABS(Bitkiler!$G$2-Topraklar!$G$37)+Ayarlar!$B$6*IF(Bitkiler!$H$2=Topraklar!$H$37,0,1))/Ayarlar!$B$7)+IF(Topraklar!$K$37=Bitkiler!$C$2,0.002,IF(Topraklar!$L$37="Evet",0.001,0)))</f>
        <v/>
      </c>
      <c r="AL3" s="16">
        <f>IF(OR(Topraklar!$J$38="Evet",AND(Topraklar!$L$38&lt;&gt;"Evet",Topraklar!$K$38&lt;&gt;Bitkiler!$C$2)),0,MAX(0,1-(Ayarlar!$B$2*ABS(Bitkiler!$D$2-Topraklar!$D$38)+Ayarlar!$B$3*ABS(Bitkiler!$E$2-Topraklar!$E$38)+Ayarlar!$B$4*ABS(Bitkiler!$F$2-Topraklar!$F$38)+Ayarlar!$B$5*ABS(Bitkiler!$G$2-Topraklar!$G$38)+Ayarlar!$B$6*IF(Bitkiler!$H$2=Topraklar!$H$38,0,1))/Ayarlar!$B$7)+IF(Topraklar!$K$38=Bitkiler!$C$2,0.002,IF(Topraklar!$L$38="Evet",0.001,0)))</f>
        <v/>
      </c>
      <c r="AM3" s="16">
        <f>IF(OR(Topraklar!$J$39="Evet",AND(Topraklar!$L$39&lt;&gt;"Evet",Topraklar!$K$39&lt;&gt;Bitkiler!$C$2)),0,MAX(0,1-(Ayarlar!$B$2*ABS(Bitkiler!$D$2-Topraklar!$D$39)+Ayarlar!$B$3*ABS(Bitkiler!$E$2-Topraklar!$E$39)+Ayarlar!$B$4*ABS(Bitkiler!$F$2-Topraklar!$F$39)+Ayarlar!$B$5*ABS(Bitkiler!$G$2-Topraklar!$G$39)+Ayarlar!$B$6*IF(Bitkiler!$H$2=Topraklar!$H$39,0,1))/Ayarlar!$B$7)+IF(Topraklar!$K$39=Bitkiler!$C$2,0.002,IF(Topraklar!$L$39="Evet",0.001,0)))</f>
        <v/>
      </c>
      <c r="AN3" s="16">
        <f>IF(OR(Topraklar!$J$40="Evet",AND(Topraklar!$L$40&lt;&gt;"Evet",Topraklar!$K$40&lt;&gt;Bitkiler!$C$2)),0,MAX(0,1-(Ayarlar!$B$2*ABS(Bitkiler!$D$2-Topraklar!$D$40)+Ayarlar!$B$3*ABS(Bitkiler!$E$2-Topraklar!$E$40)+Ayarlar!$B$4*ABS(Bitkiler!$F$2-Topraklar!$F$40)+Ayarlar!$B$5*ABS(Bitkiler!$G$2-Topraklar!$G$40)+Ayarlar!$B$6*IF(Bitkiler!$H$2=Topraklar!$H$40,0,1))/Ayarlar!$B$7)+IF(Topraklar!$K$40=Bitkiler!$C$2,0.002,IF(Topraklar!$L$40="Evet",0.001,0)))</f>
        <v/>
      </c>
      <c r="AO3" s="16">
        <f>IF(OR(Topraklar!$J$41="Evet",AND(Topraklar!$L$41&lt;&gt;"Evet",Topraklar!$K$41&lt;&gt;Bitkiler!$C$2)),0,MAX(0,1-(Ayarlar!$B$2*ABS(Bitkiler!$D$2-Topraklar!$D$41)+Ayarlar!$B$3*ABS(Bitkiler!$E$2-Topraklar!$E$41)+Ayarlar!$B$4*ABS(Bitkiler!$F$2-Topraklar!$F$41)+Ayarlar!$B$5*ABS(Bitkiler!$G$2-Topraklar!$G$41)+Ayarlar!$B$6*IF(Bitkiler!$H$2=Topraklar!$H$41,0,1))/Ayarlar!$B$7)+IF(Topraklar!$K$41=Bitkiler!$C$2,0.002,IF(Topraklar!$L$41="Evet",0.001,0)))</f>
        <v/>
      </c>
      <c r="AP3" s="16">
        <f>IF(OR(Topraklar!$J$42="Evet",AND(Topraklar!$L$42&lt;&gt;"Evet",Topraklar!$K$42&lt;&gt;Bitkiler!$C$2)),0,MAX(0,1-(Ayarlar!$B$2*ABS(Bitkiler!$D$2-Topraklar!$D$42)+Ayarlar!$B$3*ABS(Bitkiler!$E$2-Topraklar!$E$42)+Ayarlar!$B$4*ABS(Bitkiler!$F$2-Topraklar!$F$42)+Ayarlar!$B$5*ABS(Bitkiler!$G$2-Topraklar!$G$42)+Ayarlar!$B$6*IF(Bitkiler!$H$2=Topraklar!$H$42,0,1))/Ayarlar!$B$7)+IF(Topraklar!$K$42=Bitkiler!$C$2,0.002,IF(Topraklar!$L$42="Evet",0.001,0)))</f>
        <v/>
      </c>
      <c r="AQ3" s="16">
        <f>IF(OR(Topraklar!$J$43="Evet",AND(Topraklar!$L$43&lt;&gt;"Evet",Topraklar!$K$43&lt;&gt;Bitkiler!$C$2)),0,MAX(0,1-(Ayarlar!$B$2*ABS(Bitkiler!$D$2-Topraklar!$D$43)+Ayarlar!$B$3*ABS(Bitkiler!$E$2-Topraklar!$E$43)+Ayarlar!$B$4*ABS(Bitkiler!$F$2-Topraklar!$F$43)+Ayarlar!$B$5*ABS(Bitkiler!$G$2-Topraklar!$G$43)+Ayarlar!$B$6*IF(Bitkiler!$H$2=Topraklar!$H$43,0,1))/Ayarlar!$B$7)+IF(Topraklar!$K$43=Bitkiler!$C$2,0.002,IF(Topraklar!$L$43="Evet",0.001,0)))</f>
        <v/>
      </c>
      <c r="AR3" s="16">
        <f>IF(OR(Topraklar!$J$44="Evet",AND(Topraklar!$L$44&lt;&gt;"Evet",Topraklar!$K$44&lt;&gt;Bitkiler!$C$2)),0,MAX(0,1-(Ayarlar!$B$2*ABS(Bitkiler!$D$2-Topraklar!$D$44)+Ayarlar!$B$3*ABS(Bitkiler!$E$2-Topraklar!$E$44)+Ayarlar!$B$4*ABS(Bitkiler!$F$2-Topraklar!$F$44)+Ayarlar!$B$5*ABS(Bitkiler!$G$2-Topraklar!$G$44)+Ayarlar!$B$6*IF(Bitkiler!$H$2=Topraklar!$H$44,0,1))/Ayarlar!$B$7)+IF(Topraklar!$K$44=Bitkiler!$C$2,0.002,IF(Topraklar!$L$44="Evet",0.001,0)))</f>
        <v/>
      </c>
      <c r="AS3" s="16">
        <f>IF(OR(Topraklar!$J$45="Evet",AND(Topraklar!$L$45&lt;&gt;"Evet",Topraklar!$K$45&lt;&gt;Bitkiler!$C$2)),0,MAX(0,1-(Ayarlar!$B$2*ABS(Bitkiler!$D$2-Topraklar!$D$45)+Ayarlar!$B$3*ABS(Bitkiler!$E$2-Topraklar!$E$45)+Ayarlar!$B$4*ABS(Bitkiler!$F$2-Topraklar!$F$45)+Ayarlar!$B$5*ABS(Bitkiler!$G$2-Topraklar!$G$45)+Ayarlar!$B$6*IF(Bitkiler!$H$2=Topraklar!$H$45,0,1))/Ayarlar!$B$7)+IF(Topraklar!$K$45=Bitkiler!$C$2,0.002,IF(Topraklar!$L$45="Evet",0.001,0)))</f>
        <v/>
      </c>
      <c r="AT3" s="16">
        <f>IF(OR(Topraklar!$J$46="Evet",AND(Topraklar!$L$46&lt;&gt;"Evet",Topraklar!$K$46&lt;&gt;Bitkiler!$C$2)),0,MAX(0,1-(Ayarlar!$B$2*ABS(Bitkiler!$D$2-Topraklar!$D$46)+Ayarlar!$B$3*ABS(Bitkiler!$E$2-Topraklar!$E$46)+Ayarlar!$B$4*ABS(Bitkiler!$F$2-Topraklar!$F$46)+Ayarlar!$B$5*ABS(Bitkiler!$G$2-Topraklar!$G$46)+Ayarlar!$B$6*IF(Bitkiler!$H$2=Topraklar!$H$46,0,1))/Ayarlar!$B$7)+IF(Topraklar!$K$46=Bitkiler!$C$2,0.002,IF(Topraklar!$L$46="Evet",0.001,0)))</f>
        <v/>
      </c>
      <c r="AU3" s="16">
        <f>IF(OR(Topraklar!$J$47="Evet",AND(Topraklar!$L$47&lt;&gt;"Evet",Topraklar!$K$47&lt;&gt;Bitkiler!$C$2)),0,MAX(0,1-(Ayarlar!$B$2*ABS(Bitkiler!$D$2-Topraklar!$D$47)+Ayarlar!$B$3*ABS(Bitkiler!$E$2-Topraklar!$E$47)+Ayarlar!$B$4*ABS(Bitkiler!$F$2-Topraklar!$F$47)+Ayarlar!$B$5*ABS(Bitkiler!$G$2-Topraklar!$G$47)+Ayarlar!$B$6*IF(Bitkiler!$H$2=Topraklar!$H$47,0,1))/Ayarlar!$B$7)+IF(Topraklar!$K$47=Bitkiler!$C$2,0.002,IF(Topraklar!$L$47="Evet",0.001,0)))</f>
        <v/>
      </c>
      <c r="AV3" s="16">
        <f>IF(OR(Topraklar!$J$48="Evet",AND(Topraklar!$L$48&lt;&gt;"Evet",Topraklar!$K$48&lt;&gt;Bitkiler!$C$2)),0,MAX(0,1-(Ayarlar!$B$2*ABS(Bitkiler!$D$2-Topraklar!$D$48)+Ayarlar!$B$3*ABS(Bitkiler!$E$2-Topraklar!$E$48)+Ayarlar!$B$4*ABS(Bitkiler!$F$2-Topraklar!$F$48)+Ayarlar!$B$5*ABS(Bitkiler!$G$2-Topraklar!$G$48)+Ayarlar!$B$6*IF(Bitkiler!$H$2=Topraklar!$H$48,0,1))/Ayarlar!$B$7)+IF(Topraklar!$K$48=Bitkiler!$C$2,0.002,IF(Topraklar!$L$48="Evet",0.001,0)))</f>
        <v/>
      </c>
      <c r="AW3" s="16">
        <f>IF(OR(Topraklar!$J$49="Evet",AND(Topraklar!$L$49&lt;&gt;"Evet",Topraklar!$K$49&lt;&gt;Bitkiler!$C$2)),0,MAX(0,1-(Ayarlar!$B$2*ABS(Bitkiler!$D$2-Topraklar!$D$49)+Ayarlar!$B$3*ABS(Bitkiler!$E$2-Topraklar!$E$49)+Ayarlar!$B$4*ABS(Bitkiler!$F$2-Topraklar!$F$49)+Ayarlar!$B$5*ABS(Bitkiler!$G$2-Topraklar!$G$49)+Ayarlar!$B$6*IF(Bitkiler!$H$2=Topraklar!$H$49,0,1))/Ayarlar!$B$7)+IF(Topraklar!$K$49=Bitkiler!$C$2,0.002,IF(Topraklar!$L$49="Evet",0.001,0)))</f>
        <v/>
      </c>
      <c r="AX3" s="16">
        <f>IF(OR(Topraklar!$J$50="Evet",AND(Topraklar!$L$50&lt;&gt;"Evet",Topraklar!$K$50&lt;&gt;Bitkiler!$C$2)),0,MAX(0,1-(Ayarlar!$B$2*ABS(Bitkiler!$D$2-Topraklar!$D$50)+Ayarlar!$B$3*ABS(Bitkiler!$E$2-Topraklar!$E$50)+Ayarlar!$B$4*ABS(Bitkiler!$F$2-Topraklar!$F$50)+Ayarlar!$B$5*ABS(Bitkiler!$G$2-Topraklar!$G$50)+Ayarlar!$B$6*IF(Bitkiler!$H$2=Topraklar!$H$50,0,1))/Ayarlar!$B$7)+IF(Topraklar!$K$50=Bitkiler!$C$2,0.002,IF(Topraklar!$L$50="Evet",0.001,0)))</f>
        <v/>
      </c>
      <c r="AY3" s="16">
        <f>IF(OR(Topraklar!$J$51="Evet",AND(Topraklar!$L$51&lt;&gt;"Evet",Topraklar!$K$51&lt;&gt;Bitkiler!$C$2)),0,MAX(0,1-(Ayarlar!$B$2*ABS(Bitkiler!$D$2-Topraklar!$D$51)+Ayarlar!$B$3*ABS(Bitkiler!$E$2-Topraklar!$E$51)+Ayarlar!$B$4*ABS(Bitkiler!$F$2-Topraklar!$F$51)+Ayarlar!$B$5*ABS(Bitkiler!$G$2-Topraklar!$G$51)+Ayarlar!$B$6*IF(Bitkiler!$H$2=Topraklar!$H$51,0,1))/Ayarlar!$B$7)+IF(Topraklar!$K$51=Bitkiler!$C$2,0.002,IF(Topraklar!$L$51="Evet",0.001,0)))</f>
        <v/>
      </c>
    </row>
    <row r="4">
      <c r="A4" s="15">
        <f>Bitkiler!A3</f>
        <v/>
      </c>
      <c r="B4" s="16">
        <f>IF(OR(Topraklar!$J$2="Evet",AND(Topraklar!$L$2&lt;&gt;"Evet",Topraklar!$K$2&lt;&gt;Bitkiler!$C$3)),0,MAX(0,1-(Ayarlar!$B$2*ABS(Bitkiler!$D$3-Topraklar!$D$2)+Ayarlar!$B$3*ABS(Bitkiler!$E$3-Topraklar!$E$2)+Ayarlar!$B$4*ABS(Bitkiler!$F$3-Topraklar!$F$2)+Ayarlar!$B$5*ABS(Bitkiler!$G$3-Topraklar!$G$2)+Ayarlar!$B$6*IF(Bitkiler!$H$3=Topraklar!$H$2,0,1))/Ayarlar!$B$7)+IF(Topraklar!$K$2=Bitkiler!$C$3,0.002,IF(Topraklar!$L$2="Evet",0.001,0)))</f>
        <v/>
      </c>
      <c r="C4" s="16">
        <f>IF(OR(Topraklar!$J$3="Evet",AND(Topraklar!$L$3&lt;&gt;"Evet",Topraklar!$K$3&lt;&gt;Bitkiler!$C$3)),0,MAX(0,1-(Ayarlar!$B$2*ABS(Bitkiler!$D$3-Topraklar!$D$3)+Ayarlar!$B$3*ABS(Bitkiler!$E$3-Topraklar!$E$3)+Ayarlar!$B$4*ABS(Bitkiler!$F$3-Topraklar!$F$3)+Ayarlar!$B$5*ABS(Bitkiler!$G$3-Topraklar!$G$3)+Ayarlar!$B$6*IF(Bitkiler!$H$3=Topraklar!$H$3,0,1))/Ayarlar!$B$7)+IF(Topraklar!$K$3=Bitkiler!$C$3,0.002,IF(Topraklar!$L$3="Evet",0.001,0)))</f>
        <v/>
      </c>
      <c r="D4" s="16">
        <f>IF(OR(Topraklar!$J$4="Evet",AND(Topraklar!$L$4&lt;&gt;"Evet",Topraklar!$K$4&lt;&gt;Bitkiler!$C$3)),0,MAX(0,1-(Ayarlar!$B$2*ABS(Bitkiler!$D$3-Topraklar!$D$4)+Ayarlar!$B$3*ABS(Bitkiler!$E$3-Topraklar!$E$4)+Ayarlar!$B$4*ABS(Bitkiler!$F$3-Topraklar!$F$4)+Ayarlar!$B$5*ABS(Bitkiler!$G$3-Topraklar!$G$4)+Ayarlar!$B$6*IF(Bitkiler!$H$3=Topraklar!$H$4,0,1))/Ayarlar!$B$7)+IF(Topraklar!$K$4=Bitkiler!$C$3,0.002,IF(Topraklar!$L$4="Evet",0.001,0)))</f>
        <v/>
      </c>
      <c r="E4" s="16">
        <f>IF(OR(Topraklar!$J$5="Evet",AND(Topraklar!$L$5&lt;&gt;"Evet",Topraklar!$K$5&lt;&gt;Bitkiler!$C$3)),0,MAX(0,1-(Ayarlar!$B$2*ABS(Bitkiler!$D$3-Topraklar!$D$5)+Ayarlar!$B$3*ABS(Bitkiler!$E$3-Topraklar!$E$5)+Ayarlar!$B$4*ABS(Bitkiler!$F$3-Topraklar!$F$5)+Ayarlar!$B$5*ABS(Bitkiler!$G$3-Topraklar!$G$5)+Ayarlar!$B$6*IF(Bitkiler!$H$3=Topraklar!$H$5,0,1))/Ayarlar!$B$7)+IF(Topraklar!$K$5=Bitkiler!$C$3,0.002,IF(Topraklar!$L$5="Evet",0.001,0)))</f>
        <v/>
      </c>
      <c r="F4" s="16">
        <f>IF(OR(Topraklar!$J$6="Evet",AND(Topraklar!$L$6&lt;&gt;"Evet",Topraklar!$K$6&lt;&gt;Bitkiler!$C$3)),0,MAX(0,1-(Ayarlar!$B$2*ABS(Bitkiler!$D$3-Topraklar!$D$6)+Ayarlar!$B$3*ABS(Bitkiler!$E$3-Topraklar!$E$6)+Ayarlar!$B$4*ABS(Bitkiler!$F$3-Topraklar!$F$6)+Ayarlar!$B$5*ABS(Bitkiler!$G$3-Topraklar!$G$6)+Ayarlar!$B$6*IF(Bitkiler!$H$3=Topraklar!$H$6,0,1))/Ayarlar!$B$7)+IF(Topraklar!$K$6=Bitkiler!$C$3,0.002,IF(Topraklar!$L$6="Evet",0.001,0)))</f>
        <v/>
      </c>
      <c r="G4" s="16">
        <f>IF(OR(Topraklar!$J$7="Evet",AND(Topraklar!$L$7&lt;&gt;"Evet",Topraklar!$K$7&lt;&gt;Bitkiler!$C$3)),0,MAX(0,1-(Ayarlar!$B$2*ABS(Bitkiler!$D$3-Topraklar!$D$7)+Ayarlar!$B$3*ABS(Bitkiler!$E$3-Topraklar!$E$7)+Ayarlar!$B$4*ABS(Bitkiler!$F$3-Topraklar!$F$7)+Ayarlar!$B$5*ABS(Bitkiler!$G$3-Topraklar!$G$7)+Ayarlar!$B$6*IF(Bitkiler!$H$3=Topraklar!$H$7,0,1))/Ayarlar!$B$7)+IF(Topraklar!$K$7=Bitkiler!$C$3,0.002,IF(Topraklar!$L$7="Evet",0.001,0)))</f>
        <v/>
      </c>
      <c r="H4" s="16">
        <f>IF(OR(Topraklar!$J$8="Evet",AND(Topraklar!$L$8&lt;&gt;"Evet",Topraklar!$K$8&lt;&gt;Bitkiler!$C$3)),0,MAX(0,1-(Ayarlar!$B$2*ABS(Bitkiler!$D$3-Topraklar!$D$8)+Ayarlar!$B$3*ABS(Bitkiler!$E$3-Topraklar!$E$8)+Ayarlar!$B$4*ABS(Bitkiler!$F$3-Topraklar!$F$8)+Ayarlar!$B$5*ABS(Bitkiler!$G$3-Topraklar!$G$8)+Ayarlar!$B$6*IF(Bitkiler!$H$3=Topraklar!$H$8,0,1))/Ayarlar!$B$7)+IF(Topraklar!$K$8=Bitkiler!$C$3,0.002,IF(Topraklar!$L$8="Evet",0.001,0)))</f>
        <v/>
      </c>
      <c r="I4" s="16">
        <f>IF(OR(Topraklar!$J$9="Evet",AND(Topraklar!$L$9&lt;&gt;"Evet",Topraklar!$K$9&lt;&gt;Bitkiler!$C$3)),0,MAX(0,1-(Ayarlar!$B$2*ABS(Bitkiler!$D$3-Topraklar!$D$9)+Ayarlar!$B$3*ABS(Bitkiler!$E$3-Topraklar!$E$9)+Ayarlar!$B$4*ABS(Bitkiler!$F$3-Topraklar!$F$9)+Ayarlar!$B$5*ABS(Bitkiler!$G$3-Topraklar!$G$9)+Ayarlar!$B$6*IF(Bitkiler!$H$3=Topraklar!$H$9,0,1))/Ayarlar!$B$7)+IF(Topraklar!$K$9=Bitkiler!$C$3,0.002,IF(Topraklar!$L$9="Evet",0.001,0)))</f>
        <v/>
      </c>
      <c r="J4" s="16">
        <f>IF(OR(Topraklar!$J$10="Evet",AND(Topraklar!$L$10&lt;&gt;"Evet",Topraklar!$K$10&lt;&gt;Bitkiler!$C$3)),0,MAX(0,1-(Ayarlar!$B$2*ABS(Bitkiler!$D$3-Topraklar!$D$10)+Ayarlar!$B$3*ABS(Bitkiler!$E$3-Topraklar!$E$10)+Ayarlar!$B$4*ABS(Bitkiler!$F$3-Topraklar!$F$10)+Ayarlar!$B$5*ABS(Bitkiler!$G$3-Topraklar!$G$10)+Ayarlar!$B$6*IF(Bitkiler!$H$3=Topraklar!$H$10,0,1))/Ayarlar!$B$7)+IF(Topraklar!$K$10=Bitkiler!$C$3,0.002,IF(Topraklar!$L$10="Evet",0.001,0)))</f>
        <v/>
      </c>
      <c r="K4" s="16">
        <f>IF(OR(Topraklar!$J$11="Evet",AND(Topraklar!$L$11&lt;&gt;"Evet",Topraklar!$K$11&lt;&gt;Bitkiler!$C$3)),0,MAX(0,1-(Ayarlar!$B$2*ABS(Bitkiler!$D$3-Topraklar!$D$11)+Ayarlar!$B$3*ABS(Bitkiler!$E$3-Topraklar!$E$11)+Ayarlar!$B$4*ABS(Bitkiler!$F$3-Topraklar!$F$11)+Ayarlar!$B$5*ABS(Bitkiler!$G$3-Topraklar!$G$11)+Ayarlar!$B$6*IF(Bitkiler!$H$3=Topraklar!$H$11,0,1))/Ayarlar!$B$7)+IF(Topraklar!$K$11=Bitkiler!$C$3,0.002,IF(Topraklar!$L$11="Evet",0.001,0)))</f>
        <v/>
      </c>
      <c r="L4" s="16">
        <f>IF(OR(Topraklar!$J$12="Evet",AND(Topraklar!$L$12&lt;&gt;"Evet",Topraklar!$K$12&lt;&gt;Bitkiler!$C$3)),0,MAX(0,1-(Ayarlar!$B$2*ABS(Bitkiler!$D$3-Topraklar!$D$12)+Ayarlar!$B$3*ABS(Bitkiler!$E$3-Topraklar!$E$12)+Ayarlar!$B$4*ABS(Bitkiler!$F$3-Topraklar!$F$12)+Ayarlar!$B$5*ABS(Bitkiler!$G$3-Topraklar!$G$12)+Ayarlar!$B$6*IF(Bitkiler!$H$3=Topraklar!$H$12,0,1))/Ayarlar!$B$7)+IF(Topraklar!$K$12=Bitkiler!$C$3,0.002,IF(Topraklar!$L$12="Evet",0.001,0)))</f>
        <v/>
      </c>
      <c r="M4" s="16">
        <f>IF(OR(Topraklar!$J$13="Evet",AND(Topraklar!$L$13&lt;&gt;"Evet",Topraklar!$K$13&lt;&gt;Bitkiler!$C$3)),0,MAX(0,1-(Ayarlar!$B$2*ABS(Bitkiler!$D$3-Topraklar!$D$13)+Ayarlar!$B$3*ABS(Bitkiler!$E$3-Topraklar!$E$13)+Ayarlar!$B$4*ABS(Bitkiler!$F$3-Topraklar!$F$13)+Ayarlar!$B$5*ABS(Bitkiler!$G$3-Topraklar!$G$13)+Ayarlar!$B$6*IF(Bitkiler!$H$3=Topraklar!$H$13,0,1))/Ayarlar!$B$7)+IF(Topraklar!$K$13=Bitkiler!$C$3,0.002,IF(Topraklar!$L$13="Evet",0.001,0)))</f>
        <v/>
      </c>
      <c r="N4" s="16">
        <f>IF(OR(Topraklar!$J$14="Evet",AND(Topraklar!$L$14&lt;&gt;"Evet",Topraklar!$K$14&lt;&gt;Bitkiler!$C$3)),0,MAX(0,1-(Ayarlar!$B$2*ABS(Bitkiler!$D$3-Topraklar!$D$14)+Ayarlar!$B$3*ABS(Bitkiler!$E$3-Topraklar!$E$14)+Ayarlar!$B$4*ABS(Bitkiler!$F$3-Topraklar!$F$14)+Ayarlar!$B$5*ABS(Bitkiler!$G$3-Topraklar!$G$14)+Ayarlar!$B$6*IF(Bitkiler!$H$3=Topraklar!$H$14,0,1))/Ayarlar!$B$7)+IF(Topraklar!$K$14=Bitkiler!$C$3,0.002,IF(Topraklar!$L$14="Evet",0.001,0)))</f>
        <v/>
      </c>
      <c r="O4" s="16">
        <f>IF(OR(Topraklar!$J$15="Evet",AND(Topraklar!$L$15&lt;&gt;"Evet",Topraklar!$K$15&lt;&gt;Bitkiler!$C$3)),0,MAX(0,1-(Ayarlar!$B$2*ABS(Bitkiler!$D$3-Topraklar!$D$15)+Ayarlar!$B$3*ABS(Bitkiler!$E$3-Topraklar!$E$15)+Ayarlar!$B$4*ABS(Bitkiler!$F$3-Topraklar!$F$15)+Ayarlar!$B$5*ABS(Bitkiler!$G$3-Topraklar!$G$15)+Ayarlar!$B$6*IF(Bitkiler!$H$3=Topraklar!$H$15,0,1))/Ayarlar!$B$7)+IF(Topraklar!$K$15=Bitkiler!$C$3,0.002,IF(Topraklar!$L$15="Evet",0.001,0)))</f>
        <v/>
      </c>
      <c r="P4" s="16">
        <f>IF(OR(Topraklar!$J$16="Evet",AND(Topraklar!$L$16&lt;&gt;"Evet",Topraklar!$K$16&lt;&gt;Bitkiler!$C$3)),0,MAX(0,1-(Ayarlar!$B$2*ABS(Bitkiler!$D$3-Topraklar!$D$16)+Ayarlar!$B$3*ABS(Bitkiler!$E$3-Topraklar!$E$16)+Ayarlar!$B$4*ABS(Bitkiler!$F$3-Topraklar!$F$16)+Ayarlar!$B$5*ABS(Bitkiler!$G$3-Topraklar!$G$16)+Ayarlar!$B$6*IF(Bitkiler!$H$3=Topraklar!$H$16,0,1))/Ayarlar!$B$7)+IF(Topraklar!$K$16=Bitkiler!$C$3,0.002,IF(Topraklar!$L$16="Evet",0.001,0)))</f>
        <v/>
      </c>
      <c r="Q4" s="16">
        <f>IF(OR(Topraklar!$J$17="Evet",AND(Topraklar!$L$17&lt;&gt;"Evet",Topraklar!$K$17&lt;&gt;Bitkiler!$C$3)),0,MAX(0,1-(Ayarlar!$B$2*ABS(Bitkiler!$D$3-Topraklar!$D$17)+Ayarlar!$B$3*ABS(Bitkiler!$E$3-Topraklar!$E$17)+Ayarlar!$B$4*ABS(Bitkiler!$F$3-Topraklar!$F$17)+Ayarlar!$B$5*ABS(Bitkiler!$G$3-Topraklar!$G$17)+Ayarlar!$B$6*IF(Bitkiler!$H$3=Topraklar!$H$17,0,1))/Ayarlar!$B$7)+IF(Topraklar!$K$17=Bitkiler!$C$3,0.002,IF(Topraklar!$L$17="Evet",0.001,0)))</f>
        <v/>
      </c>
      <c r="R4" s="16">
        <f>IF(OR(Topraklar!$J$18="Evet",AND(Topraklar!$L$18&lt;&gt;"Evet",Topraklar!$K$18&lt;&gt;Bitkiler!$C$3)),0,MAX(0,1-(Ayarlar!$B$2*ABS(Bitkiler!$D$3-Topraklar!$D$18)+Ayarlar!$B$3*ABS(Bitkiler!$E$3-Topraklar!$E$18)+Ayarlar!$B$4*ABS(Bitkiler!$F$3-Topraklar!$F$18)+Ayarlar!$B$5*ABS(Bitkiler!$G$3-Topraklar!$G$18)+Ayarlar!$B$6*IF(Bitkiler!$H$3=Topraklar!$H$18,0,1))/Ayarlar!$B$7)+IF(Topraklar!$K$18=Bitkiler!$C$3,0.002,IF(Topraklar!$L$18="Evet",0.001,0)))</f>
        <v/>
      </c>
      <c r="S4" s="16">
        <f>IF(OR(Topraklar!$J$19="Evet",AND(Topraklar!$L$19&lt;&gt;"Evet",Topraklar!$K$19&lt;&gt;Bitkiler!$C$3)),0,MAX(0,1-(Ayarlar!$B$2*ABS(Bitkiler!$D$3-Topraklar!$D$19)+Ayarlar!$B$3*ABS(Bitkiler!$E$3-Topraklar!$E$19)+Ayarlar!$B$4*ABS(Bitkiler!$F$3-Topraklar!$F$19)+Ayarlar!$B$5*ABS(Bitkiler!$G$3-Topraklar!$G$19)+Ayarlar!$B$6*IF(Bitkiler!$H$3=Topraklar!$H$19,0,1))/Ayarlar!$B$7)+IF(Topraklar!$K$19=Bitkiler!$C$3,0.002,IF(Topraklar!$L$19="Evet",0.001,0)))</f>
        <v/>
      </c>
      <c r="T4" s="16">
        <f>IF(OR(Topraklar!$J$20="Evet",AND(Topraklar!$L$20&lt;&gt;"Evet",Topraklar!$K$20&lt;&gt;Bitkiler!$C$3)),0,MAX(0,1-(Ayarlar!$B$2*ABS(Bitkiler!$D$3-Topraklar!$D$20)+Ayarlar!$B$3*ABS(Bitkiler!$E$3-Topraklar!$E$20)+Ayarlar!$B$4*ABS(Bitkiler!$F$3-Topraklar!$F$20)+Ayarlar!$B$5*ABS(Bitkiler!$G$3-Topraklar!$G$20)+Ayarlar!$B$6*IF(Bitkiler!$H$3=Topraklar!$H$20,0,1))/Ayarlar!$B$7)+IF(Topraklar!$K$20=Bitkiler!$C$3,0.002,IF(Topraklar!$L$20="Evet",0.001,0)))</f>
        <v/>
      </c>
      <c r="U4" s="16">
        <f>IF(OR(Topraklar!$J$21="Evet",AND(Topraklar!$L$21&lt;&gt;"Evet",Topraklar!$K$21&lt;&gt;Bitkiler!$C$3)),0,MAX(0,1-(Ayarlar!$B$2*ABS(Bitkiler!$D$3-Topraklar!$D$21)+Ayarlar!$B$3*ABS(Bitkiler!$E$3-Topraklar!$E$21)+Ayarlar!$B$4*ABS(Bitkiler!$F$3-Topraklar!$F$21)+Ayarlar!$B$5*ABS(Bitkiler!$G$3-Topraklar!$G$21)+Ayarlar!$B$6*IF(Bitkiler!$H$3=Topraklar!$H$21,0,1))/Ayarlar!$B$7)+IF(Topraklar!$K$21=Bitkiler!$C$3,0.002,IF(Topraklar!$L$21="Evet",0.001,0)))</f>
        <v/>
      </c>
      <c r="V4" s="16">
        <f>IF(OR(Topraklar!$J$22="Evet",AND(Topraklar!$L$22&lt;&gt;"Evet",Topraklar!$K$22&lt;&gt;Bitkiler!$C$3)),0,MAX(0,1-(Ayarlar!$B$2*ABS(Bitkiler!$D$3-Topraklar!$D$22)+Ayarlar!$B$3*ABS(Bitkiler!$E$3-Topraklar!$E$22)+Ayarlar!$B$4*ABS(Bitkiler!$F$3-Topraklar!$F$22)+Ayarlar!$B$5*ABS(Bitkiler!$G$3-Topraklar!$G$22)+Ayarlar!$B$6*IF(Bitkiler!$H$3=Topraklar!$H$22,0,1))/Ayarlar!$B$7)+IF(Topraklar!$K$22=Bitkiler!$C$3,0.002,IF(Topraklar!$L$22="Evet",0.001,0)))</f>
        <v/>
      </c>
      <c r="W4" s="16">
        <f>IF(OR(Topraklar!$J$23="Evet",AND(Topraklar!$L$23&lt;&gt;"Evet",Topraklar!$K$23&lt;&gt;Bitkiler!$C$3)),0,MAX(0,1-(Ayarlar!$B$2*ABS(Bitkiler!$D$3-Topraklar!$D$23)+Ayarlar!$B$3*ABS(Bitkiler!$E$3-Topraklar!$E$23)+Ayarlar!$B$4*ABS(Bitkiler!$F$3-Topraklar!$F$23)+Ayarlar!$B$5*ABS(Bitkiler!$G$3-Topraklar!$G$23)+Ayarlar!$B$6*IF(Bitkiler!$H$3=Topraklar!$H$23,0,1))/Ayarlar!$B$7)+IF(Topraklar!$K$23=Bitkiler!$C$3,0.002,IF(Topraklar!$L$23="Evet",0.001,0)))</f>
        <v/>
      </c>
      <c r="X4" s="16">
        <f>IF(OR(Topraklar!$J$24="Evet",AND(Topraklar!$L$24&lt;&gt;"Evet",Topraklar!$K$24&lt;&gt;Bitkiler!$C$3)),0,MAX(0,1-(Ayarlar!$B$2*ABS(Bitkiler!$D$3-Topraklar!$D$24)+Ayarlar!$B$3*ABS(Bitkiler!$E$3-Topraklar!$E$24)+Ayarlar!$B$4*ABS(Bitkiler!$F$3-Topraklar!$F$24)+Ayarlar!$B$5*ABS(Bitkiler!$G$3-Topraklar!$G$24)+Ayarlar!$B$6*IF(Bitkiler!$H$3=Topraklar!$H$24,0,1))/Ayarlar!$B$7)+IF(Topraklar!$K$24=Bitkiler!$C$3,0.002,IF(Topraklar!$L$24="Evet",0.001,0)))</f>
        <v/>
      </c>
      <c r="Y4" s="16">
        <f>IF(OR(Topraklar!$J$25="Evet",AND(Topraklar!$L$25&lt;&gt;"Evet",Topraklar!$K$25&lt;&gt;Bitkiler!$C$3)),0,MAX(0,1-(Ayarlar!$B$2*ABS(Bitkiler!$D$3-Topraklar!$D$25)+Ayarlar!$B$3*ABS(Bitkiler!$E$3-Topraklar!$E$25)+Ayarlar!$B$4*ABS(Bitkiler!$F$3-Topraklar!$F$25)+Ayarlar!$B$5*ABS(Bitkiler!$G$3-Topraklar!$G$25)+Ayarlar!$B$6*IF(Bitkiler!$H$3=Topraklar!$H$25,0,1))/Ayarlar!$B$7)+IF(Topraklar!$K$25=Bitkiler!$C$3,0.002,IF(Topraklar!$L$25="Evet",0.001,0)))</f>
        <v/>
      </c>
      <c r="Z4" s="16">
        <f>IF(OR(Topraklar!$J$26="Evet",AND(Topraklar!$L$26&lt;&gt;"Evet",Topraklar!$K$26&lt;&gt;Bitkiler!$C$3)),0,MAX(0,1-(Ayarlar!$B$2*ABS(Bitkiler!$D$3-Topraklar!$D$26)+Ayarlar!$B$3*ABS(Bitkiler!$E$3-Topraklar!$E$26)+Ayarlar!$B$4*ABS(Bitkiler!$F$3-Topraklar!$F$26)+Ayarlar!$B$5*ABS(Bitkiler!$G$3-Topraklar!$G$26)+Ayarlar!$B$6*IF(Bitkiler!$H$3=Topraklar!$H$26,0,1))/Ayarlar!$B$7)+IF(Topraklar!$K$26=Bitkiler!$C$3,0.002,IF(Topraklar!$L$26="Evet",0.001,0)))</f>
        <v/>
      </c>
      <c r="AA4" s="16">
        <f>IF(OR(Topraklar!$J$27="Evet",AND(Topraklar!$L$27&lt;&gt;"Evet",Topraklar!$K$27&lt;&gt;Bitkiler!$C$3)),0,MAX(0,1-(Ayarlar!$B$2*ABS(Bitkiler!$D$3-Topraklar!$D$27)+Ayarlar!$B$3*ABS(Bitkiler!$E$3-Topraklar!$E$27)+Ayarlar!$B$4*ABS(Bitkiler!$F$3-Topraklar!$F$27)+Ayarlar!$B$5*ABS(Bitkiler!$G$3-Topraklar!$G$27)+Ayarlar!$B$6*IF(Bitkiler!$H$3=Topraklar!$H$27,0,1))/Ayarlar!$B$7)+IF(Topraklar!$K$27=Bitkiler!$C$3,0.002,IF(Topraklar!$L$27="Evet",0.001,0)))</f>
        <v/>
      </c>
      <c r="AB4" s="16">
        <f>IF(OR(Topraklar!$J$28="Evet",AND(Topraklar!$L$28&lt;&gt;"Evet",Topraklar!$K$28&lt;&gt;Bitkiler!$C$3)),0,MAX(0,1-(Ayarlar!$B$2*ABS(Bitkiler!$D$3-Topraklar!$D$28)+Ayarlar!$B$3*ABS(Bitkiler!$E$3-Topraklar!$E$28)+Ayarlar!$B$4*ABS(Bitkiler!$F$3-Topraklar!$F$28)+Ayarlar!$B$5*ABS(Bitkiler!$G$3-Topraklar!$G$28)+Ayarlar!$B$6*IF(Bitkiler!$H$3=Topraklar!$H$28,0,1))/Ayarlar!$B$7)+IF(Topraklar!$K$28=Bitkiler!$C$3,0.002,IF(Topraklar!$L$28="Evet",0.001,0)))</f>
        <v/>
      </c>
      <c r="AC4" s="16">
        <f>IF(OR(Topraklar!$J$29="Evet",AND(Topraklar!$L$29&lt;&gt;"Evet",Topraklar!$K$29&lt;&gt;Bitkiler!$C$3)),0,MAX(0,1-(Ayarlar!$B$2*ABS(Bitkiler!$D$3-Topraklar!$D$29)+Ayarlar!$B$3*ABS(Bitkiler!$E$3-Topraklar!$E$29)+Ayarlar!$B$4*ABS(Bitkiler!$F$3-Topraklar!$F$29)+Ayarlar!$B$5*ABS(Bitkiler!$G$3-Topraklar!$G$29)+Ayarlar!$B$6*IF(Bitkiler!$H$3=Topraklar!$H$29,0,1))/Ayarlar!$B$7)+IF(Topraklar!$K$29=Bitkiler!$C$3,0.002,IF(Topraklar!$L$29="Evet",0.001,0)))</f>
        <v/>
      </c>
      <c r="AD4" s="16">
        <f>IF(OR(Topraklar!$J$30="Evet",AND(Topraklar!$L$30&lt;&gt;"Evet",Topraklar!$K$30&lt;&gt;Bitkiler!$C$3)),0,MAX(0,1-(Ayarlar!$B$2*ABS(Bitkiler!$D$3-Topraklar!$D$30)+Ayarlar!$B$3*ABS(Bitkiler!$E$3-Topraklar!$E$30)+Ayarlar!$B$4*ABS(Bitkiler!$F$3-Topraklar!$F$30)+Ayarlar!$B$5*ABS(Bitkiler!$G$3-Topraklar!$G$30)+Ayarlar!$B$6*IF(Bitkiler!$H$3=Topraklar!$H$30,0,1))/Ayarlar!$B$7)+IF(Topraklar!$K$30=Bitkiler!$C$3,0.002,IF(Topraklar!$L$30="Evet",0.001,0)))</f>
        <v/>
      </c>
      <c r="AE4" s="16">
        <f>IF(OR(Topraklar!$J$31="Evet",AND(Topraklar!$L$31&lt;&gt;"Evet",Topraklar!$K$31&lt;&gt;Bitkiler!$C$3)),0,MAX(0,1-(Ayarlar!$B$2*ABS(Bitkiler!$D$3-Topraklar!$D$31)+Ayarlar!$B$3*ABS(Bitkiler!$E$3-Topraklar!$E$31)+Ayarlar!$B$4*ABS(Bitkiler!$F$3-Topraklar!$F$31)+Ayarlar!$B$5*ABS(Bitkiler!$G$3-Topraklar!$G$31)+Ayarlar!$B$6*IF(Bitkiler!$H$3=Topraklar!$H$31,0,1))/Ayarlar!$B$7)+IF(Topraklar!$K$31=Bitkiler!$C$3,0.002,IF(Topraklar!$L$31="Evet",0.001,0)))</f>
        <v/>
      </c>
      <c r="AF4" s="16">
        <f>IF(OR(Topraklar!$J$32="Evet",AND(Topraklar!$L$32&lt;&gt;"Evet",Topraklar!$K$32&lt;&gt;Bitkiler!$C$3)),0,MAX(0,1-(Ayarlar!$B$2*ABS(Bitkiler!$D$3-Topraklar!$D$32)+Ayarlar!$B$3*ABS(Bitkiler!$E$3-Topraklar!$E$32)+Ayarlar!$B$4*ABS(Bitkiler!$F$3-Topraklar!$F$32)+Ayarlar!$B$5*ABS(Bitkiler!$G$3-Topraklar!$G$32)+Ayarlar!$B$6*IF(Bitkiler!$H$3=Topraklar!$H$32,0,1))/Ayarlar!$B$7)+IF(Topraklar!$K$32=Bitkiler!$C$3,0.002,IF(Topraklar!$L$32="Evet",0.001,0)))</f>
        <v/>
      </c>
      <c r="AG4" s="16">
        <f>IF(OR(Topraklar!$J$33="Evet",AND(Topraklar!$L$33&lt;&gt;"Evet",Topraklar!$K$33&lt;&gt;Bitkiler!$C$3)),0,MAX(0,1-(Ayarlar!$B$2*ABS(Bitkiler!$D$3-Topraklar!$D$33)+Ayarlar!$B$3*ABS(Bitkiler!$E$3-Topraklar!$E$33)+Ayarlar!$B$4*ABS(Bitkiler!$F$3-Topraklar!$F$33)+Ayarlar!$B$5*ABS(Bitkiler!$G$3-Topraklar!$G$33)+Ayarlar!$B$6*IF(Bitkiler!$H$3=Topraklar!$H$33,0,1))/Ayarlar!$B$7)+IF(Topraklar!$K$33=Bitkiler!$C$3,0.002,IF(Topraklar!$L$33="Evet",0.001,0)))</f>
        <v/>
      </c>
      <c r="AH4" s="16">
        <f>IF(OR(Topraklar!$J$34="Evet",AND(Topraklar!$L$34&lt;&gt;"Evet",Topraklar!$K$34&lt;&gt;Bitkiler!$C$3)),0,MAX(0,1-(Ayarlar!$B$2*ABS(Bitkiler!$D$3-Topraklar!$D$34)+Ayarlar!$B$3*ABS(Bitkiler!$E$3-Topraklar!$E$34)+Ayarlar!$B$4*ABS(Bitkiler!$F$3-Topraklar!$F$34)+Ayarlar!$B$5*ABS(Bitkiler!$G$3-Topraklar!$G$34)+Ayarlar!$B$6*IF(Bitkiler!$H$3=Topraklar!$H$34,0,1))/Ayarlar!$B$7)+IF(Topraklar!$K$34=Bitkiler!$C$3,0.002,IF(Topraklar!$L$34="Evet",0.001,0)))</f>
        <v/>
      </c>
      <c r="AI4" s="16">
        <f>IF(OR(Topraklar!$J$35="Evet",AND(Topraklar!$L$35&lt;&gt;"Evet",Topraklar!$K$35&lt;&gt;Bitkiler!$C$3)),0,MAX(0,1-(Ayarlar!$B$2*ABS(Bitkiler!$D$3-Topraklar!$D$35)+Ayarlar!$B$3*ABS(Bitkiler!$E$3-Topraklar!$E$35)+Ayarlar!$B$4*ABS(Bitkiler!$F$3-Topraklar!$F$35)+Ayarlar!$B$5*ABS(Bitkiler!$G$3-Topraklar!$G$35)+Ayarlar!$B$6*IF(Bitkiler!$H$3=Topraklar!$H$35,0,1))/Ayarlar!$B$7)+IF(Topraklar!$K$35=Bitkiler!$C$3,0.002,IF(Topraklar!$L$35="Evet",0.001,0)))</f>
        <v/>
      </c>
      <c r="AJ4" s="16">
        <f>IF(OR(Topraklar!$J$36="Evet",AND(Topraklar!$L$36&lt;&gt;"Evet",Topraklar!$K$36&lt;&gt;Bitkiler!$C$3)),0,MAX(0,1-(Ayarlar!$B$2*ABS(Bitkiler!$D$3-Topraklar!$D$36)+Ayarlar!$B$3*ABS(Bitkiler!$E$3-Topraklar!$E$36)+Ayarlar!$B$4*ABS(Bitkiler!$F$3-Topraklar!$F$36)+Ayarlar!$B$5*ABS(Bitkiler!$G$3-Topraklar!$G$36)+Ayarlar!$B$6*IF(Bitkiler!$H$3=Topraklar!$H$36,0,1))/Ayarlar!$B$7)+IF(Topraklar!$K$36=Bitkiler!$C$3,0.002,IF(Topraklar!$L$36="Evet",0.001,0)))</f>
        <v/>
      </c>
      <c r="AK4" s="16">
        <f>IF(OR(Topraklar!$J$37="Evet",AND(Topraklar!$L$37&lt;&gt;"Evet",Topraklar!$K$37&lt;&gt;Bitkiler!$C$3)),0,MAX(0,1-(Ayarlar!$B$2*ABS(Bitkiler!$D$3-Topraklar!$D$37)+Ayarlar!$B$3*ABS(Bitkiler!$E$3-Topraklar!$E$37)+Ayarlar!$B$4*ABS(Bitkiler!$F$3-Topraklar!$F$37)+Ayarlar!$B$5*ABS(Bitkiler!$G$3-Topraklar!$G$37)+Ayarlar!$B$6*IF(Bitkiler!$H$3=Topraklar!$H$37,0,1))/Ayarlar!$B$7)+IF(Topraklar!$K$37=Bitkiler!$C$3,0.002,IF(Topraklar!$L$37="Evet",0.001,0)))</f>
        <v/>
      </c>
      <c r="AL4" s="16">
        <f>IF(OR(Topraklar!$J$38="Evet",AND(Topraklar!$L$38&lt;&gt;"Evet",Topraklar!$K$38&lt;&gt;Bitkiler!$C$3)),0,MAX(0,1-(Ayarlar!$B$2*ABS(Bitkiler!$D$3-Topraklar!$D$38)+Ayarlar!$B$3*ABS(Bitkiler!$E$3-Topraklar!$E$38)+Ayarlar!$B$4*ABS(Bitkiler!$F$3-Topraklar!$F$38)+Ayarlar!$B$5*ABS(Bitkiler!$G$3-Topraklar!$G$38)+Ayarlar!$B$6*IF(Bitkiler!$H$3=Topraklar!$H$38,0,1))/Ayarlar!$B$7)+IF(Topraklar!$K$38=Bitkiler!$C$3,0.002,IF(Topraklar!$L$38="Evet",0.001,0)))</f>
        <v/>
      </c>
      <c r="AM4" s="16">
        <f>IF(OR(Topraklar!$J$39="Evet",AND(Topraklar!$L$39&lt;&gt;"Evet",Topraklar!$K$39&lt;&gt;Bitkiler!$C$3)),0,MAX(0,1-(Ayarlar!$B$2*ABS(Bitkiler!$D$3-Topraklar!$D$39)+Ayarlar!$B$3*ABS(Bitkiler!$E$3-Topraklar!$E$39)+Ayarlar!$B$4*ABS(Bitkiler!$F$3-Topraklar!$F$39)+Ayarlar!$B$5*ABS(Bitkiler!$G$3-Topraklar!$G$39)+Ayarlar!$B$6*IF(Bitkiler!$H$3=Topraklar!$H$39,0,1))/Ayarlar!$B$7)+IF(Topraklar!$K$39=Bitkiler!$C$3,0.002,IF(Topraklar!$L$39="Evet",0.001,0)))</f>
        <v/>
      </c>
      <c r="AN4" s="16">
        <f>IF(OR(Topraklar!$J$40="Evet",AND(Topraklar!$L$40&lt;&gt;"Evet",Topraklar!$K$40&lt;&gt;Bitkiler!$C$3)),0,MAX(0,1-(Ayarlar!$B$2*ABS(Bitkiler!$D$3-Topraklar!$D$40)+Ayarlar!$B$3*ABS(Bitkiler!$E$3-Topraklar!$E$40)+Ayarlar!$B$4*ABS(Bitkiler!$F$3-Topraklar!$F$40)+Ayarlar!$B$5*ABS(Bitkiler!$G$3-Topraklar!$G$40)+Ayarlar!$B$6*IF(Bitkiler!$H$3=Topraklar!$H$40,0,1))/Ayarlar!$B$7)+IF(Topraklar!$K$40=Bitkiler!$C$3,0.002,IF(Topraklar!$L$40="Evet",0.001,0)))</f>
        <v/>
      </c>
      <c r="AO4" s="16">
        <f>IF(OR(Topraklar!$J$41="Evet",AND(Topraklar!$L$41&lt;&gt;"Evet",Topraklar!$K$41&lt;&gt;Bitkiler!$C$3)),0,MAX(0,1-(Ayarlar!$B$2*ABS(Bitkiler!$D$3-Topraklar!$D$41)+Ayarlar!$B$3*ABS(Bitkiler!$E$3-Topraklar!$E$41)+Ayarlar!$B$4*ABS(Bitkiler!$F$3-Topraklar!$F$41)+Ayarlar!$B$5*ABS(Bitkiler!$G$3-Topraklar!$G$41)+Ayarlar!$B$6*IF(Bitkiler!$H$3=Topraklar!$H$41,0,1))/Ayarlar!$B$7)+IF(Topraklar!$K$41=Bitkiler!$C$3,0.002,IF(Topraklar!$L$41="Evet",0.001,0)))</f>
        <v/>
      </c>
      <c r="AP4" s="16">
        <f>IF(OR(Topraklar!$J$42="Evet",AND(Topraklar!$L$42&lt;&gt;"Evet",Topraklar!$K$42&lt;&gt;Bitkiler!$C$3)),0,MAX(0,1-(Ayarlar!$B$2*ABS(Bitkiler!$D$3-Topraklar!$D$42)+Ayarlar!$B$3*ABS(Bitkiler!$E$3-Topraklar!$E$42)+Ayarlar!$B$4*ABS(Bitkiler!$F$3-Topraklar!$F$42)+Ayarlar!$B$5*ABS(Bitkiler!$G$3-Topraklar!$G$42)+Ayarlar!$B$6*IF(Bitkiler!$H$3=Topraklar!$H$42,0,1))/Ayarlar!$B$7)+IF(Topraklar!$K$42=Bitkiler!$C$3,0.002,IF(Topraklar!$L$42="Evet",0.001,0)))</f>
        <v/>
      </c>
      <c r="AQ4" s="16">
        <f>IF(OR(Topraklar!$J$43="Evet",AND(Topraklar!$L$43&lt;&gt;"Evet",Topraklar!$K$43&lt;&gt;Bitkiler!$C$3)),0,MAX(0,1-(Ayarlar!$B$2*ABS(Bitkiler!$D$3-Topraklar!$D$43)+Ayarlar!$B$3*ABS(Bitkiler!$E$3-Topraklar!$E$43)+Ayarlar!$B$4*ABS(Bitkiler!$F$3-Topraklar!$F$43)+Ayarlar!$B$5*ABS(Bitkiler!$G$3-Topraklar!$G$43)+Ayarlar!$B$6*IF(Bitkiler!$H$3=Topraklar!$H$43,0,1))/Ayarlar!$B$7)+IF(Topraklar!$K$43=Bitkiler!$C$3,0.002,IF(Topraklar!$L$43="Evet",0.001,0)))</f>
        <v/>
      </c>
      <c r="AR4" s="16">
        <f>IF(OR(Topraklar!$J$44="Evet",AND(Topraklar!$L$44&lt;&gt;"Evet",Topraklar!$K$44&lt;&gt;Bitkiler!$C$3)),0,MAX(0,1-(Ayarlar!$B$2*ABS(Bitkiler!$D$3-Topraklar!$D$44)+Ayarlar!$B$3*ABS(Bitkiler!$E$3-Topraklar!$E$44)+Ayarlar!$B$4*ABS(Bitkiler!$F$3-Topraklar!$F$44)+Ayarlar!$B$5*ABS(Bitkiler!$G$3-Topraklar!$G$44)+Ayarlar!$B$6*IF(Bitkiler!$H$3=Topraklar!$H$44,0,1))/Ayarlar!$B$7)+IF(Topraklar!$K$44=Bitkiler!$C$3,0.002,IF(Topraklar!$L$44="Evet",0.001,0)))</f>
        <v/>
      </c>
      <c r="AS4" s="16">
        <f>IF(OR(Topraklar!$J$45="Evet",AND(Topraklar!$L$45&lt;&gt;"Evet",Topraklar!$K$45&lt;&gt;Bitkiler!$C$3)),0,MAX(0,1-(Ayarlar!$B$2*ABS(Bitkiler!$D$3-Topraklar!$D$45)+Ayarlar!$B$3*ABS(Bitkiler!$E$3-Topraklar!$E$45)+Ayarlar!$B$4*ABS(Bitkiler!$F$3-Topraklar!$F$45)+Ayarlar!$B$5*ABS(Bitkiler!$G$3-Topraklar!$G$45)+Ayarlar!$B$6*IF(Bitkiler!$H$3=Topraklar!$H$45,0,1))/Ayarlar!$B$7)+IF(Topraklar!$K$45=Bitkiler!$C$3,0.002,IF(Topraklar!$L$45="Evet",0.001,0)))</f>
        <v/>
      </c>
      <c r="AT4" s="16">
        <f>IF(OR(Topraklar!$J$46="Evet",AND(Topraklar!$L$46&lt;&gt;"Evet",Topraklar!$K$46&lt;&gt;Bitkiler!$C$3)),0,MAX(0,1-(Ayarlar!$B$2*ABS(Bitkiler!$D$3-Topraklar!$D$46)+Ayarlar!$B$3*ABS(Bitkiler!$E$3-Topraklar!$E$46)+Ayarlar!$B$4*ABS(Bitkiler!$F$3-Topraklar!$F$46)+Ayarlar!$B$5*ABS(Bitkiler!$G$3-Topraklar!$G$46)+Ayarlar!$B$6*IF(Bitkiler!$H$3=Topraklar!$H$46,0,1))/Ayarlar!$B$7)+IF(Topraklar!$K$46=Bitkiler!$C$3,0.002,IF(Topraklar!$L$46="Evet",0.001,0)))</f>
        <v/>
      </c>
      <c r="AU4" s="16">
        <f>IF(OR(Topraklar!$J$47="Evet",AND(Topraklar!$L$47&lt;&gt;"Evet",Topraklar!$K$47&lt;&gt;Bitkiler!$C$3)),0,MAX(0,1-(Ayarlar!$B$2*ABS(Bitkiler!$D$3-Topraklar!$D$47)+Ayarlar!$B$3*ABS(Bitkiler!$E$3-Topraklar!$E$47)+Ayarlar!$B$4*ABS(Bitkiler!$F$3-Topraklar!$F$47)+Ayarlar!$B$5*ABS(Bitkiler!$G$3-Topraklar!$G$47)+Ayarlar!$B$6*IF(Bitkiler!$H$3=Topraklar!$H$47,0,1))/Ayarlar!$B$7)+IF(Topraklar!$K$47=Bitkiler!$C$3,0.002,IF(Topraklar!$L$47="Evet",0.001,0)))</f>
        <v/>
      </c>
      <c r="AV4" s="16">
        <f>IF(OR(Topraklar!$J$48="Evet",AND(Topraklar!$L$48&lt;&gt;"Evet",Topraklar!$K$48&lt;&gt;Bitkiler!$C$3)),0,MAX(0,1-(Ayarlar!$B$2*ABS(Bitkiler!$D$3-Topraklar!$D$48)+Ayarlar!$B$3*ABS(Bitkiler!$E$3-Topraklar!$E$48)+Ayarlar!$B$4*ABS(Bitkiler!$F$3-Topraklar!$F$48)+Ayarlar!$B$5*ABS(Bitkiler!$G$3-Topraklar!$G$48)+Ayarlar!$B$6*IF(Bitkiler!$H$3=Topraklar!$H$48,0,1))/Ayarlar!$B$7)+IF(Topraklar!$K$48=Bitkiler!$C$3,0.002,IF(Topraklar!$L$48="Evet",0.001,0)))</f>
        <v/>
      </c>
      <c r="AW4" s="16">
        <f>IF(OR(Topraklar!$J$49="Evet",AND(Topraklar!$L$49&lt;&gt;"Evet",Topraklar!$K$49&lt;&gt;Bitkiler!$C$3)),0,MAX(0,1-(Ayarlar!$B$2*ABS(Bitkiler!$D$3-Topraklar!$D$49)+Ayarlar!$B$3*ABS(Bitkiler!$E$3-Topraklar!$E$49)+Ayarlar!$B$4*ABS(Bitkiler!$F$3-Topraklar!$F$49)+Ayarlar!$B$5*ABS(Bitkiler!$G$3-Topraklar!$G$49)+Ayarlar!$B$6*IF(Bitkiler!$H$3=Topraklar!$H$49,0,1))/Ayarlar!$B$7)+IF(Topraklar!$K$49=Bitkiler!$C$3,0.002,IF(Topraklar!$L$49="Evet",0.001,0)))</f>
        <v/>
      </c>
      <c r="AX4" s="16">
        <f>IF(OR(Topraklar!$J$50="Evet",AND(Topraklar!$L$50&lt;&gt;"Evet",Topraklar!$K$50&lt;&gt;Bitkiler!$C$3)),0,MAX(0,1-(Ayarlar!$B$2*ABS(Bitkiler!$D$3-Topraklar!$D$50)+Ayarlar!$B$3*ABS(Bitkiler!$E$3-Topraklar!$E$50)+Ayarlar!$B$4*ABS(Bitkiler!$F$3-Topraklar!$F$50)+Ayarlar!$B$5*ABS(Bitkiler!$G$3-Topraklar!$G$50)+Ayarlar!$B$6*IF(Bitkiler!$H$3=Topraklar!$H$50,0,1))/Ayarlar!$B$7)+IF(Topraklar!$K$50=Bitkiler!$C$3,0.002,IF(Topraklar!$L$50="Evet",0.001,0)))</f>
        <v/>
      </c>
      <c r="AY4" s="16">
        <f>IF(OR(Topraklar!$J$51="Evet",AND(Topraklar!$L$51&lt;&gt;"Evet",Topraklar!$K$51&lt;&gt;Bitkiler!$C$3)),0,MAX(0,1-(Ayarlar!$B$2*ABS(Bitkiler!$D$3-Topraklar!$D$51)+Ayarlar!$B$3*ABS(Bitkiler!$E$3-Topraklar!$E$51)+Ayarlar!$B$4*ABS(Bitkiler!$F$3-Topraklar!$F$51)+Ayarlar!$B$5*ABS(Bitkiler!$G$3-Topraklar!$G$51)+Ayarlar!$B$6*IF(Bitkiler!$H$3=Topraklar!$H$51,0,1))/Ayarlar!$B$7)+IF(Topraklar!$K$51=Bitkiler!$C$3,0.002,IF(Topraklar!$L$51="Evet",0.001,0)))</f>
        <v/>
      </c>
    </row>
    <row r="5">
      <c r="A5" s="15">
        <f>Bitkiler!A4</f>
        <v/>
      </c>
      <c r="B5" s="16">
        <f>IF(OR(Topraklar!$J$2="Evet",AND(Topraklar!$L$2&lt;&gt;"Evet",Topraklar!$K$2&lt;&gt;Bitkiler!$C$4)),0,MAX(0,1-(Ayarlar!$B$2*ABS(Bitkiler!$D$4-Topraklar!$D$2)+Ayarlar!$B$3*ABS(Bitkiler!$E$4-Topraklar!$E$2)+Ayarlar!$B$4*ABS(Bitkiler!$F$4-Topraklar!$F$2)+Ayarlar!$B$5*ABS(Bitkiler!$G$4-Topraklar!$G$2)+Ayarlar!$B$6*IF(Bitkiler!$H$4=Topraklar!$H$2,0,1))/Ayarlar!$B$7)+IF(Topraklar!$K$2=Bitkiler!$C$4,0.002,IF(Topraklar!$L$2="Evet",0.001,0)))</f>
        <v/>
      </c>
      <c r="C5" s="16">
        <f>IF(OR(Topraklar!$J$3="Evet",AND(Topraklar!$L$3&lt;&gt;"Evet",Topraklar!$K$3&lt;&gt;Bitkiler!$C$4)),0,MAX(0,1-(Ayarlar!$B$2*ABS(Bitkiler!$D$4-Topraklar!$D$3)+Ayarlar!$B$3*ABS(Bitkiler!$E$4-Topraklar!$E$3)+Ayarlar!$B$4*ABS(Bitkiler!$F$4-Topraklar!$F$3)+Ayarlar!$B$5*ABS(Bitkiler!$G$4-Topraklar!$G$3)+Ayarlar!$B$6*IF(Bitkiler!$H$4=Topraklar!$H$3,0,1))/Ayarlar!$B$7)+IF(Topraklar!$K$3=Bitkiler!$C$4,0.002,IF(Topraklar!$L$3="Evet",0.001,0)))</f>
        <v/>
      </c>
      <c r="D5" s="16">
        <f>IF(OR(Topraklar!$J$4="Evet",AND(Topraklar!$L$4&lt;&gt;"Evet",Topraklar!$K$4&lt;&gt;Bitkiler!$C$4)),0,MAX(0,1-(Ayarlar!$B$2*ABS(Bitkiler!$D$4-Topraklar!$D$4)+Ayarlar!$B$3*ABS(Bitkiler!$E$4-Topraklar!$E$4)+Ayarlar!$B$4*ABS(Bitkiler!$F$4-Topraklar!$F$4)+Ayarlar!$B$5*ABS(Bitkiler!$G$4-Topraklar!$G$4)+Ayarlar!$B$6*IF(Bitkiler!$H$4=Topraklar!$H$4,0,1))/Ayarlar!$B$7)+IF(Topraklar!$K$4=Bitkiler!$C$4,0.002,IF(Topraklar!$L$4="Evet",0.001,0)))</f>
        <v/>
      </c>
      <c r="E5" s="16">
        <f>IF(OR(Topraklar!$J$5="Evet",AND(Topraklar!$L$5&lt;&gt;"Evet",Topraklar!$K$5&lt;&gt;Bitkiler!$C$4)),0,MAX(0,1-(Ayarlar!$B$2*ABS(Bitkiler!$D$4-Topraklar!$D$5)+Ayarlar!$B$3*ABS(Bitkiler!$E$4-Topraklar!$E$5)+Ayarlar!$B$4*ABS(Bitkiler!$F$4-Topraklar!$F$5)+Ayarlar!$B$5*ABS(Bitkiler!$G$4-Topraklar!$G$5)+Ayarlar!$B$6*IF(Bitkiler!$H$4=Topraklar!$H$5,0,1))/Ayarlar!$B$7)+IF(Topraklar!$K$5=Bitkiler!$C$4,0.002,IF(Topraklar!$L$5="Evet",0.001,0)))</f>
        <v/>
      </c>
      <c r="F5" s="16">
        <f>IF(OR(Topraklar!$J$6="Evet",AND(Topraklar!$L$6&lt;&gt;"Evet",Topraklar!$K$6&lt;&gt;Bitkiler!$C$4)),0,MAX(0,1-(Ayarlar!$B$2*ABS(Bitkiler!$D$4-Topraklar!$D$6)+Ayarlar!$B$3*ABS(Bitkiler!$E$4-Topraklar!$E$6)+Ayarlar!$B$4*ABS(Bitkiler!$F$4-Topraklar!$F$6)+Ayarlar!$B$5*ABS(Bitkiler!$G$4-Topraklar!$G$6)+Ayarlar!$B$6*IF(Bitkiler!$H$4=Topraklar!$H$6,0,1))/Ayarlar!$B$7)+IF(Topraklar!$K$6=Bitkiler!$C$4,0.002,IF(Topraklar!$L$6="Evet",0.001,0)))</f>
        <v/>
      </c>
      <c r="G5" s="16">
        <f>IF(OR(Topraklar!$J$7="Evet",AND(Topraklar!$L$7&lt;&gt;"Evet",Topraklar!$K$7&lt;&gt;Bitkiler!$C$4)),0,MAX(0,1-(Ayarlar!$B$2*ABS(Bitkiler!$D$4-Topraklar!$D$7)+Ayarlar!$B$3*ABS(Bitkiler!$E$4-Topraklar!$E$7)+Ayarlar!$B$4*ABS(Bitkiler!$F$4-Topraklar!$F$7)+Ayarlar!$B$5*ABS(Bitkiler!$G$4-Topraklar!$G$7)+Ayarlar!$B$6*IF(Bitkiler!$H$4=Topraklar!$H$7,0,1))/Ayarlar!$B$7)+IF(Topraklar!$K$7=Bitkiler!$C$4,0.002,IF(Topraklar!$L$7="Evet",0.001,0)))</f>
        <v/>
      </c>
      <c r="H5" s="16">
        <f>IF(OR(Topraklar!$J$8="Evet",AND(Topraklar!$L$8&lt;&gt;"Evet",Topraklar!$K$8&lt;&gt;Bitkiler!$C$4)),0,MAX(0,1-(Ayarlar!$B$2*ABS(Bitkiler!$D$4-Topraklar!$D$8)+Ayarlar!$B$3*ABS(Bitkiler!$E$4-Topraklar!$E$8)+Ayarlar!$B$4*ABS(Bitkiler!$F$4-Topraklar!$F$8)+Ayarlar!$B$5*ABS(Bitkiler!$G$4-Topraklar!$G$8)+Ayarlar!$B$6*IF(Bitkiler!$H$4=Topraklar!$H$8,0,1))/Ayarlar!$B$7)+IF(Topraklar!$K$8=Bitkiler!$C$4,0.002,IF(Topraklar!$L$8="Evet",0.001,0)))</f>
        <v/>
      </c>
      <c r="I5" s="16">
        <f>IF(OR(Topraklar!$J$9="Evet",AND(Topraklar!$L$9&lt;&gt;"Evet",Topraklar!$K$9&lt;&gt;Bitkiler!$C$4)),0,MAX(0,1-(Ayarlar!$B$2*ABS(Bitkiler!$D$4-Topraklar!$D$9)+Ayarlar!$B$3*ABS(Bitkiler!$E$4-Topraklar!$E$9)+Ayarlar!$B$4*ABS(Bitkiler!$F$4-Topraklar!$F$9)+Ayarlar!$B$5*ABS(Bitkiler!$G$4-Topraklar!$G$9)+Ayarlar!$B$6*IF(Bitkiler!$H$4=Topraklar!$H$9,0,1))/Ayarlar!$B$7)+IF(Topraklar!$K$9=Bitkiler!$C$4,0.002,IF(Topraklar!$L$9="Evet",0.001,0)))</f>
        <v/>
      </c>
      <c r="J5" s="16">
        <f>IF(OR(Topraklar!$J$10="Evet",AND(Topraklar!$L$10&lt;&gt;"Evet",Topraklar!$K$10&lt;&gt;Bitkiler!$C$4)),0,MAX(0,1-(Ayarlar!$B$2*ABS(Bitkiler!$D$4-Topraklar!$D$10)+Ayarlar!$B$3*ABS(Bitkiler!$E$4-Topraklar!$E$10)+Ayarlar!$B$4*ABS(Bitkiler!$F$4-Topraklar!$F$10)+Ayarlar!$B$5*ABS(Bitkiler!$G$4-Topraklar!$G$10)+Ayarlar!$B$6*IF(Bitkiler!$H$4=Topraklar!$H$10,0,1))/Ayarlar!$B$7)+IF(Topraklar!$K$10=Bitkiler!$C$4,0.002,IF(Topraklar!$L$10="Evet",0.001,0)))</f>
        <v/>
      </c>
      <c r="K5" s="16">
        <f>IF(OR(Topraklar!$J$11="Evet",AND(Topraklar!$L$11&lt;&gt;"Evet",Topraklar!$K$11&lt;&gt;Bitkiler!$C$4)),0,MAX(0,1-(Ayarlar!$B$2*ABS(Bitkiler!$D$4-Topraklar!$D$11)+Ayarlar!$B$3*ABS(Bitkiler!$E$4-Topraklar!$E$11)+Ayarlar!$B$4*ABS(Bitkiler!$F$4-Topraklar!$F$11)+Ayarlar!$B$5*ABS(Bitkiler!$G$4-Topraklar!$G$11)+Ayarlar!$B$6*IF(Bitkiler!$H$4=Topraklar!$H$11,0,1))/Ayarlar!$B$7)+IF(Topraklar!$K$11=Bitkiler!$C$4,0.002,IF(Topraklar!$L$11="Evet",0.001,0)))</f>
        <v/>
      </c>
      <c r="L5" s="16">
        <f>IF(OR(Topraklar!$J$12="Evet",AND(Topraklar!$L$12&lt;&gt;"Evet",Topraklar!$K$12&lt;&gt;Bitkiler!$C$4)),0,MAX(0,1-(Ayarlar!$B$2*ABS(Bitkiler!$D$4-Topraklar!$D$12)+Ayarlar!$B$3*ABS(Bitkiler!$E$4-Topraklar!$E$12)+Ayarlar!$B$4*ABS(Bitkiler!$F$4-Topraklar!$F$12)+Ayarlar!$B$5*ABS(Bitkiler!$G$4-Topraklar!$G$12)+Ayarlar!$B$6*IF(Bitkiler!$H$4=Topraklar!$H$12,0,1))/Ayarlar!$B$7)+IF(Topraklar!$K$12=Bitkiler!$C$4,0.002,IF(Topraklar!$L$12="Evet",0.001,0)))</f>
        <v/>
      </c>
      <c r="M5" s="16">
        <f>IF(OR(Topraklar!$J$13="Evet",AND(Topraklar!$L$13&lt;&gt;"Evet",Topraklar!$K$13&lt;&gt;Bitkiler!$C$4)),0,MAX(0,1-(Ayarlar!$B$2*ABS(Bitkiler!$D$4-Topraklar!$D$13)+Ayarlar!$B$3*ABS(Bitkiler!$E$4-Topraklar!$E$13)+Ayarlar!$B$4*ABS(Bitkiler!$F$4-Topraklar!$F$13)+Ayarlar!$B$5*ABS(Bitkiler!$G$4-Topraklar!$G$13)+Ayarlar!$B$6*IF(Bitkiler!$H$4=Topraklar!$H$13,0,1))/Ayarlar!$B$7)+IF(Topraklar!$K$13=Bitkiler!$C$4,0.002,IF(Topraklar!$L$13="Evet",0.001,0)))</f>
        <v/>
      </c>
      <c r="N5" s="16">
        <f>IF(OR(Topraklar!$J$14="Evet",AND(Topraklar!$L$14&lt;&gt;"Evet",Topraklar!$K$14&lt;&gt;Bitkiler!$C$4)),0,MAX(0,1-(Ayarlar!$B$2*ABS(Bitkiler!$D$4-Topraklar!$D$14)+Ayarlar!$B$3*ABS(Bitkiler!$E$4-Topraklar!$E$14)+Ayarlar!$B$4*ABS(Bitkiler!$F$4-Topraklar!$F$14)+Ayarlar!$B$5*ABS(Bitkiler!$G$4-Topraklar!$G$14)+Ayarlar!$B$6*IF(Bitkiler!$H$4=Topraklar!$H$14,0,1))/Ayarlar!$B$7)+IF(Topraklar!$K$14=Bitkiler!$C$4,0.002,IF(Topraklar!$L$14="Evet",0.001,0)))</f>
        <v/>
      </c>
      <c r="O5" s="16">
        <f>IF(OR(Topraklar!$J$15="Evet",AND(Topraklar!$L$15&lt;&gt;"Evet",Topraklar!$K$15&lt;&gt;Bitkiler!$C$4)),0,MAX(0,1-(Ayarlar!$B$2*ABS(Bitkiler!$D$4-Topraklar!$D$15)+Ayarlar!$B$3*ABS(Bitkiler!$E$4-Topraklar!$E$15)+Ayarlar!$B$4*ABS(Bitkiler!$F$4-Topraklar!$F$15)+Ayarlar!$B$5*ABS(Bitkiler!$G$4-Topraklar!$G$15)+Ayarlar!$B$6*IF(Bitkiler!$H$4=Topraklar!$H$15,0,1))/Ayarlar!$B$7)+IF(Topraklar!$K$15=Bitkiler!$C$4,0.002,IF(Topraklar!$L$15="Evet",0.001,0)))</f>
        <v/>
      </c>
      <c r="P5" s="16">
        <f>IF(OR(Topraklar!$J$16="Evet",AND(Topraklar!$L$16&lt;&gt;"Evet",Topraklar!$K$16&lt;&gt;Bitkiler!$C$4)),0,MAX(0,1-(Ayarlar!$B$2*ABS(Bitkiler!$D$4-Topraklar!$D$16)+Ayarlar!$B$3*ABS(Bitkiler!$E$4-Topraklar!$E$16)+Ayarlar!$B$4*ABS(Bitkiler!$F$4-Topraklar!$F$16)+Ayarlar!$B$5*ABS(Bitkiler!$G$4-Topraklar!$G$16)+Ayarlar!$B$6*IF(Bitkiler!$H$4=Topraklar!$H$16,0,1))/Ayarlar!$B$7)+IF(Topraklar!$K$16=Bitkiler!$C$4,0.002,IF(Topraklar!$L$16="Evet",0.001,0)))</f>
        <v/>
      </c>
      <c r="Q5" s="16">
        <f>IF(OR(Topraklar!$J$17="Evet",AND(Topraklar!$L$17&lt;&gt;"Evet",Topraklar!$K$17&lt;&gt;Bitkiler!$C$4)),0,MAX(0,1-(Ayarlar!$B$2*ABS(Bitkiler!$D$4-Topraklar!$D$17)+Ayarlar!$B$3*ABS(Bitkiler!$E$4-Topraklar!$E$17)+Ayarlar!$B$4*ABS(Bitkiler!$F$4-Topraklar!$F$17)+Ayarlar!$B$5*ABS(Bitkiler!$G$4-Topraklar!$G$17)+Ayarlar!$B$6*IF(Bitkiler!$H$4=Topraklar!$H$17,0,1))/Ayarlar!$B$7)+IF(Topraklar!$K$17=Bitkiler!$C$4,0.002,IF(Topraklar!$L$17="Evet",0.001,0)))</f>
        <v/>
      </c>
      <c r="R5" s="16">
        <f>IF(OR(Topraklar!$J$18="Evet",AND(Topraklar!$L$18&lt;&gt;"Evet",Topraklar!$K$18&lt;&gt;Bitkiler!$C$4)),0,MAX(0,1-(Ayarlar!$B$2*ABS(Bitkiler!$D$4-Topraklar!$D$18)+Ayarlar!$B$3*ABS(Bitkiler!$E$4-Topraklar!$E$18)+Ayarlar!$B$4*ABS(Bitkiler!$F$4-Topraklar!$F$18)+Ayarlar!$B$5*ABS(Bitkiler!$G$4-Topraklar!$G$18)+Ayarlar!$B$6*IF(Bitkiler!$H$4=Topraklar!$H$18,0,1))/Ayarlar!$B$7)+IF(Topraklar!$K$18=Bitkiler!$C$4,0.002,IF(Topraklar!$L$18="Evet",0.001,0)))</f>
        <v/>
      </c>
      <c r="S5" s="16">
        <f>IF(OR(Topraklar!$J$19="Evet",AND(Topraklar!$L$19&lt;&gt;"Evet",Topraklar!$K$19&lt;&gt;Bitkiler!$C$4)),0,MAX(0,1-(Ayarlar!$B$2*ABS(Bitkiler!$D$4-Topraklar!$D$19)+Ayarlar!$B$3*ABS(Bitkiler!$E$4-Topraklar!$E$19)+Ayarlar!$B$4*ABS(Bitkiler!$F$4-Topraklar!$F$19)+Ayarlar!$B$5*ABS(Bitkiler!$G$4-Topraklar!$G$19)+Ayarlar!$B$6*IF(Bitkiler!$H$4=Topraklar!$H$19,0,1))/Ayarlar!$B$7)+IF(Topraklar!$K$19=Bitkiler!$C$4,0.002,IF(Topraklar!$L$19="Evet",0.001,0)))</f>
        <v/>
      </c>
      <c r="T5" s="16">
        <f>IF(OR(Topraklar!$J$20="Evet",AND(Topraklar!$L$20&lt;&gt;"Evet",Topraklar!$K$20&lt;&gt;Bitkiler!$C$4)),0,MAX(0,1-(Ayarlar!$B$2*ABS(Bitkiler!$D$4-Topraklar!$D$20)+Ayarlar!$B$3*ABS(Bitkiler!$E$4-Topraklar!$E$20)+Ayarlar!$B$4*ABS(Bitkiler!$F$4-Topraklar!$F$20)+Ayarlar!$B$5*ABS(Bitkiler!$G$4-Topraklar!$G$20)+Ayarlar!$B$6*IF(Bitkiler!$H$4=Topraklar!$H$20,0,1))/Ayarlar!$B$7)+IF(Topraklar!$K$20=Bitkiler!$C$4,0.002,IF(Topraklar!$L$20="Evet",0.001,0)))</f>
        <v/>
      </c>
      <c r="U5" s="16">
        <f>IF(OR(Topraklar!$J$21="Evet",AND(Topraklar!$L$21&lt;&gt;"Evet",Topraklar!$K$21&lt;&gt;Bitkiler!$C$4)),0,MAX(0,1-(Ayarlar!$B$2*ABS(Bitkiler!$D$4-Topraklar!$D$21)+Ayarlar!$B$3*ABS(Bitkiler!$E$4-Topraklar!$E$21)+Ayarlar!$B$4*ABS(Bitkiler!$F$4-Topraklar!$F$21)+Ayarlar!$B$5*ABS(Bitkiler!$G$4-Topraklar!$G$21)+Ayarlar!$B$6*IF(Bitkiler!$H$4=Topraklar!$H$21,0,1))/Ayarlar!$B$7)+IF(Topraklar!$K$21=Bitkiler!$C$4,0.002,IF(Topraklar!$L$21="Evet",0.001,0)))</f>
        <v/>
      </c>
      <c r="V5" s="16">
        <f>IF(OR(Topraklar!$J$22="Evet",AND(Topraklar!$L$22&lt;&gt;"Evet",Topraklar!$K$22&lt;&gt;Bitkiler!$C$4)),0,MAX(0,1-(Ayarlar!$B$2*ABS(Bitkiler!$D$4-Topraklar!$D$22)+Ayarlar!$B$3*ABS(Bitkiler!$E$4-Topraklar!$E$22)+Ayarlar!$B$4*ABS(Bitkiler!$F$4-Topraklar!$F$22)+Ayarlar!$B$5*ABS(Bitkiler!$G$4-Topraklar!$G$22)+Ayarlar!$B$6*IF(Bitkiler!$H$4=Topraklar!$H$22,0,1))/Ayarlar!$B$7)+IF(Topraklar!$K$22=Bitkiler!$C$4,0.002,IF(Topraklar!$L$22="Evet",0.001,0)))</f>
        <v/>
      </c>
      <c r="W5" s="16">
        <f>IF(OR(Topraklar!$J$23="Evet",AND(Topraklar!$L$23&lt;&gt;"Evet",Topraklar!$K$23&lt;&gt;Bitkiler!$C$4)),0,MAX(0,1-(Ayarlar!$B$2*ABS(Bitkiler!$D$4-Topraklar!$D$23)+Ayarlar!$B$3*ABS(Bitkiler!$E$4-Topraklar!$E$23)+Ayarlar!$B$4*ABS(Bitkiler!$F$4-Topraklar!$F$23)+Ayarlar!$B$5*ABS(Bitkiler!$G$4-Topraklar!$G$23)+Ayarlar!$B$6*IF(Bitkiler!$H$4=Topraklar!$H$23,0,1))/Ayarlar!$B$7)+IF(Topraklar!$K$23=Bitkiler!$C$4,0.002,IF(Topraklar!$L$23="Evet",0.001,0)))</f>
        <v/>
      </c>
      <c r="X5" s="16">
        <f>IF(OR(Topraklar!$J$24="Evet",AND(Topraklar!$L$24&lt;&gt;"Evet",Topraklar!$K$24&lt;&gt;Bitkiler!$C$4)),0,MAX(0,1-(Ayarlar!$B$2*ABS(Bitkiler!$D$4-Topraklar!$D$24)+Ayarlar!$B$3*ABS(Bitkiler!$E$4-Topraklar!$E$24)+Ayarlar!$B$4*ABS(Bitkiler!$F$4-Topraklar!$F$24)+Ayarlar!$B$5*ABS(Bitkiler!$G$4-Topraklar!$G$24)+Ayarlar!$B$6*IF(Bitkiler!$H$4=Topraklar!$H$24,0,1))/Ayarlar!$B$7)+IF(Topraklar!$K$24=Bitkiler!$C$4,0.002,IF(Topraklar!$L$24="Evet",0.001,0)))</f>
        <v/>
      </c>
      <c r="Y5" s="16">
        <f>IF(OR(Topraklar!$J$25="Evet",AND(Topraklar!$L$25&lt;&gt;"Evet",Topraklar!$K$25&lt;&gt;Bitkiler!$C$4)),0,MAX(0,1-(Ayarlar!$B$2*ABS(Bitkiler!$D$4-Topraklar!$D$25)+Ayarlar!$B$3*ABS(Bitkiler!$E$4-Topraklar!$E$25)+Ayarlar!$B$4*ABS(Bitkiler!$F$4-Topraklar!$F$25)+Ayarlar!$B$5*ABS(Bitkiler!$G$4-Topraklar!$G$25)+Ayarlar!$B$6*IF(Bitkiler!$H$4=Topraklar!$H$25,0,1))/Ayarlar!$B$7)+IF(Topraklar!$K$25=Bitkiler!$C$4,0.002,IF(Topraklar!$L$25="Evet",0.001,0)))</f>
        <v/>
      </c>
      <c r="Z5" s="16">
        <f>IF(OR(Topraklar!$J$26="Evet",AND(Topraklar!$L$26&lt;&gt;"Evet",Topraklar!$K$26&lt;&gt;Bitkiler!$C$4)),0,MAX(0,1-(Ayarlar!$B$2*ABS(Bitkiler!$D$4-Topraklar!$D$26)+Ayarlar!$B$3*ABS(Bitkiler!$E$4-Topraklar!$E$26)+Ayarlar!$B$4*ABS(Bitkiler!$F$4-Topraklar!$F$26)+Ayarlar!$B$5*ABS(Bitkiler!$G$4-Topraklar!$G$26)+Ayarlar!$B$6*IF(Bitkiler!$H$4=Topraklar!$H$26,0,1))/Ayarlar!$B$7)+IF(Topraklar!$K$26=Bitkiler!$C$4,0.002,IF(Topraklar!$L$26="Evet",0.001,0)))</f>
        <v/>
      </c>
      <c r="AA5" s="16">
        <f>IF(OR(Topraklar!$J$27="Evet",AND(Topraklar!$L$27&lt;&gt;"Evet",Topraklar!$K$27&lt;&gt;Bitkiler!$C$4)),0,MAX(0,1-(Ayarlar!$B$2*ABS(Bitkiler!$D$4-Topraklar!$D$27)+Ayarlar!$B$3*ABS(Bitkiler!$E$4-Topraklar!$E$27)+Ayarlar!$B$4*ABS(Bitkiler!$F$4-Topraklar!$F$27)+Ayarlar!$B$5*ABS(Bitkiler!$G$4-Topraklar!$G$27)+Ayarlar!$B$6*IF(Bitkiler!$H$4=Topraklar!$H$27,0,1))/Ayarlar!$B$7)+IF(Topraklar!$K$27=Bitkiler!$C$4,0.002,IF(Topraklar!$L$27="Evet",0.001,0)))</f>
        <v/>
      </c>
      <c r="AB5" s="16">
        <f>IF(OR(Topraklar!$J$28="Evet",AND(Topraklar!$L$28&lt;&gt;"Evet",Topraklar!$K$28&lt;&gt;Bitkiler!$C$4)),0,MAX(0,1-(Ayarlar!$B$2*ABS(Bitkiler!$D$4-Topraklar!$D$28)+Ayarlar!$B$3*ABS(Bitkiler!$E$4-Topraklar!$E$28)+Ayarlar!$B$4*ABS(Bitkiler!$F$4-Topraklar!$F$28)+Ayarlar!$B$5*ABS(Bitkiler!$G$4-Topraklar!$G$28)+Ayarlar!$B$6*IF(Bitkiler!$H$4=Topraklar!$H$28,0,1))/Ayarlar!$B$7)+IF(Topraklar!$K$28=Bitkiler!$C$4,0.002,IF(Topraklar!$L$28="Evet",0.001,0)))</f>
        <v/>
      </c>
      <c r="AC5" s="16">
        <f>IF(OR(Topraklar!$J$29="Evet",AND(Topraklar!$L$29&lt;&gt;"Evet",Topraklar!$K$29&lt;&gt;Bitkiler!$C$4)),0,MAX(0,1-(Ayarlar!$B$2*ABS(Bitkiler!$D$4-Topraklar!$D$29)+Ayarlar!$B$3*ABS(Bitkiler!$E$4-Topraklar!$E$29)+Ayarlar!$B$4*ABS(Bitkiler!$F$4-Topraklar!$F$29)+Ayarlar!$B$5*ABS(Bitkiler!$G$4-Topraklar!$G$29)+Ayarlar!$B$6*IF(Bitkiler!$H$4=Topraklar!$H$29,0,1))/Ayarlar!$B$7)+IF(Topraklar!$K$29=Bitkiler!$C$4,0.002,IF(Topraklar!$L$29="Evet",0.001,0)))</f>
        <v/>
      </c>
      <c r="AD5" s="16">
        <f>IF(OR(Topraklar!$J$30="Evet",AND(Topraklar!$L$30&lt;&gt;"Evet",Topraklar!$K$30&lt;&gt;Bitkiler!$C$4)),0,MAX(0,1-(Ayarlar!$B$2*ABS(Bitkiler!$D$4-Topraklar!$D$30)+Ayarlar!$B$3*ABS(Bitkiler!$E$4-Topraklar!$E$30)+Ayarlar!$B$4*ABS(Bitkiler!$F$4-Topraklar!$F$30)+Ayarlar!$B$5*ABS(Bitkiler!$G$4-Topraklar!$G$30)+Ayarlar!$B$6*IF(Bitkiler!$H$4=Topraklar!$H$30,0,1))/Ayarlar!$B$7)+IF(Topraklar!$K$30=Bitkiler!$C$4,0.002,IF(Topraklar!$L$30="Evet",0.001,0)))</f>
        <v/>
      </c>
      <c r="AE5" s="16">
        <f>IF(OR(Topraklar!$J$31="Evet",AND(Topraklar!$L$31&lt;&gt;"Evet",Topraklar!$K$31&lt;&gt;Bitkiler!$C$4)),0,MAX(0,1-(Ayarlar!$B$2*ABS(Bitkiler!$D$4-Topraklar!$D$31)+Ayarlar!$B$3*ABS(Bitkiler!$E$4-Topraklar!$E$31)+Ayarlar!$B$4*ABS(Bitkiler!$F$4-Topraklar!$F$31)+Ayarlar!$B$5*ABS(Bitkiler!$G$4-Topraklar!$G$31)+Ayarlar!$B$6*IF(Bitkiler!$H$4=Topraklar!$H$31,0,1))/Ayarlar!$B$7)+IF(Topraklar!$K$31=Bitkiler!$C$4,0.002,IF(Topraklar!$L$31="Evet",0.001,0)))</f>
        <v/>
      </c>
      <c r="AF5" s="16">
        <f>IF(OR(Topraklar!$J$32="Evet",AND(Topraklar!$L$32&lt;&gt;"Evet",Topraklar!$K$32&lt;&gt;Bitkiler!$C$4)),0,MAX(0,1-(Ayarlar!$B$2*ABS(Bitkiler!$D$4-Topraklar!$D$32)+Ayarlar!$B$3*ABS(Bitkiler!$E$4-Topraklar!$E$32)+Ayarlar!$B$4*ABS(Bitkiler!$F$4-Topraklar!$F$32)+Ayarlar!$B$5*ABS(Bitkiler!$G$4-Topraklar!$G$32)+Ayarlar!$B$6*IF(Bitkiler!$H$4=Topraklar!$H$32,0,1))/Ayarlar!$B$7)+IF(Topraklar!$K$32=Bitkiler!$C$4,0.002,IF(Topraklar!$L$32="Evet",0.001,0)))</f>
        <v/>
      </c>
      <c r="AG5" s="16">
        <f>IF(OR(Topraklar!$J$33="Evet",AND(Topraklar!$L$33&lt;&gt;"Evet",Topraklar!$K$33&lt;&gt;Bitkiler!$C$4)),0,MAX(0,1-(Ayarlar!$B$2*ABS(Bitkiler!$D$4-Topraklar!$D$33)+Ayarlar!$B$3*ABS(Bitkiler!$E$4-Topraklar!$E$33)+Ayarlar!$B$4*ABS(Bitkiler!$F$4-Topraklar!$F$33)+Ayarlar!$B$5*ABS(Bitkiler!$G$4-Topraklar!$G$33)+Ayarlar!$B$6*IF(Bitkiler!$H$4=Topraklar!$H$33,0,1))/Ayarlar!$B$7)+IF(Topraklar!$K$33=Bitkiler!$C$4,0.002,IF(Topraklar!$L$33="Evet",0.001,0)))</f>
        <v/>
      </c>
      <c r="AH5" s="16">
        <f>IF(OR(Topraklar!$J$34="Evet",AND(Topraklar!$L$34&lt;&gt;"Evet",Topraklar!$K$34&lt;&gt;Bitkiler!$C$4)),0,MAX(0,1-(Ayarlar!$B$2*ABS(Bitkiler!$D$4-Topraklar!$D$34)+Ayarlar!$B$3*ABS(Bitkiler!$E$4-Topraklar!$E$34)+Ayarlar!$B$4*ABS(Bitkiler!$F$4-Topraklar!$F$34)+Ayarlar!$B$5*ABS(Bitkiler!$G$4-Topraklar!$G$34)+Ayarlar!$B$6*IF(Bitkiler!$H$4=Topraklar!$H$34,0,1))/Ayarlar!$B$7)+IF(Topraklar!$K$34=Bitkiler!$C$4,0.002,IF(Topraklar!$L$34="Evet",0.001,0)))</f>
        <v/>
      </c>
      <c r="AI5" s="16">
        <f>IF(OR(Topraklar!$J$35="Evet",AND(Topraklar!$L$35&lt;&gt;"Evet",Topraklar!$K$35&lt;&gt;Bitkiler!$C$4)),0,MAX(0,1-(Ayarlar!$B$2*ABS(Bitkiler!$D$4-Topraklar!$D$35)+Ayarlar!$B$3*ABS(Bitkiler!$E$4-Topraklar!$E$35)+Ayarlar!$B$4*ABS(Bitkiler!$F$4-Topraklar!$F$35)+Ayarlar!$B$5*ABS(Bitkiler!$G$4-Topraklar!$G$35)+Ayarlar!$B$6*IF(Bitkiler!$H$4=Topraklar!$H$35,0,1))/Ayarlar!$B$7)+IF(Topraklar!$K$35=Bitkiler!$C$4,0.002,IF(Topraklar!$L$35="Evet",0.001,0)))</f>
        <v/>
      </c>
      <c r="AJ5" s="16">
        <f>IF(OR(Topraklar!$J$36="Evet",AND(Topraklar!$L$36&lt;&gt;"Evet",Topraklar!$K$36&lt;&gt;Bitkiler!$C$4)),0,MAX(0,1-(Ayarlar!$B$2*ABS(Bitkiler!$D$4-Topraklar!$D$36)+Ayarlar!$B$3*ABS(Bitkiler!$E$4-Topraklar!$E$36)+Ayarlar!$B$4*ABS(Bitkiler!$F$4-Topraklar!$F$36)+Ayarlar!$B$5*ABS(Bitkiler!$G$4-Topraklar!$G$36)+Ayarlar!$B$6*IF(Bitkiler!$H$4=Topraklar!$H$36,0,1))/Ayarlar!$B$7)+IF(Topraklar!$K$36=Bitkiler!$C$4,0.002,IF(Topraklar!$L$36="Evet",0.001,0)))</f>
        <v/>
      </c>
      <c r="AK5" s="16">
        <f>IF(OR(Topraklar!$J$37="Evet",AND(Topraklar!$L$37&lt;&gt;"Evet",Topraklar!$K$37&lt;&gt;Bitkiler!$C$4)),0,MAX(0,1-(Ayarlar!$B$2*ABS(Bitkiler!$D$4-Topraklar!$D$37)+Ayarlar!$B$3*ABS(Bitkiler!$E$4-Topraklar!$E$37)+Ayarlar!$B$4*ABS(Bitkiler!$F$4-Topraklar!$F$37)+Ayarlar!$B$5*ABS(Bitkiler!$G$4-Topraklar!$G$37)+Ayarlar!$B$6*IF(Bitkiler!$H$4=Topraklar!$H$37,0,1))/Ayarlar!$B$7)+IF(Topraklar!$K$37=Bitkiler!$C$4,0.002,IF(Topraklar!$L$37="Evet",0.001,0)))</f>
        <v/>
      </c>
      <c r="AL5" s="16">
        <f>IF(OR(Topraklar!$J$38="Evet",AND(Topraklar!$L$38&lt;&gt;"Evet",Topraklar!$K$38&lt;&gt;Bitkiler!$C$4)),0,MAX(0,1-(Ayarlar!$B$2*ABS(Bitkiler!$D$4-Topraklar!$D$38)+Ayarlar!$B$3*ABS(Bitkiler!$E$4-Topraklar!$E$38)+Ayarlar!$B$4*ABS(Bitkiler!$F$4-Topraklar!$F$38)+Ayarlar!$B$5*ABS(Bitkiler!$G$4-Topraklar!$G$38)+Ayarlar!$B$6*IF(Bitkiler!$H$4=Topraklar!$H$38,0,1))/Ayarlar!$B$7)+IF(Topraklar!$K$38=Bitkiler!$C$4,0.002,IF(Topraklar!$L$38="Evet",0.001,0)))</f>
        <v/>
      </c>
      <c r="AM5" s="16">
        <f>IF(OR(Topraklar!$J$39="Evet",AND(Topraklar!$L$39&lt;&gt;"Evet",Topraklar!$K$39&lt;&gt;Bitkiler!$C$4)),0,MAX(0,1-(Ayarlar!$B$2*ABS(Bitkiler!$D$4-Topraklar!$D$39)+Ayarlar!$B$3*ABS(Bitkiler!$E$4-Topraklar!$E$39)+Ayarlar!$B$4*ABS(Bitkiler!$F$4-Topraklar!$F$39)+Ayarlar!$B$5*ABS(Bitkiler!$G$4-Topraklar!$G$39)+Ayarlar!$B$6*IF(Bitkiler!$H$4=Topraklar!$H$39,0,1))/Ayarlar!$B$7)+IF(Topraklar!$K$39=Bitkiler!$C$4,0.002,IF(Topraklar!$L$39="Evet",0.001,0)))</f>
        <v/>
      </c>
      <c r="AN5" s="16">
        <f>IF(OR(Topraklar!$J$40="Evet",AND(Topraklar!$L$40&lt;&gt;"Evet",Topraklar!$K$40&lt;&gt;Bitkiler!$C$4)),0,MAX(0,1-(Ayarlar!$B$2*ABS(Bitkiler!$D$4-Topraklar!$D$40)+Ayarlar!$B$3*ABS(Bitkiler!$E$4-Topraklar!$E$40)+Ayarlar!$B$4*ABS(Bitkiler!$F$4-Topraklar!$F$40)+Ayarlar!$B$5*ABS(Bitkiler!$G$4-Topraklar!$G$40)+Ayarlar!$B$6*IF(Bitkiler!$H$4=Topraklar!$H$40,0,1))/Ayarlar!$B$7)+IF(Topraklar!$K$40=Bitkiler!$C$4,0.002,IF(Topraklar!$L$40="Evet",0.001,0)))</f>
        <v/>
      </c>
      <c r="AO5" s="16">
        <f>IF(OR(Topraklar!$J$41="Evet",AND(Topraklar!$L$41&lt;&gt;"Evet",Topraklar!$K$41&lt;&gt;Bitkiler!$C$4)),0,MAX(0,1-(Ayarlar!$B$2*ABS(Bitkiler!$D$4-Topraklar!$D$41)+Ayarlar!$B$3*ABS(Bitkiler!$E$4-Topraklar!$E$41)+Ayarlar!$B$4*ABS(Bitkiler!$F$4-Topraklar!$F$41)+Ayarlar!$B$5*ABS(Bitkiler!$G$4-Topraklar!$G$41)+Ayarlar!$B$6*IF(Bitkiler!$H$4=Topraklar!$H$41,0,1))/Ayarlar!$B$7)+IF(Topraklar!$K$41=Bitkiler!$C$4,0.002,IF(Topraklar!$L$41="Evet",0.001,0)))</f>
        <v/>
      </c>
      <c r="AP5" s="16">
        <f>IF(OR(Topraklar!$J$42="Evet",AND(Topraklar!$L$42&lt;&gt;"Evet",Topraklar!$K$42&lt;&gt;Bitkiler!$C$4)),0,MAX(0,1-(Ayarlar!$B$2*ABS(Bitkiler!$D$4-Topraklar!$D$42)+Ayarlar!$B$3*ABS(Bitkiler!$E$4-Topraklar!$E$42)+Ayarlar!$B$4*ABS(Bitkiler!$F$4-Topraklar!$F$42)+Ayarlar!$B$5*ABS(Bitkiler!$G$4-Topraklar!$G$42)+Ayarlar!$B$6*IF(Bitkiler!$H$4=Topraklar!$H$42,0,1))/Ayarlar!$B$7)+IF(Topraklar!$K$42=Bitkiler!$C$4,0.002,IF(Topraklar!$L$42="Evet",0.001,0)))</f>
        <v/>
      </c>
      <c r="AQ5" s="16">
        <f>IF(OR(Topraklar!$J$43="Evet",AND(Topraklar!$L$43&lt;&gt;"Evet",Topraklar!$K$43&lt;&gt;Bitkiler!$C$4)),0,MAX(0,1-(Ayarlar!$B$2*ABS(Bitkiler!$D$4-Topraklar!$D$43)+Ayarlar!$B$3*ABS(Bitkiler!$E$4-Topraklar!$E$43)+Ayarlar!$B$4*ABS(Bitkiler!$F$4-Topraklar!$F$43)+Ayarlar!$B$5*ABS(Bitkiler!$G$4-Topraklar!$G$43)+Ayarlar!$B$6*IF(Bitkiler!$H$4=Topraklar!$H$43,0,1))/Ayarlar!$B$7)+IF(Topraklar!$K$43=Bitkiler!$C$4,0.002,IF(Topraklar!$L$43="Evet",0.001,0)))</f>
        <v/>
      </c>
      <c r="AR5" s="16">
        <f>IF(OR(Topraklar!$J$44="Evet",AND(Topraklar!$L$44&lt;&gt;"Evet",Topraklar!$K$44&lt;&gt;Bitkiler!$C$4)),0,MAX(0,1-(Ayarlar!$B$2*ABS(Bitkiler!$D$4-Topraklar!$D$44)+Ayarlar!$B$3*ABS(Bitkiler!$E$4-Topraklar!$E$44)+Ayarlar!$B$4*ABS(Bitkiler!$F$4-Topraklar!$F$44)+Ayarlar!$B$5*ABS(Bitkiler!$G$4-Topraklar!$G$44)+Ayarlar!$B$6*IF(Bitkiler!$H$4=Topraklar!$H$44,0,1))/Ayarlar!$B$7)+IF(Topraklar!$K$44=Bitkiler!$C$4,0.002,IF(Topraklar!$L$44="Evet",0.001,0)))</f>
        <v/>
      </c>
      <c r="AS5" s="16">
        <f>IF(OR(Topraklar!$J$45="Evet",AND(Topraklar!$L$45&lt;&gt;"Evet",Topraklar!$K$45&lt;&gt;Bitkiler!$C$4)),0,MAX(0,1-(Ayarlar!$B$2*ABS(Bitkiler!$D$4-Topraklar!$D$45)+Ayarlar!$B$3*ABS(Bitkiler!$E$4-Topraklar!$E$45)+Ayarlar!$B$4*ABS(Bitkiler!$F$4-Topraklar!$F$45)+Ayarlar!$B$5*ABS(Bitkiler!$G$4-Topraklar!$G$45)+Ayarlar!$B$6*IF(Bitkiler!$H$4=Topraklar!$H$45,0,1))/Ayarlar!$B$7)+IF(Topraklar!$K$45=Bitkiler!$C$4,0.002,IF(Topraklar!$L$45="Evet",0.001,0)))</f>
        <v/>
      </c>
      <c r="AT5" s="16">
        <f>IF(OR(Topraklar!$J$46="Evet",AND(Topraklar!$L$46&lt;&gt;"Evet",Topraklar!$K$46&lt;&gt;Bitkiler!$C$4)),0,MAX(0,1-(Ayarlar!$B$2*ABS(Bitkiler!$D$4-Topraklar!$D$46)+Ayarlar!$B$3*ABS(Bitkiler!$E$4-Topraklar!$E$46)+Ayarlar!$B$4*ABS(Bitkiler!$F$4-Topraklar!$F$46)+Ayarlar!$B$5*ABS(Bitkiler!$G$4-Topraklar!$G$46)+Ayarlar!$B$6*IF(Bitkiler!$H$4=Topraklar!$H$46,0,1))/Ayarlar!$B$7)+IF(Topraklar!$K$46=Bitkiler!$C$4,0.002,IF(Topraklar!$L$46="Evet",0.001,0)))</f>
        <v/>
      </c>
      <c r="AU5" s="16">
        <f>IF(OR(Topraklar!$J$47="Evet",AND(Topraklar!$L$47&lt;&gt;"Evet",Topraklar!$K$47&lt;&gt;Bitkiler!$C$4)),0,MAX(0,1-(Ayarlar!$B$2*ABS(Bitkiler!$D$4-Topraklar!$D$47)+Ayarlar!$B$3*ABS(Bitkiler!$E$4-Topraklar!$E$47)+Ayarlar!$B$4*ABS(Bitkiler!$F$4-Topraklar!$F$47)+Ayarlar!$B$5*ABS(Bitkiler!$G$4-Topraklar!$G$47)+Ayarlar!$B$6*IF(Bitkiler!$H$4=Topraklar!$H$47,0,1))/Ayarlar!$B$7)+IF(Topraklar!$K$47=Bitkiler!$C$4,0.002,IF(Topraklar!$L$47="Evet",0.001,0)))</f>
        <v/>
      </c>
      <c r="AV5" s="16">
        <f>IF(OR(Topraklar!$J$48="Evet",AND(Topraklar!$L$48&lt;&gt;"Evet",Topraklar!$K$48&lt;&gt;Bitkiler!$C$4)),0,MAX(0,1-(Ayarlar!$B$2*ABS(Bitkiler!$D$4-Topraklar!$D$48)+Ayarlar!$B$3*ABS(Bitkiler!$E$4-Topraklar!$E$48)+Ayarlar!$B$4*ABS(Bitkiler!$F$4-Topraklar!$F$48)+Ayarlar!$B$5*ABS(Bitkiler!$G$4-Topraklar!$G$48)+Ayarlar!$B$6*IF(Bitkiler!$H$4=Topraklar!$H$48,0,1))/Ayarlar!$B$7)+IF(Topraklar!$K$48=Bitkiler!$C$4,0.002,IF(Topraklar!$L$48="Evet",0.001,0)))</f>
        <v/>
      </c>
      <c r="AW5" s="16">
        <f>IF(OR(Topraklar!$J$49="Evet",AND(Topraklar!$L$49&lt;&gt;"Evet",Topraklar!$K$49&lt;&gt;Bitkiler!$C$4)),0,MAX(0,1-(Ayarlar!$B$2*ABS(Bitkiler!$D$4-Topraklar!$D$49)+Ayarlar!$B$3*ABS(Bitkiler!$E$4-Topraklar!$E$49)+Ayarlar!$B$4*ABS(Bitkiler!$F$4-Topraklar!$F$49)+Ayarlar!$B$5*ABS(Bitkiler!$G$4-Topraklar!$G$49)+Ayarlar!$B$6*IF(Bitkiler!$H$4=Topraklar!$H$49,0,1))/Ayarlar!$B$7)+IF(Topraklar!$K$49=Bitkiler!$C$4,0.002,IF(Topraklar!$L$49="Evet",0.001,0)))</f>
        <v/>
      </c>
      <c r="AX5" s="16">
        <f>IF(OR(Topraklar!$J$50="Evet",AND(Topraklar!$L$50&lt;&gt;"Evet",Topraklar!$K$50&lt;&gt;Bitkiler!$C$4)),0,MAX(0,1-(Ayarlar!$B$2*ABS(Bitkiler!$D$4-Topraklar!$D$50)+Ayarlar!$B$3*ABS(Bitkiler!$E$4-Topraklar!$E$50)+Ayarlar!$B$4*ABS(Bitkiler!$F$4-Topraklar!$F$50)+Ayarlar!$B$5*ABS(Bitkiler!$G$4-Topraklar!$G$50)+Ayarlar!$B$6*IF(Bitkiler!$H$4=Topraklar!$H$50,0,1))/Ayarlar!$B$7)+IF(Topraklar!$K$50=Bitkiler!$C$4,0.002,IF(Topraklar!$L$50="Evet",0.001,0)))</f>
        <v/>
      </c>
      <c r="AY5" s="16">
        <f>IF(OR(Topraklar!$J$51="Evet",AND(Topraklar!$L$51&lt;&gt;"Evet",Topraklar!$K$51&lt;&gt;Bitkiler!$C$4)),0,MAX(0,1-(Ayarlar!$B$2*ABS(Bitkiler!$D$4-Topraklar!$D$51)+Ayarlar!$B$3*ABS(Bitkiler!$E$4-Topraklar!$E$51)+Ayarlar!$B$4*ABS(Bitkiler!$F$4-Topraklar!$F$51)+Ayarlar!$B$5*ABS(Bitkiler!$G$4-Topraklar!$G$51)+Ayarlar!$B$6*IF(Bitkiler!$H$4=Topraklar!$H$51,0,1))/Ayarlar!$B$7)+IF(Topraklar!$K$51=Bitkiler!$C$4,0.002,IF(Topraklar!$L$51="Evet",0.001,0)))</f>
        <v/>
      </c>
    </row>
    <row r="6">
      <c r="A6" s="15">
        <f>Bitkiler!A5</f>
        <v/>
      </c>
      <c r="B6" s="16">
        <f>IF(OR(Topraklar!$J$2="Evet",AND(Topraklar!$L$2&lt;&gt;"Evet",Topraklar!$K$2&lt;&gt;Bitkiler!$C$5)),0,MAX(0,1-(Ayarlar!$B$2*ABS(Bitkiler!$D$5-Topraklar!$D$2)+Ayarlar!$B$3*ABS(Bitkiler!$E$5-Topraklar!$E$2)+Ayarlar!$B$4*ABS(Bitkiler!$F$5-Topraklar!$F$2)+Ayarlar!$B$5*ABS(Bitkiler!$G$5-Topraklar!$G$2)+Ayarlar!$B$6*IF(Bitkiler!$H$5=Topraklar!$H$2,0,1))/Ayarlar!$B$7)+IF(Topraklar!$K$2=Bitkiler!$C$5,0.002,IF(Topraklar!$L$2="Evet",0.001,0)))</f>
        <v/>
      </c>
      <c r="C6" s="16">
        <f>IF(OR(Topraklar!$J$3="Evet",AND(Topraklar!$L$3&lt;&gt;"Evet",Topraklar!$K$3&lt;&gt;Bitkiler!$C$5)),0,MAX(0,1-(Ayarlar!$B$2*ABS(Bitkiler!$D$5-Topraklar!$D$3)+Ayarlar!$B$3*ABS(Bitkiler!$E$5-Topraklar!$E$3)+Ayarlar!$B$4*ABS(Bitkiler!$F$5-Topraklar!$F$3)+Ayarlar!$B$5*ABS(Bitkiler!$G$5-Topraklar!$G$3)+Ayarlar!$B$6*IF(Bitkiler!$H$5=Topraklar!$H$3,0,1))/Ayarlar!$B$7)+IF(Topraklar!$K$3=Bitkiler!$C$5,0.002,IF(Topraklar!$L$3="Evet",0.001,0)))</f>
        <v/>
      </c>
      <c r="D6" s="16">
        <f>IF(OR(Topraklar!$J$4="Evet",AND(Topraklar!$L$4&lt;&gt;"Evet",Topraklar!$K$4&lt;&gt;Bitkiler!$C$5)),0,MAX(0,1-(Ayarlar!$B$2*ABS(Bitkiler!$D$5-Topraklar!$D$4)+Ayarlar!$B$3*ABS(Bitkiler!$E$5-Topraklar!$E$4)+Ayarlar!$B$4*ABS(Bitkiler!$F$5-Topraklar!$F$4)+Ayarlar!$B$5*ABS(Bitkiler!$G$5-Topraklar!$G$4)+Ayarlar!$B$6*IF(Bitkiler!$H$5=Topraklar!$H$4,0,1))/Ayarlar!$B$7)+IF(Topraklar!$K$4=Bitkiler!$C$5,0.002,IF(Topraklar!$L$4="Evet",0.001,0)))</f>
        <v/>
      </c>
      <c r="E6" s="16">
        <f>IF(OR(Topraklar!$J$5="Evet",AND(Topraklar!$L$5&lt;&gt;"Evet",Topraklar!$K$5&lt;&gt;Bitkiler!$C$5)),0,MAX(0,1-(Ayarlar!$B$2*ABS(Bitkiler!$D$5-Topraklar!$D$5)+Ayarlar!$B$3*ABS(Bitkiler!$E$5-Topraklar!$E$5)+Ayarlar!$B$4*ABS(Bitkiler!$F$5-Topraklar!$F$5)+Ayarlar!$B$5*ABS(Bitkiler!$G$5-Topraklar!$G$5)+Ayarlar!$B$6*IF(Bitkiler!$H$5=Topraklar!$H$5,0,1))/Ayarlar!$B$7)+IF(Topraklar!$K$5=Bitkiler!$C$5,0.002,IF(Topraklar!$L$5="Evet",0.001,0)))</f>
        <v/>
      </c>
      <c r="F6" s="16">
        <f>IF(OR(Topraklar!$J$6="Evet",AND(Topraklar!$L$6&lt;&gt;"Evet",Topraklar!$K$6&lt;&gt;Bitkiler!$C$5)),0,MAX(0,1-(Ayarlar!$B$2*ABS(Bitkiler!$D$5-Topraklar!$D$6)+Ayarlar!$B$3*ABS(Bitkiler!$E$5-Topraklar!$E$6)+Ayarlar!$B$4*ABS(Bitkiler!$F$5-Topraklar!$F$6)+Ayarlar!$B$5*ABS(Bitkiler!$G$5-Topraklar!$G$6)+Ayarlar!$B$6*IF(Bitkiler!$H$5=Topraklar!$H$6,0,1))/Ayarlar!$B$7)+IF(Topraklar!$K$6=Bitkiler!$C$5,0.002,IF(Topraklar!$L$6="Evet",0.001,0)))</f>
        <v/>
      </c>
      <c r="G6" s="16">
        <f>IF(OR(Topraklar!$J$7="Evet",AND(Topraklar!$L$7&lt;&gt;"Evet",Topraklar!$K$7&lt;&gt;Bitkiler!$C$5)),0,MAX(0,1-(Ayarlar!$B$2*ABS(Bitkiler!$D$5-Topraklar!$D$7)+Ayarlar!$B$3*ABS(Bitkiler!$E$5-Topraklar!$E$7)+Ayarlar!$B$4*ABS(Bitkiler!$F$5-Topraklar!$F$7)+Ayarlar!$B$5*ABS(Bitkiler!$G$5-Topraklar!$G$7)+Ayarlar!$B$6*IF(Bitkiler!$H$5=Topraklar!$H$7,0,1))/Ayarlar!$B$7)+IF(Topraklar!$K$7=Bitkiler!$C$5,0.002,IF(Topraklar!$L$7="Evet",0.001,0)))</f>
        <v/>
      </c>
      <c r="H6" s="16">
        <f>IF(OR(Topraklar!$J$8="Evet",AND(Topraklar!$L$8&lt;&gt;"Evet",Topraklar!$K$8&lt;&gt;Bitkiler!$C$5)),0,MAX(0,1-(Ayarlar!$B$2*ABS(Bitkiler!$D$5-Topraklar!$D$8)+Ayarlar!$B$3*ABS(Bitkiler!$E$5-Topraklar!$E$8)+Ayarlar!$B$4*ABS(Bitkiler!$F$5-Topraklar!$F$8)+Ayarlar!$B$5*ABS(Bitkiler!$G$5-Topraklar!$G$8)+Ayarlar!$B$6*IF(Bitkiler!$H$5=Topraklar!$H$8,0,1))/Ayarlar!$B$7)+IF(Topraklar!$K$8=Bitkiler!$C$5,0.002,IF(Topraklar!$L$8="Evet",0.001,0)))</f>
        <v/>
      </c>
      <c r="I6" s="16">
        <f>IF(OR(Topraklar!$J$9="Evet",AND(Topraklar!$L$9&lt;&gt;"Evet",Topraklar!$K$9&lt;&gt;Bitkiler!$C$5)),0,MAX(0,1-(Ayarlar!$B$2*ABS(Bitkiler!$D$5-Topraklar!$D$9)+Ayarlar!$B$3*ABS(Bitkiler!$E$5-Topraklar!$E$9)+Ayarlar!$B$4*ABS(Bitkiler!$F$5-Topraklar!$F$9)+Ayarlar!$B$5*ABS(Bitkiler!$G$5-Topraklar!$G$9)+Ayarlar!$B$6*IF(Bitkiler!$H$5=Topraklar!$H$9,0,1))/Ayarlar!$B$7)+IF(Topraklar!$K$9=Bitkiler!$C$5,0.002,IF(Topraklar!$L$9="Evet",0.001,0)))</f>
        <v/>
      </c>
      <c r="J6" s="16">
        <f>IF(OR(Topraklar!$J$10="Evet",AND(Topraklar!$L$10&lt;&gt;"Evet",Topraklar!$K$10&lt;&gt;Bitkiler!$C$5)),0,MAX(0,1-(Ayarlar!$B$2*ABS(Bitkiler!$D$5-Topraklar!$D$10)+Ayarlar!$B$3*ABS(Bitkiler!$E$5-Topraklar!$E$10)+Ayarlar!$B$4*ABS(Bitkiler!$F$5-Topraklar!$F$10)+Ayarlar!$B$5*ABS(Bitkiler!$G$5-Topraklar!$G$10)+Ayarlar!$B$6*IF(Bitkiler!$H$5=Topraklar!$H$10,0,1))/Ayarlar!$B$7)+IF(Topraklar!$K$10=Bitkiler!$C$5,0.002,IF(Topraklar!$L$10="Evet",0.001,0)))</f>
        <v/>
      </c>
      <c r="K6" s="16">
        <f>IF(OR(Topraklar!$J$11="Evet",AND(Topraklar!$L$11&lt;&gt;"Evet",Topraklar!$K$11&lt;&gt;Bitkiler!$C$5)),0,MAX(0,1-(Ayarlar!$B$2*ABS(Bitkiler!$D$5-Topraklar!$D$11)+Ayarlar!$B$3*ABS(Bitkiler!$E$5-Topraklar!$E$11)+Ayarlar!$B$4*ABS(Bitkiler!$F$5-Topraklar!$F$11)+Ayarlar!$B$5*ABS(Bitkiler!$G$5-Topraklar!$G$11)+Ayarlar!$B$6*IF(Bitkiler!$H$5=Topraklar!$H$11,0,1))/Ayarlar!$B$7)+IF(Topraklar!$K$11=Bitkiler!$C$5,0.002,IF(Topraklar!$L$11="Evet",0.001,0)))</f>
        <v/>
      </c>
      <c r="L6" s="16">
        <f>IF(OR(Topraklar!$J$12="Evet",AND(Topraklar!$L$12&lt;&gt;"Evet",Topraklar!$K$12&lt;&gt;Bitkiler!$C$5)),0,MAX(0,1-(Ayarlar!$B$2*ABS(Bitkiler!$D$5-Topraklar!$D$12)+Ayarlar!$B$3*ABS(Bitkiler!$E$5-Topraklar!$E$12)+Ayarlar!$B$4*ABS(Bitkiler!$F$5-Topraklar!$F$12)+Ayarlar!$B$5*ABS(Bitkiler!$G$5-Topraklar!$G$12)+Ayarlar!$B$6*IF(Bitkiler!$H$5=Topraklar!$H$12,0,1))/Ayarlar!$B$7)+IF(Topraklar!$K$12=Bitkiler!$C$5,0.002,IF(Topraklar!$L$12="Evet",0.001,0)))</f>
        <v/>
      </c>
      <c r="M6" s="16">
        <f>IF(OR(Topraklar!$J$13="Evet",AND(Topraklar!$L$13&lt;&gt;"Evet",Topraklar!$K$13&lt;&gt;Bitkiler!$C$5)),0,MAX(0,1-(Ayarlar!$B$2*ABS(Bitkiler!$D$5-Topraklar!$D$13)+Ayarlar!$B$3*ABS(Bitkiler!$E$5-Topraklar!$E$13)+Ayarlar!$B$4*ABS(Bitkiler!$F$5-Topraklar!$F$13)+Ayarlar!$B$5*ABS(Bitkiler!$G$5-Topraklar!$G$13)+Ayarlar!$B$6*IF(Bitkiler!$H$5=Topraklar!$H$13,0,1))/Ayarlar!$B$7)+IF(Topraklar!$K$13=Bitkiler!$C$5,0.002,IF(Topraklar!$L$13="Evet",0.001,0)))</f>
        <v/>
      </c>
      <c r="N6" s="16">
        <f>IF(OR(Topraklar!$J$14="Evet",AND(Topraklar!$L$14&lt;&gt;"Evet",Topraklar!$K$14&lt;&gt;Bitkiler!$C$5)),0,MAX(0,1-(Ayarlar!$B$2*ABS(Bitkiler!$D$5-Topraklar!$D$14)+Ayarlar!$B$3*ABS(Bitkiler!$E$5-Topraklar!$E$14)+Ayarlar!$B$4*ABS(Bitkiler!$F$5-Topraklar!$F$14)+Ayarlar!$B$5*ABS(Bitkiler!$G$5-Topraklar!$G$14)+Ayarlar!$B$6*IF(Bitkiler!$H$5=Topraklar!$H$14,0,1))/Ayarlar!$B$7)+IF(Topraklar!$K$14=Bitkiler!$C$5,0.002,IF(Topraklar!$L$14="Evet",0.001,0)))</f>
        <v/>
      </c>
      <c r="O6" s="16">
        <f>IF(OR(Topraklar!$J$15="Evet",AND(Topraklar!$L$15&lt;&gt;"Evet",Topraklar!$K$15&lt;&gt;Bitkiler!$C$5)),0,MAX(0,1-(Ayarlar!$B$2*ABS(Bitkiler!$D$5-Topraklar!$D$15)+Ayarlar!$B$3*ABS(Bitkiler!$E$5-Topraklar!$E$15)+Ayarlar!$B$4*ABS(Bitkiler!$F$5-Topraklar!$F$15)+Ayarlar!$B$5*ABS(Bitkiler!$G$5-Topraklar!$G$15)+Ayarlar!$B$6*IF(Bitkiler!$H$5=Topraklar!$H$15,0,1))/Ayarlar!$B$7)+IF(Topraklar!$K$15=Bitkiler!$C$5,0.002,IF(Topraklar!$L$15="Evet",0.001,0)))</f>
        <v/>
      </c>
      <c r="P6" s="16">
        <f>IF(OR(Topraklar!$J$16="Evet",AND(Topraklar!$L$16&lt;&gt;"Evet",Topraklar!$K$16&lt;&gt;Bitkiler!$C$5)),0,MAX(0,1-(Ayarlar!$B$2*ABS(Bitkiler!$D$5-Topraklar!$D$16)+Ayarlar!$B$3*ABS(Bitkiler!$E$5-Topraklar!$E$16)+Ayarlar!$B$4*ABS(Bitkiler!$F$5-Topraklar!$F$16)+Ayarlar!$B$5*ABS(Bitkiler!$G$5-Topraklar!$G$16)+Ayarlar!$B$6*IF(Bitkiler!$H$5=Topraklar!$H$16,0,1))/Ayarlar!$B$7)+IF(Topraklar!$K$16=Bitkiler!$C$5,0.002,IF(Topraklar!$L$16="Evet",0.001,0)))</f>
        <v/>
      </c>
      <c r="Q6" s="16">
        <f>IF(OR(Topraklar!$J$17="Evet",AND(Topraklar!$L$17&lt;&gt;"Evet",Topraklar!$K$17&lt;&gt;Bitkiler!$C$5)),0,MAX(0,1-(Ayarlar!$B$2*ABS(Bitkiler!$D$5-Topraklar!$D$17)+Ayarlar!$B$3*ABS(Bitkiler!$E$5-Topraklar!$E$17)+Ayarlar!$B$4*ABS(Bitkiler!$F$5-Topraklar!$F$17)+Ayarlar!$B$5*ABS(Bitkiler!$G$5-Topraklar!$G$17)+Ayarlar!$B$6*IF(Bitkiler!$H$5=Topraklar!$H$17,0,1))/Ayarlar!$B$7)+IF(Topraklar!$K$17=Bitkiler!$C$5,0.002,IF(Topraklar!$L$17="Evet",0.001,0)))</f>
        <v/>
      </c>
      <c r="R6" s="16">
        <f>IF(OR(Topraklar!$J$18="Evet",AND(Topraklar!$L$18&lt;&gt;"Evet",Topraklar!$K$18&lt;&gt;Bitkiler!$C$5)),0,MAX(0,1-(Ayarlar!$B$2*ABS(Bitkiler!$D$5-Topraklar!$D$18)+Ayarlar!$B$3*ABS(Bitkiler!$E$5-Topraklar!$E$18)+Ayarlar!$B$4*ABS(Bitkiler!$F$5-Topraklar!$F$18)+Ayarlar!$B$5*ABS(Bitkiler!$G$5-Topraklar!$G$18)+Ayarlar!$B$6*IF(Bitkiler!$H$5=Topraklar!$H$18,0,1))/Ayarlar!$B$7)+IF(Topraklar!$K$18=Bitkiler!$C$5,0.002,IF(Topraklar!$L$18="Evet",0.001,0)))</f>
        <v/>
      </c>
      <c r="S6" s="16">
        <f>IF(OR(Topraklar!$J$19="Evet",AND(Topraklar!$L$19&lt;&gt;"Evet",Topraklar!$K$19&lt;&gt;Bitkiler!$C$5)),0,MAX(0,1-(Ayarlar!$B$2*ABS(Bitkiler!$D$5-Topraklar!$D$19)+Ayarlar!$B$3*ABS(Bitkiler!$E$5-Topraklar!$E$19)+Ayarlar!$B$4*ABS(Bitkiler!$F$5-Topraklar!$F$19)+Ayarlar!$B$5*ABS(Bitkiler!$G$5-Topraklar!$G$19)+Ayarlar!$B$6*IF(Bitkiler!$H$5=Topraklar!$H$19,0,1))/Ayarlar!$B$7)+IF(Topraklar!$K$19=Bitkiler!$C$5,0.002,IF(Topraklar!$L$19="Evet",0.001,0)))</f>
        <v/>
      </c>
      <c r="T6" s="16">
        <f>IF(OR(Topraklar!$J$20="Evet",AND(Topraklar!$L$20&lt;&gt;"Evet",Topraklar!$K$20&lt;&gt;Bitkiler!$C$5)),0,MAX(0,1-(Ayarlar!$B$2*ABS(Bitkiler!$D$5-Topraklar!$D$20)+Ayarlar!$B$3*ABS(Bitkiler!$E$5-Topraklar!$E$20)+Ayarlar!$B$4*ABS(Bitkiler!$F$5-Topraklar!$F$20)+Ayarlar!$B$5*ABS(Bitkiler!$G$5-Topraklar!$G$20)+Ayarlar!$B$6*IF(Bitkiler!$H$5=Topraklar!$H$20,0,1))/Ayarlar!$B$7)+IF(Topraklar!$K$20=Bitkiler!$C$5,0.002,IF(Topraklar!$L$20="Evet",0.001,0)))</f>
        <v/>
      </c>
      <c r="U6" s="16">
        <f>IF(OR(Topraklar!$J$21="Evet",AND(Topraklar!$L$21&lt;&gt;"Evet",Topraklar!$K$21&lt;&gt;Bitkiler!$C$5)),0,MAX(0,1-(Ayarlar!$B$2*ABS(Bitkiler!$D$5-Topraklar!$D$21)+Ayarlar!$B$3*ABS(Bitkiler!$E$5-Topraklar!$E$21)+Ayarlar!$B$4*ABS(Bitkiler!$F$5-Topraklar!$F$21)+Ayarlar!$B$5*ABS(Bitkiler!$G$5-Topraklar!$G$21)+Ayarlar!$B$6*IF(Bitkiler!$H$5=Topraklar!$H$21,0,1))/Ayarlar!$B$7)+IF(Topraklar!$K$21=Bitkiler!$C$5,0.002,IF(Topraklar!$L$21="Evet",0.001,0)))</f>
        <v/>
      </c>
      <c r="V6" s="16">
        <f>IF(OR(Topraklar!$J$22="Evet",AND(Topraklar!$L$22&lt;&gt;"Evet",Topraklar!$K$22&lt;&gt;Bitkiler!$C$5)),0,MAX(0,1-(Ayarlar!$B$2*ABS(Bitkiler!$D$5-Topraklar!$D$22)+Ayarlar!$B$3*ABS(Bitkiler!$E$5-Topraklar!$E$22)+Ayarlar!$B$4*ABS(Bitkiler!$F$5-Topraklar!$F$22)+Ayarlar!$B$5*ABS(Bitkiler!$G$5-Topraklar!$G$22)+Ayarlar!$B$6*IF(Bitkiler!$H$5=Topraklar!$H$22,0,1))/Ayarlar!$B$7)+IF(Topraklar!$K$22=Bitkiler!$C$5,0.002,IF(Topraklar!$L$22="Evet",0.001,0)))</f>
        <v/>
      </c>
      <c r="W6" s="16">
        <f>IF(OR(Topraklar!$J$23="Evet",AND(Topraklar!$L$23&lt;&gt;"Evet",Topraklar!$K$23&lt;&gt;Bitkiler!$C$5)),0,MAX(0,1-(Ayarlar!$B$2*ABS(Bitkiler!$D$5-Topraklar!$D$23)+Ayarlar!$B$3*ABS(Bitkiler!$E$5-Topraklar!$E$23)+Ayarlar!$B$4*ABS(Bitkiler!$F$5-Topraklar!$F$23)+Ayarlar!$B$5*ABS(Bitkiler!$G$5-Topraklar!$G$23)+Ayarlar!$B$6*IF(Bitkiler!$H$5=Topraklar!$H$23,0,1))/Ayarlar!$B$7)+IF(Topraklar!$K$23=Bitkiler!$C$5,0.002,IF(Topraklar!$L$23="Evet",0.001,0)))</f>
        <v/>
      </c>
      <c r="X6" s="16">
        <f>IF(OR(Topraklar!$J$24="Evet",AND(Topraklar!$L$24&lt;&gt;"Evet",Topraklar!$K$24&lt;&gt;Bitkiler!$C$5)),0,MAX(0,1-(Ayarlar!$B$2*ABS(Bitkiler!$D$5-Topraklar!$D$24)+Ayarlar!$B$3*ABS(Bitkiler!$E$5-Topraklar!$E$24)+Ayarlar!$B$4*ABS(Bitkiler!$F$5-Topraklar!$F$24)+Ayarlar!$B$5*ABS(Bitkiler!$G$5-Topraklar!$G$24)+Ayarlar!$B$6*IF(Bitkiler!$H$5=Topraklar!$H$24,0,1))/Ayarlar!$B$7)+IF(Topraklar!$K$24=Bitkiler!$C$5,0.002,IF(Topraklar!$L$24="Evet",0.001,0)))</f>
        <v/>
      </c>
      <c r="Y6" s="16">
        <f>IF(OR(Topraklar!$J$25="Evet",AND(Topraklar!$L$25&lt;&gt;"Evet",Topraklar!$K$25&lt;&gt;Bitkiler!$C$5)),0,MAX(0,1-(Ayarlar!$B$2*ABS(Bitkiler!$D$5-Topraklar!$D$25)+Ayarlar!$B$3*ABS(Bitkiler!$E$5-Topraklar!$E$25)+Ayarlar!$B$4*ABS(Bitkiler!$F$5-Topraklar!$F$25)+Ayarlar!$B$5*ABS(Bitkiler!$G$5-Topraklar!$G$25)+Ayarlar!$B$6*IF(Bitkiler!$H$5=Topraklar!$H$25,0,1))/Ayarlar!$B$7)+IF(Topraklar!$K$25=Bitkiler!$C$5,0.002,IF(Topraklar!$L$25="Evet",0.001,0)))</f>
        <v/>
      </c>
      <c r="Z6" s="16">
        <f>IF(OR(Topraklar!$J$26="Evet",AND(Topraklar!$L$26&lt;&gt;"Evet",Topraklar!$K$26&lt;&gt;Bitkiler!$C$5)),0,MAX(0,1-(Ayarlar!$B$2*ABS(Bitkiler!$D$5-Topraklar!$D$26)+Ayarlar!$B$3*ABS(Bitkiler!$E$5-Topraklar!$E$26)+Ayarlar!$B$4*ABS(Bitkiler!$F$5-Topraklar!$F$26)+Ayarlar!$B$5*ABS(Bitkiler!$G$5-Topraklar!$G$26)+Ayarlar!$B$6*IF(Bitkiler!$H$5=Topraklar!$H$26,0,1))/Ayarlar!$B$7)+IF(Topraklar!$K$26=Bitkiler!$C$5,0.002,IF(Topraklar!$L$26="Evet",0.001,0)))</f>
        <v/>
      </c>
      <c r="AA6" s="16">
        <f>IF(OR(Topraklar!$J$27="Evet",AND(Topraklar!$L$27&lt;&gt;"Evet",Topraklar!$K$27&lt;&gt;Bitkiler!$C$5)),0,MAX(0,1-(Ayarlar!$B$2*ABS(Bitkiler!$D$5-Topraklar!$D$27)+Ayarlar!$B$3*ABS(Bitkiler!$E$5-Topraklar!$E$27)+Ayarlar!$B$4*ABS(Bitkiler!$F$5-Topraklar!$F$27)+Ayarlar!$B$5*ABS(Bitkiler!$G$5-Topraklar!$G$27)+Ayarlar!$B$6*IF(Bitkiler!$H$5=Topraklar!$H$27,0,1))/Ayarlar!$B$7)+IF(Topraklar!$K$27=Bitkiler!$C$5,0.002,IF(Topraklar!$L$27="Evet",0.001,0)))</f>
        <v/>
      </c>
      <c r="AB6" s="16">
        <f>IF(OR(Topraklar!$J$28="Evet",AND(Topraklar!$L$28&lt;&gt;"Evet",Topraklar!$K$28&lt;&gt;Bitkiler!$C$5)),0,MAX(0,1-(Ayarlar!$B$2*ABS(Bitkiler!$D$5-Topraklar!$D$28)+Ayarlar!$B$3*ABS(Bitkiler!$E$5-Topraklar!$E$28)+Ayarlar!$B$4*ABS(Bitkiler!$F$5-Topraklar!$F$28)+Ayarlar!$B$5*ABS(Bitkiler!$G$5-Topraklar!$G$28)+Ayarlar!$B$6*IF(Bitkiler!$H$5=Topraklar!$H$28,0,1))/Ayarlar!$B$7)+IF(Topraklar!$K$28=Bitkiler!$C$5,0.002,IF(Topraklar!$L$28="Evet",0.001,0)))</f>
        <v/>
      </c>
      <c r="AC6" s="16">
        <f>IF(OR(Topraklar!$J$29="Evet",AND(Topraklar!$L$29&lt;&gt;"Evet",Topraklar!$K$29&lt;&gt;Bitkiler!$C$5)),0,MAX(0,1-(Ayarlar!$B$2*ABS(Bitkiler!$D$5-Topraklar!$D$29)+Ayarlar!$B$3*ABS(Bitkiler!$E$5-Topraklar!$E$29)+Ayarlar!$B$4*ABS(Bitkiler!$F$5-Topraklar!$F$29)+Ayarlar!$B$5*ABS(Bitkiler!$G$5-Topraklar!$G$29)+Ayarlar!$B$6*IF(Bitkiler!$H$5=Topraklar!$H$29,0,1))/Ayarlar!$B$7)+IF(Topraklar!$K$29=Bitkiler!$C$5,0.002,IF(Topraklar!$L$29="Evet",0.001,0)))</f>
        <v/>
      </c>
      <c r="AD6" s="16">
        <f>IF(OR(Topraklar!$J$30="Evet",AND(Topraklar!$L$30&lt;&gt;"Evet",Topraklar!$K$30&lt;&gt;Bitkiler!$C$5)),0,MAX(0,1-(Ayarlar!$B$2*ABS(Bitkiler!$D$5-Topraklar!$D$30)+Ayarlar!$B$3*ABS(Bitkiler!$E$5-Topraklar!$E$30)+Ayarlar!$B$4*ABS(Bitkiler!$F$5-Topraklar!$F$30)+Ayarlar!$B$5*ABS(Bitkiler!$G$5-Topraklar!$G$30)+Ayarlar!$B$6*IF(Bitkiler!$H$5=Topraklar!$H$30,0,1))/Ayarlar!$B$7)+IF(Topraklar!$K$30=Bitkiler!$C$5,0.002,IF(Topraklar!$L$30="Evet",0.001,0)))</f>
        <v/>
      </c>
      <c r="AE6" s="16">
        <f>IF(OR(Topraklar!$J$31="Evet",AND(Topraklar!$L$31&lt;&gt;"Evet",Topraklar!$K$31&lt;&gt;Bitkiler!$C$5)),0,MAX(0,1-(Ayarlar!$B$2*ABS(Bitkiler!$D$5-Topraklar!$D$31)+Ayarlar!$B$3*ABS(Bitkiler!$E$5-Topraklar!$E$31)+Ayarlar!$B$4*ABS(Bitkiler!$F$5-Topraklar!$F$31)+Ayarlar!$B$5*ABS(Bitkiler!$G$5-Topraklar!$G$31)+Ayarlar!$B$6*IF(Bitkiler!$H$5=Topraklar!$H$31,0,1))/Ayarlar!$B$7)+IF(Topraklar!$K$31=Bitkiler!$C$5,0.002,IF(Topraklar!$L$31="Evet",0.001,0)))</f>
        <v/>
      </c>
      <c r="AF6" s="16">
        <f>IF(OR(Topraklar!$J$32="Evet",AND(Topraklar!$L$32&lt;&gt;"Evet",Topraklar!$K$32&lt;&gt;Bitkiler!$C$5)),0,MAX(0,1-(Ayarlar!$B$2*ABS(Bitkiler!$D$5-Topraklar!$D$32)+Ayarlar!$B$3*ABS(Bitkiler!$E$5-Topraklar!$E$32)+Ayarlar!$B$4*ABS(Bitkiler!$F$5-Topraklar!$F$32)+Ayarlar!$B$5*ABS(Bitkiler!$G$5-Topraklar!$G$32)+Ayarlar!$B$6*IF(Bitkiler!$H$5=Topraklar!$H$32,0,1))/Ayarlar!$B$7)+IF(Topraklar!$K$32=Bitkiler!$C$5,0.002,IF(Topraklar!$L$32="Evet",0.001,0)))</f>
        <v/>
      </c>
      <c r="AG6" s="16">
        <f>IF(OR(Topraklar!$J$33="Evet",AND(Topraklar!$L$33&lt;&gt;"Evet",Topraklar!$K$33&lt;&gt;Bitkiler!$C$5)),0,MAX(0,1-(Ayarlar!$B$2*ABS(Bitkiler!$D$5-Topraklar!$D$33)+Ayarlar!$B$3*ABS(Bitkiler!$E$5-Topraklar!$E$33)+Ayarlar!$B$4*ABS(Bitkiler!$F$5-Topraklar!$F$33)+Ayarlar!$B$5*ABS(Bitkiler!$G$5-Topraklar!$G$33)+Ayarlar!$B$6*IF(Bitkiler!$H$5=Topraklar!$H$33,0,1))/Ayarlar!$B$7)+IF(Topraklar!$K$33=Bitkiler!$C$5,0.002,IF(Topraklar!$L$33="Evet",0.001,0)))</f>
        <v/>
      </c>
      <c r="AH6" s="16">
        <f>IF(OR(Topraklar!$J$34="Evet",AND(Topraklar!$L$34&lt;&gt;"Evet",Topraklar!$K$34&lt;&gt;Bitkiler!$C$5)),0,MAX(0,1-(Ayarlar!$B$2*ABS(Bitkiler!$D$5-Topraklar!$D$34)+Ayarlar!$B$3*ABS(Bitkiler!$E$5-Topraklar!$E$34)+Ayarlar!$B$4*ABS(Bitkiler!$F$5-Topraklar!$F$34)+Ayarlar!$B$5*ABS(Bitkiler!$G$5-Topraklar!$G$34)+Ayarlar!$B$6*IF(Bitkiler!$H$5=Topraklar!$H$34,0,1))/Ayarlar!$B$7)+IF(Topraklar!$K$34=Bitkiler!$C$5,0.002,IF(Topraklar!$L$34="Evet",0.001,0)))</f>
        <v/>
      </c>
      <c r="AI6" s="16">
        <f>IF(OR(Topraklar!$J$35="Evet",AND(Topraklar!$L$35&lt;&gt;"Evet",Topraklar!$K$35&lt;&gt;Bitkiler!$C$5)),0,MAX(0,1-(Ayarlar!$B$2*ABS(Bitkiler!$D$5-Topraklar!$D$35)+Ayarlar!$B$3*ABS(Bitkiler!$E$5-Topraklar!$E$35)+Ayarlar!$B$4*ABS(Bitkiler!$F$5-Topraklar!$F$35)+Ayarlar!$B$5*ABS(Bitkiler!$G$5-Topraklar!$G$35)+Ayarlar!$B$6*IF(Bitkiler!$H$5=Topraklar!$H$35,0,1))/Ayarlar!$B$7)+IF(Topraklar!$K$35=Bitkiler!$C$5,0.002,IF(Topraklar!$L$35="Evet",0.001,0)))</f>
        <v/>
      </c>
      <c r="AJ6" s="16">
        <f>IF(OR(Topraklar!$J$36="Evet",AND(Topraklar!$L$36&lt;&gt;"Evet",Topraklar!$K$36&lt;&gt;Bitkiler!$C$5)),0,MAX(0,1-(Ayarlar!$B$2*ABS(Bitkiler!$D$5-Topraklar!$D$36)+Ayarlar!$B$3*ABS(Bitkiler!$E$5-Topraklar!$E$36)+Ayarlar!$B$4*ABS(Bitkiler!$F$5-Topraklar!$F$36)+Ayarlar!$B$5*ABS(Bitkiler!$G$5-Topraklar!$G$36)+Ayarlar!$B$6*IF(Bitkiler!$H$5=Topraklar!$H$36,0,1))/Ayarlar!$B$7)+IF(Topraklar!$K$36=Bitkiler!$C$5,0.002,IF(Topraklar!$L$36="Evet",0.001,0)))</f>
        <v/>
      </c>
      <c r="AK6" s="16">
        <f>IF(OR(Topraklar!$J$37="Evet",AND(Topraklar!$L$37&lt;&gt;"Evet",Topraklar!$K$37&lt;&gt;Bitkiler!$C$5)),0,MAX(0,1-(Ayarlar!$B$2*ABS(Bitkiler!$D$5-Topraklar!$D$37)+Ayarlar!$B$3*ABS(Bitkiler!$E$5-Topraklar!$E$37)+Ayarlar!$B$4*ABS(Bitkiler!$F$5-Topraklar!$F$37)+Ayarlar!$B$5*ABS(Bitkiler!$G$5-Topraklar!$G$37)+Ayarlar!$B$6*IF(Bitkiler!$H$5=Topraklar!$H$37,0,1))/Ayarlar!$B$7)+IF(Topraklar!$K$37=Bitkiler!$C$5,0.002,IF(Topraklar!$L$37="Evet",0.001,0)))</f>
        <v/>
      </c>
      <c r="AL6" s="16">
        <f>IF(OR(Topraklar!$J$38="Evet",AND(Topraklar!$L$38&lt;&gt;"Evet",Topraklar!$K$38&lt;&gt;Bitkiler!$C$5)),0,MAX(0,1-(Ayarlar!$B$2*ABS(Bitkiler!$D$5-Topraklar!$D$38)+Ayarlar!$B$3*ABS(Bitkiler!$E$5-Topraklar!$E$38)+Ayarlar!$B$4*ABS(Bitkiler!$F$5-Topraklar!$F$38)+Ayarlar!$B$5*ABS(Bitkiler!$G$5-Topraklar!$G$38)+Ayarlar!$B$6*IF(Bitkiler!$H$5=Topraklar!$H$38,0,1))/Ayarlar!$B$7)+IF(Topraklar!$K$38=Bitkiler!$C$5,0.002,IF(Topraklar!$L$38="Evet",0.001,0)))</f>
        <v/>
      </c>
      <c r="AM6" s="16">
        <f>IF(OR(Topraklar!$J$39="Evet",AND(Topraklar!$L$39&lt;&gt;"Evet",Topraklar!$K$39&lt;&gt;Bitkiler!$C$5)),0,MAX(0,1-(Ayarlar!$B$2*ABS(Bitkiler!$D$5-Topraklar!$D$39)+Ayarlar!$B$3*ABS(Bitkiler!$E$5-Topraklar!$E$39)+Ayarlar!$B$4*ABS(Bitkiler!$F$5-Topraklar!$F$39)+Ayarlar!$B$5*ABS(Bitkiler!$G$5-Topraklar!$G$39)+Ayarlar!$B$6*IF(Bitkiler!$H$5=Topraklar!$H$39,0,1))/Ayarlar!$B$7)+IF(Topraklar!$K$39=Bitkiler!$C$5,0.002,IF(Topraklar!$L$39="Evet",0.001,0)))</f>
        <v/>
      </c>
      <c r="AN6" s="16">
        <f>IF(OR(Topraklar!$J$40="Evet",AND(Topraklar!$L$40&lt;&gt;"Evet",Topraklar!$K$40&lt;&gt;Bitkiler!$C$5)),0,MAX(0,1-(Ayarlar!$B$2*ABS(Bitkiler!$D$5-Topraklar!$D$40)+Ayarlar!$B$3*ABS(Bitkiler!$E$5-Topraklar!$E$40)+Ayarlar!$B$4*ABS(Bitkiler!$F$5-Topraklar!$F$40)+Ayarlar!$B$5*ABS(Bitkiler!$G$5-Topraklar!$G$40)+Ayarlar!$B$6*IF(Bitkiler!$H$5=Topraklar!$H$40,0,1))/Ayarlar!$B$7)+IF(Topraklar!$K$40=Bitkiler!$C$5,0.002,IF(Topraklar!$L$40="Evet",0.001,0)))</f>
        <v/>
      </c>
      <c r="AO6" s="16">
        <f>IF(OR(Topraklar!$J$41="Evet",AND(Topraklar!$L$41&lt;&gt;"Evet",Topraklar!$K$41&lt;&gt;Bitkiler!$C$5)),0,MAX(0,1-(Ayarlar!$B$2*ABS(Bitkiler!$D$5-Topraklar!$D$41)+Ayarlar!$B$3*ABS(Bitkiler!$E$5-Topraklar!$E$41)+Ayarlar!$B$4*ABS(Bitkiler!$F$5-Topraklar!$F$41)+Ayarlar!$B$5*ABS(Bitkiler!$G$5-Topraklar!$G$41)+Ayarlar!$B$6*IF(Bitkiler!$H$5=Topraklar!$H$41,0,1))/Ayarlar!$B$7)+IF(Topraklar!$K$41=Bitkiler!$C$5,0.002,IF(Topraklar!$L$41="Evet",0.001,0)))</f>
        <v/>
      </c>
      <c r="AP6" s="16">
        <f>IF(OR(Topraklar!$J$42="Evet",AND(Topraklar!$L$42&lt;&gt;"Evet",Topraklar!$K$42&lt;&gt;Bitkiler!$C$5)),0,MAX(0,1-(Ayarlar!$B$2*ABS(Bitkiler!$D$5-Topraklar!$D$42)+Ayarlar!$B$3*ABS(Bitkiler!$E$5-Topraklar!$E$42)+Ayarlar!$B$4*ABS(Bitkiler!$F$5-Topraklar!$F$42)+Ayarlar!$B$5*ABS(Bitkiler!$G$5-Topraklar!$G$42)+Ayarlar!$B$6*IF(Bitkiler!$H$5=Topraklar!$H$42,0,1))/Ayarlar!$B$7)+IF(Topraklar!$K$42=Bitkiler!$C$5,0.002,IF(Topraklar!$L$42="Evet",0.001,0)))</f>
        <v/>
      </c>
      <c r="AQ6" s="16">
        <f>IF(OR(Topraklar!$J$43="Evet",AND(Topraklar!$L$43&lt;&gt;"Evet",Topraklar!$K$43&lt;&gt;Bitkiler!$C$5)),0,MAX(0,1-(Ayarlar!$B$2*ABS(Bitkiler!$D$5-Topraklar!$D$43)+Ayarlar!$B$3*ABS(Bitkiler!$E$5-Topraklar!$E$43)+Ayarlar!$B$4*ABS(Bitkiler!$F$5-Topraklar!$F$43)+Ayarlar!$B$5*ABS(Bitkiler!$G$5-Topraklar!$G$43)+Ayarlar!$B$6*IF(Bitkiler!$H$5=Topraklar!$H$43,0,1))/Ayarlar!$B$7)+IF(Topraklar!$K$43=Bitkiler!$C$5,0.002,IF(Topraklar!$L$43="Evet",0.001,0)))</f>
        <v/>
      </c>
      <c r="AR6" s="16">
        <f>IF(OR(Topraklar!$J$44="Evet",AND(Topraklar!$L$44&lt;&gt;"Evet",Topraklar!$K$44&lt;&gt;Bitkiler!$C$5)),0,MAX(0,1-(Ayarlar!$B$2*ABS(Bitkiler!$D$5-Topraklar!$D$44)+Ayarlar!$B$3*ABS(Bitkiler!$E$5-Topraklar!$E$44)+Ayarlar!$B$4*ABS(Bitkiler!$F$5-Topraklar!$F$44)+Ayarlar!$B$5*ABS(Bitkiler!$G$5-Topraklar!$G$44)+Ayarlar!$B$6*IF(Bitkiler!$H$5=Topraklar!$H$44,0,1))/Ayarlar!$B$7)+IF(Topraklar!$K$44=Bitkiler!$C$5,0.002,IF(Topraklar!$L$44="Evet",0.001,0)))</f>
        <v/>
      </c>
      <c r="AS6" s="16">
        <f>IF(OR(Topraklar!$J$45="Evet",AND(Topraklar!$L$45&lt;&gt;"Evet",Topraklar!$K$45&lt;&gt;Bitkiler!$C$5)),0,MAX(0,1-(Ayarlar!$B$2*ABS(Bitkiler!$D$5-Topraklar!$D$45)+Ayarlar!$B$3*ABS(Bitkiler!$E$5-Topraklar!$E$45)+Ayarlar!$B$4*ABS(Bitkiler!$F$5-Topraklar!$F$45)+Ayarlar!$B$5*ABS(Bitkiler!$G$5-Topraklar!$G$45)+Ayarlar!$B$6*IF(Bitkiler!$H$5=Topraklar!$H$45,0,1))/Ayarlar!$B$7)+IF(Topraklar!$K$45=Bitkiler!$C$5,0.002,IF(Topraklar!$L$45="Evet",0.001,0)))</f>
        <v/>
      </c>
      <c r="AT6" s="16">
        <f>IF(OR(Topraklar!$J$46="Evet",AND(Topraklar!$L$46&lt;&gt;"Evet",Topraklar!$K$46&lt;&gt;Bitkiler!$C$5)),0,MAX(0,1-(Ayarlar!$B$2*ABS(Bitkiler!$D$5-Topraklar!$D$46)+Ayarlar!$B$3*ABS(Bitkiler!$E$5-Topraklar!$E$46)+Ayarlar!$B$4*ABS(Bitkiler!$F$5-Topraklar!$F$46)+Ayarlar!$B$5*ABS(Bitkiler!$G$5-Topraklar!$G$46)+Ayarlar!$B$6*IF(Bitkiler!$H$5=Topraklar!$H$46,0,1))/Ayarlar!$B$7)+IF(Topraklar!$K$46=Bitkiler!$C$5,0.002,IF(Topraklar!$L$46="Evet",0.001,0)))</f>
        <v/>
      </c>
      <c r="AU6" s="16">
        <f>IF(OR(Topraklar!$J$47="Evet",AND(Topraklar!$L$47&lt;&gt;"Evet",Topraklar!$K$47&lt;&gt;Bitkiler!$C$5)),0,MAX(0,1-(Ayarlar!$B$2*ABS(Bitkiler!$D$5-Topraklar!$D$47)+Ayarlar!$B$3*ABS(Bitkiler!$E$5-Topraklar!$E$47)+Ayarlar!$B$4*ABS(Bitkiler!$F$5-Topraklar!$F$47)+Ayarlar!$B$5*ABS(Bitkiler!$G$5-Topraklar!$G$47)+Ayarlar!$B$6*IF(Bitkiler!$H$5=Topraklar!$H$47,0,1))/Ayarlar!$B$7)+IF(Topraklar!$K$47=Bitkiler!$C$5,0.002,IF(Topraklar!$L$47="Evet",0.001,0)))</f>
        <v/>
      </c>
      <c r="AV6" s="16">
        <f>IF(OR(Topraklar!$J$48="Evet",AND(Topraklar!$L$48&lt;&gt;"Evet",Topraklar!$K$48&lt;&gt;Bitkiler!$C$5)),0,MAX(0,1-(Ayarlar!$B$2*ABS(Bitkiler!$D$5-Topraklar!$D$48)+Ayarlar!$B$3*ABS(Bitkiler!$E$5-Topraklar!$E$48)+Ayarlar!$B$4*ABS(Bitkiler!$F$5-Topraklar!$F$48)+Ayarlar!$B$5*ABS(Bitkiler!$G$5-Topraklar!$G$48)+Ayarlar!$B$6*IF(Bitkiler!$H$5=Topraklar!$H$48,0,1))/Ayarlar!$B$7)+IF(Topraklar!$K$48=Bitkiler!$C$5,0.002,IF(Topraklar!$L$48="Evet",0.001,0)))</f>
        <v/>
      </c>
      <c r="AW6" s="16">
        <f>IF(OR(Topraklar!$J$49="Evet",AND(Topraklar!$L$49&lt;&gt;"Evet",Topraklar!$K$49&lt;&gt;Bitkiler!$C$5)),0,MAX(0,1-(Ayarlar!$B$2*ABS(Bitkiler!$D$5-Topraklar!$D$49)+Ayarlar!$B$3*ABS(Bitkiler!$E$5-Topraklar!$E$49)+Ayarlar!$B$4*ABS(Bitkiler!$F$5-Topraklar!$F$49)+Ayarlar!$B$5*ABS(Bitkiler!$G$5-Topraklar!$G$49)+Ayarlar!$B$6*IF(Bitkiler!$H$5=Topraklar!$H$49,0,1))/Ayarlar!$B$7)+IF(Topraklar!$K$49=Bitkiler!$C$5,0.002,IF(Topraklar!$L$49="Evet",0.001,0)))</f>
        <v/>
      </c>
      <c r="AX6" s="16">
        <f>IF(OR(Topraklar!$J$50="Evet",AND(Topraklar!$L$50&lt;&gt;"Evet",Topraklar!$K$50&lt;&gt;Bitkiler!$C$5)),0,MAX(0,1-(Ayarlar!$B$2*ABS(Bitkiler!$D$5-Topraklar!$D$50)+Ayarlar!$B$3*ABS(Bitkiler!$E$5-Topraklar!$E$50)+Ayarlar!$B$4*ABS(Bitkiler!$F$5-Topraklar!$F$50)+Ayarlar!$B$5*ABS(Bitkiler!$G$5-Topraklar!$G$50)+Ayarlar!$B$6*IF(Bitkiler!$H$5=Topraklar!$H$50,0,1))/Ayarlar!$B$7)+IF(Topraklar!$K$50=Bitkiler!$C$5,0.002,IF(Topraklar!$L$50="Evet",0.001,0)))</f>
        <v/>
      </c>
      <c r="AY6" s="16">
        <f>IF(OR(Topraklar!$J$51="Evet",AND(Topraklar!$L$51&lt;&gt;"Evet",Topraklar!$K$51&lt;&gt;Bitkiler!$C$5)),0,MAX(0,1-(Ayarlar!$B$2*ABS(Bitkiler!$D$5-Topraklar!$D$51)+Ayarlar!$B$3*ABS(Bitkiler!$E$5-Topraklar!$E$51)+Ayarlar!$B$4*ABS(Bitkiler!$F$5-Topraklar!$F$51)+Ayarlar!$B$5*ABS(Bitkiler!$G$5-Topraklar!$G$51)+Ayarlar!$B$6*IF(Bitkiler!$H$5=Topraklar!$H$51,0,1))/Ayarlar!$B$7)+IF(Topraklar!$K$51=Bitkiler!$C$5,0.002,IF(Topraklar!$L$51="Evet",0.001,0)))</f>
        <v/>
      </c>
    </row>
    <row r="7">
      <c r="A7" s="15">
        <f>Bitkiler!A6</f>
        <v/>
      </c>
      <c r="B7" s="16">
        <f>IF(OR(Topraklar!$J$2="Evet",AND(Topraklar!$L$2&lt;&gt;"Evet",Topraklar!$K$2&lt;&gt;Bitkiler!$C$6)),0,MAX(0,1-(Ayarlar!$B$2*ABS(Bitkiler!$D$6-Topraklar!$D$2)+Ayarlar!$B$3*ABS(Bitkiler!$E$6-Topraklar!$E$2)+Ayarlar!$B$4*ABS(Bitkiler!$F$6-Topraklar!$F$2)+Ayarlar!$B$5*ABS(Bitkiler!$G$6-Topraklar!$G$2)+Ayarlar!$B$6*IF(Bitkiler!$H$6=Topraklar!$H$2,0,1))/Ayarlar!$B$7)+IF(Topraklar!$K$2=Bitkiler!$C$6,0.002,IF(Topraklar!$L$2="Evet",0.001,0)))</f>
        <v/>
      </c>
      <c r="C7" s="16">
        <f>IF(OR(Topraklar!$J$3="Evet",AND(Topraklar!$L$3&lt;&gt;"Evet",Topraklar!$K$3&lt;&gt;Bitkiler!$C$6)),0,MAX(0,1-(Ayarlar!$B$2*ABS(Bitkiler!$D$6-Topraklar!$D$3)+Ayarlar!$B$3*ABS(Bitkiler!$E$6-Topraklar!$E$3)+Ayarlar!$B$4*ABS(Bitkiler!$F$6-Topraklar!$F$3)+Ayarlar!$B$5*ABS(Bitkiler!$G$6-Topraklar!$G$3)+Ayarlar!$B$6*IF(Bitkiler!$H$6=Topraklar!$H$3,0,1))/Ayarlar!$B$7)+IF(Topraklar!$K$3=Bitkiler!$C$6,0.002,IF(Topraklar!$L$3="Evet",0.001,0)))</f>
        <v/>
      </c>
      <c r="D7" s="16">
        <f>IF(OR(Topraklar!$J$4="Evet",AND(Topraklar!$L$4&lt;&gt;"Evet",Topraklar!$K$4&lt;&gt;Bitkiler!$C$6)),0,MAX(0,1-(Ayarlar!$B$2*ABS(Bitkiler!$D$6-Topraklar!$D$4)+Ayarlar!$B$3*ABS(Bitkiler!$E$6-Topraklar!$E$4)+Ayarlar!$B$4*ABS(Bitkiler!$F$6-Topraklar!$F$4)+Ayarlar!$B$5*ABS(Bitkiler!$G$6-Topraklar!$G$4)+Ayarlar!$B$6*IF(Bitkiler!$H$6=Topraklar!$H$4,0,1))/Ayarlar!$B$7)+IF(Topraklar!$K$4=Bitkiler!$C$6,0.002,IF(Topraklar!$L$4="Evet",0.001,0)))</f>
        <v/>
      </c>
      <c r="E7" s="16">
        <f>IF(OR(Topraklar!$J$5="Evet",AND(Topraklar!$L$5&lt;&gt;"Evet",Topraklar!$K$5&lt;&gt;Bitkiler!$C$6)),0,MAX(0,1-(Ayarlar!$B$2*ABS(Bitkiler!$D$6-Topraklar!$D$5)+Ayarlar!$B$3*ABS(Bitkiler!$E$6-Topraklar!$E$5)+Ayarlar!$B$4*ABS(Bitkiler!$F$6-Topraklar!$F$5)+Ayarlar!$B$5*ABS(Bitkiler!$G$6-Topraklar!$G$5)+Ayarlar!$B$6*IF(Bitkiler!$H$6=Topraklar!$H$5,0,1))/Ayarlar!$B$7)+IF(Topraklar!$K$5=Bitkiler!$C$6,0.002,IF(Topraklar!$L$5="Evet",0.001,0)))</f>
        <v/>
      </c>
      <c r="F7" s="16">
        <f>IF(OR(Topraklar!$J$6="Evet",AND(Topraklar!$L$6&lt;&gt;"Evet",Topraklar!$K$6&lt;&gt;Bitkiler!$C$6)),0,MAX(0,1-(Ayarlar!$B$2*ABS(Bitkiler!$D$6-Topraklar!$D$6)+Ayarlar!$B$3*ABS(Bitkiler!$E$6-Topraklar!$E$6)+Ayarlar!$B$4*ABS(Bitkiler!$F$6-Topraklar!$F$6)+Ayarlar!$B$5*ABS(Bitkiler!$G$6-Topraklar!$G$6)+Ayarlar!$B$6*IF(Bitkiler!$H$6=Topraklar!$H$6,0,1))/Ayarlar!$B$7)+IF(Topraklar!$K$6=Bitkiler!$C$6,0.002,IF(Topraklar!$L$6="Evet",0.001,0)))</f>
        <v/>
      </c>
      <c r="G7" s="16">
        <f>IF(OR(Topraklar!$J$7="Evet",AND(Topraklar!$L$7&lt;&gt;"Evet",Topraklar!$K$7&lt;&gt;Bitkiler!$C$6)),0,MAX(0,1-(Ayarlar!$B$2*ABS(Bitkiler!$D$6-Topraklar!$D$7)+Ayarlar!$B$3*ABS(Bitkiler!$E$6-Topraklar!$E$7)+Ayarlar!$B$4*ABS(Bitkiler!$F$6-Topraklar!$F$7)+Ayarlar!$B$5*ABS(Bitkiler!$G$6-Topraklar!$G$7)+Ayarlar!$B$6*IF(Bitkiler!$H$6=Topraklar!$H$7,0,1))/Ayarlar!$B$7)+IF(Topraklar!$K$7=Bitkiler!$C$6,0.002,IF(Topraklar!$L$7="Evet",0.001,0)))</f>
        <v/>
      </c>
      <c r="H7" s="16">
        <f>IF(OR(Topraklar!$J$8="Evet",AND(Topraklar!$L$8&lt;&gt;"Evet",Topraklar!$K$8&lt;&gt;Bitkiler!$C$6)),0,MAX(0,1-(Ayarlar!$B$2*ABS(Bitkiler!$D$6-Topraklar!$D$8)+Ayarlar!$B$3*ABS(Bitkiler!$E$6-Topraklar!$E$8)+Ayarlar!$B$4*ABS(Bitkiler!$F$6-Topraklar!$F$8)+Ayarlar!$B$5*ABS(Bitkiler!$G$6-Topraklar!$G$8)+Ayarlar!$B$6*IF(Bitkiler!$H$6=Topraklar!$H$8,0,1))/Ayarlar!$B$7)+IF(Topraklar!$K$8=Bitkiler!$C$6,0.002,IF(Topraklar!$L$8="Evet",0.001,0)))</f>
        <v/>
      </c>
      <c r="I7" s="16">
        <f>IF(OR(Topraklar!$J$9="Evet",AND(Topraklar!$L$9&lt;&gt;"Evet",Topraklar!$K$9&lt;&gt;Bitkiler!$C$6)),0,MAX(0,1-(Ayarlar!$B$2*ABS(Bitkiler!$D$6-Topraklar!$D$9)+Ayarlar!$B$3*ABS(Bitkiler!$E$6-Topraklar!$E$9)+Ayarlar!$B$4*ABS(Bitkiler!$F$6-Topraklar!$F$9)+Ayarlar!$B$5*ABS(Bitkiler!$G$6-Topraklar!$G$9)+Ayarlar!$B$6*IF(Bitkiler!$H$6=Topraklar!$H$9,0,1))/Ayarlar!$B$7)+IF(Topraklar!$K$9=Bitkiler!$C$6,0.002,IF(Topraklar!$L$9="Evet",0.001,0)))</f>
        <v/>
      </c>
      <c r="J7" s="16">
        <f>IF(OR(Topraklar!$J$10="Evet",AND(Topraklar!$L$10&lt;&gt;"Evet",Topraklar!$K$10&lt;&gt;Bitkiler!$C$6)),0,MAX(0,1-(Ayarlar!$B$2*ABS(Bitkiler!$D$6-Topraklar!$D$10)+Ayarlar!$B$3*ABS(Bitkiler!$E$6-Topraklar!$E$10)+Ayarlar!$B$4*ABS(Bitkiler!$F$6-Topraklar!$F$10)+Ayarlar!$B$5*ABS(Bitkiler!$G$6-Topraklar!$G$10)+Ayarlar!$B$6*IF(Bitkiler!$H$6=Topraklar!$H$10,0,1))/Ayarlar!$B$7)+IF(Topraklar!$K$10=Bitkiler!$C$6,0.002,IF(Topraklar!$L$10="Evet",0.001,0)))</f>
        <v/>
      </c>
      <c r="K7" s="16">
        <f>IF(OR(Topraklar!$J$11="Evet",AND(Topraklar!$L$11&lt;&gt;"Evet",Topraklar!$K$11&lt;&gt;Bitkiler!$C$6)),0,MAX(0,1-(Ayarlar!$B$2*ABS(Bitkiler!$D$6-Topraklar!$D$11)+Ayarlar!$B$3*ABS(Bitkiler!$E$6-Topraklar!$E$11)+Ayarlar!$B$4*ABS(Bitkiler!$F$6-Topraklar!$F$11)+Ayarlar!$B$5*ABS(Bitkiler!$G$6-Topraklar!$G$11)+Ayarlar!$B$6*IF(Bitkiler!$H$6=Topraklar!$H$11,0,1))/Ayarlar!$B$7)+IF(Topraklar!$K$11=Bitkiler!$C$6,0.002,IF(Topraklar!$L$11="Evet",0.001,0)))</f>
        <v/>
      </c>
      <c r="L7" s="16">
        <f>IF(OR(Topraklar!$J$12="Evet",AND(Topraklar!$L$12&lt;&gt;"Evet",Topraklar!$K$12&lt;&gt;Bitkiler!$C$6)),0,MAX(0,1-(Ayarlar!$B$2*ABS(Bitkiler!$D$6-Topraklar!$D$12)+Ayarlar!$B$3*ABS(Bitkiler!$E$6-Topraklar!$E$12)+Ayarlar!$B$4*ABS(Bitkiler!$F$6-Topraklar!$F$12)+Ayarlar!$B$5*ABS(Bitkiler!$G$6-Topraklar!$G$12)+Ayarlar!$B$6*IF(Bitkiler!$H$6=Topraklar!$H$12,0,1))/Ayarlar!$B$7)+IF(Topraklar!$K$12=Bitkiler!$C$6,0.002,IF(Topraklar!$L$12="Evet",0.001,0)))</f>
        <v/>
      </c>
      <c r="M7" s="16">
        <f>IF(OR(Topraklar!$J$13="Evet",AND(Topraklar!$L$13&lt;&gt;"Evet",Topraklar!$K$13&lt;&gt;Bitkiler!$C$6)),0,MAX(0,1-(Ayarlar!$B$2*ABS(Bitkiler!$D$6-Topraklar!$D$13)+Ayarlar!$B$3*ABS(Bitkiler!$E$6-Topraklar!$E$13)+Ayarlar!$B$4*ABS(Bitkiler!$F$6-Topraklar!$F$13)+Ayarlar!$B$5*ABS(Bitkiler!$G$6-Topraklar!$G$13)+Ayarlar!$B$6*IF(Bitkiler!$H$6=Topraklar!$H$13,0,1))/Ayarlar!$B$7)+IF(Topraklar!$K$13=Bitkiler!$C$6,0.002,IF(Topraklar!$L$13="Evet",0.001,0)))</f>
        <v/>
      </c>
      <c r="N7" s="16">
        <f>IF(OR(Topraklar!$J$14="Evet",AND(Topraklar!$L$14&lt;&gt;"Evet",Topraklar!$K$14&lt;&gt;Bitkiler!$C$6)),0,MAX(0,1-(Ayarlar!$B$2*ABS(Bitkiler!$D$6-Topraklar!$D$14)+Ayarlar!$B$3*ABS(Bitkiler!$E$6-Topraklar!$E$14)+Ayarlar!$B$4*ABS(Bitkiler!$F$6-Topraklar!$F$14)+Ayarlar!$B$5*ABS(Bitkiler!$G$6-Topraklar!$G$14)+Ayarlar!$B$6*IF(Bitkiler!$H$6=Topraklar!$H$14,0,1))/Ayarlar!$B$7)+IF(Topraklar!$K$14=Bitkiler!$C$6,0.002,IF(Topraklar!$L$14="Evet",0.001,0)))</f>
        <v/>
      </c>
      <c r="O7" s="16">
        <f>IF(OR(Topraklar!$J$15="Evet",AND(Topraklar!$L$15&lt;&gt;"Evet",Topraklar!$K$15&lt;&gt;Bitkiler!$C$6)),0,MAX(0,1-(Ayarlar!$B$2*ABS(Bitkiler!$D$6-Topraklar!$D$15)+Ayarlar!$B$3*ABS(Bitkiler!$E$6-Topraklar!$E$15)+Ayarlar!$B$4*ABS(Bitkiler!$F$6-Topraklar!$F$15)+Ayarlar!$B$5*ABS(Bitkiler!$G$6-Topraklar!$G$15)+Ayarlar!$B$6*IF(Bitkiler!$H$6=Topraklar!$H$15,0,1))/Ayarlar!$B$7)+IF(Topraklar!$K$15=Bitkiler!$C$6,0.002,IF(Topraklar!$L$15="Evet",0.001,0)))</f>
        <v/>
      </c>
      <c r="P7" s="16">
        <f>IF(OR(Topraklar!$J$16="Evet",AND(Topraklar!$L$16&lt;&gt;"Evet",Topraklar!$K$16&lt;&gt;Bitkiler!$C$6)),0,MAX(0,1-(Ayarlar!$B$2*ABS(Bitkiler!$D$6-Topraklar!$D$16)+Ayarlar!$B$3*ABS(Bitkiler!$E$6-Topraklar!$E$16)+Ayarlar!$B$4*ABS(Bitkiler!$F$6-Topraklar!$F$16)+Ayarlar!$B$5*ABS(Bitkiler!$G$6-Topraklar!$G$16)+Ayarlar!$B$6*IF(Bitkiler!$H$6=Topraklar!$H$16,0,1))/Ayarlar!$B$7)+IF(Topraklar!$K$16=Bitkiler!$C$6,0.002,IF(Topraklar!$L$16="Evet",0.001,0)))</f>
        <v/>
      </c>
      <c r="Q7" s="16">
        <f>IF(OR(Topraklar!$J$17="Evet",AND(Topraklar!$L$17&lt;&gt;"Evet",Topraklar!$K$17&lt;&gt;Bitkiler!$C$6)),0,MAX(0,1-(Ayarlar!$B$2*ABS(Bitkiler!$D$6-Topraklar!$D$17)+Ayarlar!$B$3*ABS(Bitkiler!$E$6-Topraklar!$E$17)+Ayarlar!$B$4*ABS(Bitkiler!$F$6-Topraklar!$F$17)+Ayarlar!$B$5*ABS(Bitkiler!$G$6-Topraklar!$G$17)+Ayarlar!$B$6*IF(Bitkiler!$H$6=Topraklar!$H$17,0,1))/Ayarlar!$B$7)+IF(Topraklar!$K$17=Bitkiler!$C$6,0.002,IF(Topraklar!$L$17="Evet",0.001,0)))</f>
        <v/>
      </c>
      <c r="R7" s="16">
        <f>IF(OR(Topraklar!$J$18="Evet",AND(Topraklar!$L$18&lt;&gt;"Evet",Topraklar!$K$18&lt;&gt;Bitkiler!$C$6)),0,MAX(0,1-(Ayarlar!$B$2*ABS(Bitkiler!$D$6-Topraklar!$D$18)+Ayarlar!$B$3*ABS(Bitkiler!$E$6-Topraklar!$E$18)+Ayarlar!$B$4*ABS(Bitkiler!$F$6-Topraklar!$F$18)+Ayarlar!$B$5*ABS(Bitkiler!$G$6-Topraklar!$G$18)+Ayarlar!$B$6*IF(Bitkiler!$H$6=Topraklar!$H$18,0,1))/Ayarlar!$B$7)+IF(Topraklar!$K$18=Bitkiler!$C$6,0.002,IF(Topraklar!$L$18="Evet",0.001,0)))</f>
        <v/>
      </c>
      <c r="S7" s="16">
        <f>IF(OR(Topraklar!$J$19="Evet",AND(Topraklar!$L$19&lt;&gt;"Evet",Topraklar!$K$19&lt;&gt;Bitkiler!$C$6)),0,MAX(0,1-(Ayarlar!$B$2*ABS(Bitkiler!$D$6-Topraklar!$D$19)+Ayarlar!$B$3*ABS(Bitkiler!$E$6-Topraklar!$E$19)+Ayarlar!$B$4*ABS(Bitkiler!$F$6-Topraklar!$F$19)+Ayarlar!$B$5*ABS(Bitkiler!$G$6-Topraklar!$G$19)+Ayarlar!$B$6*IF(Bitkiler!$H$6=Topraklar!$H$19,0,1))/Ayarlar!$B$7)+IF(Topraklar!$K$19=Bitkiler!$C$6,0.002,IF(Topraklar!$L$19="Evet",0.001,0)))</f>
        <v/>
      </c>
      <c r="T7" s="16">
        <f>IF(OR(Topraklar!$J$20="Evet",AND(Topraklar!$L$20&lt;&gt;"Evet",Topraklar!$K$20&lt;&gt;Bitkiler!$C$6)),0,MAX(0,1-(Ayarlar!$B$2*ABS(Bitkiler!$D$6-Topraklar!$D$20)+Ayarlar!$B$3*ABS(Bitkiler!$E$6-Topraklar!$E$20)+Ayarlar!$B$4*ABS(Bitkiler!$F$6-Topraklar!$F$20)+Ayarlar!$B$5*ABS(Bitkiler!$G$6-Topraklar!$G$20)+Ayarlar!$B$6*IF(Bitkiler!$H$6=Topraklar!$H$20,0,1))/Ayarlar!$B$7)+IF(Topraklar!$K$20=Bitkiler!$C$6,0.002,IF(Topraklar!$L$20="Evet",0.001,0)))</f>
        <v/>
      </c>
      <c r="U7" s="16">
        <f>IF(OR(Topraklar!$J$21="Evet",AND(Topraklar!$L$21&lt;&gt;"Evet",Topraklar!$K$21&lt;&gt;Bitkiler!$C$6)),0,MAX(0,1-(Ayarlar!$B$2*ABS(Bitkiler!$D$6-Topraklar!$D$21)+Ayarlar!$B$3*ABS(Bitkiler!$E$6-Topraklar!$E$21)+Ayarlar!$B$4*ABS(Bitkiler!$F$6-Topraklar!$F$21)+Ayarlar!$B$5*ABS(Bitkiler!$G$6-Topraklar!$G$21)+Ayarlar!$B$6*IF(Bitkiler!$H$6=Topraklar!$H$21,0,1))/Ayarlar!$B$7)+IF(Topraklar!$K$21=Bitkiler!$C$6,0.002,IF(Topraklar!$L$21="Evet",0.001,0)))</f>
        <v/>
      </c>
      <c r="V7" s="16">
        <f>IF(OR(Topraklar!$J$22="Evet",AND(Topraklar!$L$22&lt;&gt;"Evet",Topraklar!$K$22&lt;&gt;Bitkiler!$C$6)),0,MAX(0,1-(Ayarlar!$B$2*ABS(Bitkiler!$D$6-Topraklar!$D$22)+Ayarlar!$B$3*ABS(Bitkiler!$E$6-Topraklar!$E$22)+Ayarlar!$B$4*ABS(Bitkiler!$F$6-Topraklar!$F$22)+Ayarlar!$B$5*ABS(Bitkiler!$G$6-Topraklar!$G$22)+Ayarlar!$B$6*IF(Bitkiler!$H$6=Topraklar!$H$22,0,1))/Ayarlar!$B$7)+IF(Topraklar!$K$22=Bitkiler!$C$6,0.002,IF(Topraklar!$L$22="Evet",0.001,0)))</f>
        <v/>
      </c>
      <c r="W7" s="16">
        <f>IF(OR(Topraklar!$J$23="Evet",AND(Topraklar!$L$23&lt;&gt;"Evet",Topraklar!$K$23&lt;&gt;Bitkiler!$C$6)),0,MAX(0,1-(Ayarlar!$B$2*ABS(Bitkiler!$D$6-Topraklar!$D$23)+Ayarlar!$B$3*ABS(Bitkiler!$E$6-Topraklar!$E$23)+Ayarlar!$B$4*ABS(Bitkiler!$F$6-Topraklar!$F$23)+Ayarlar!$B$5*ABS(Bitkiler!$G$6-Topraklar!$G$23)+Ayarlar!$B$6*IF(Bitkiler!$H$6=Topraklar!$H$23,0,1))/Ayarlar!$B$7)+IF(Topraklar!$K$23=Bitkiler!$C$6,0.002,IF(Topraklar!$L$23="Evet",0.001,0)))</f>
        <v/>
      </c>
      <c r="X7" s="16">
        <f>IF(OR(Topraklar!$J$24="Evet",AND(Topraklar!$L$24&lt;&gt;"Evet",Topraklar!$K$24&lt;&gt;Bitkiler!$C$6)),0,MAX(0,1-(Ayarlar!$B$2*ABS(Bitkiler!$D$6-Topraklar!$D$24)+Ayarlar!$B$3*ABS(Bitkiler!$E$6-Topraklar!$E$24)+Ayarlar!$B$4*ABS(Bitkiler!$F$6-Topraklar!$F$24)+Ayarlar!$B$5*ABS(Bitkiler!$G$6-Topraklar!$G$24)+Ayarlar!$B$6*IF(Bitkiler!$H$6=Topraklar!$H$24,0,1))/Ayarlar!$B$7)+IF(Topraklar!$K$24=Bitkiler!$C$6,0.002,IF(Topraklar!$L$24="Evet",0.001,0)))</f>
        <v/>
      </c>
      <c r="Y7" s="16">
        <f>IF(OR(Topraklar!$J$25="Evet",AND(Topraklar!$L$25&lt;&gt;"Evet",Topraklar!$K$25&lt;&gt;Bitkiler!$C$6)),0,MAX(0,1-(Ayarlar!$B$2*ABS(Bitkiler!$D$6-Topraklar!$D$25)+Ayarlar!$B$3*ABS(Bitkiler!$E$6-Topraklar!$E$25)+Ayarlar!$B$4*ABS(Bitkiler!$F$6-Topraklar!$F$25)+Ayarlar!$B$5*ABS(Bitkiler!$G$6-Topraklar!$G$25)+Ayarlar!$B$6*IF(Bitkiler!$H$6=Topraklar!$H$25,0,1))/Ayarlar!$B$7)+IF(Topraklar!$K$25=Bitkiler!$C$6,0.002,IF(Topraklar!$L$25="Evet",0.001,0)))</f>
        <v/>
      </c>
      <c r="Z7" s="16">
        <f>IF(OR(Topraklar!$J$26="Evet",AND(Topraklar!$L$26&lt;&gt;"Evet",Topraklar!$K$26&lt;&gt;Bitkiler!$C$6)),0,MAX(0,1-(Ayarlar!$B$2*ABS(Bitkiler!$D$6-Topraklar!$D$26)+Ayarlar!$B$3*ABS(Bitkiler!$E$6-Topraklar!$E$26)+Ayarlar!$B$4*ABS(Bitkiler!$F$6-Topraklar!$F$26)+Ayarlar!$B$5*ABS(Bitkiler!$G$6-Topraklar!$G$26)+Ayarlar!$B$6*IF(Bitkiler!$H$6=Topraklar!$H$26,0,1))/Ayarlar!$B$7)+IF(Topraklar!$K$26=Bitkiler!$C$6,0.002,IF(Topraklar!$L$26="Evet",0.001,0)))</f>
        <v/>
      </c>
      <c r="AA7" s="16">
        <f>IF(OR(Topraklar!$J$27="Evet",AND(Topraklar!$L$27&lt;&gt;"Evet",Topraklar!$K$27&lt;&gt;Bitkiler!$C$6)),0,MAX(0,1-(Ayarlar!$B$2*ABS(Bitkiler!$D$6-Topraklar!$D$27)+Ayarlar!$B$3*ABS(Bitkiler!$E$6-Topraklar!$E$27)+Ayarlar!$B$4*ABS(Bitkiler!$F$6-Topraklar!$F$27)+Ayarlar!$B$5*ABS(Bitkiler!$G$6-Topraklar!$G$27)+Ayarlar!$B$6*IF(Bitkiler!$H$6=Topraklar!$H$27,0,1))/Ayarlar!$B$7)+IF(Topraklar!$K$27=Bitkiler!$C$6,0.002,IF(Topraklar!$L$27="Evet",0.001,0)))</f>
        <v/>
      </c>
      <c r="AB7" s="16">
        <f>IF(OR(Topraklar!$J$28="Evet",AND(Topraklar!$L$28&lt;&gt;"Evet",Topraklar!$K$28&lt;&gt;Bitkiler!$C$6)),0,MAX(0,1-(Ayarlar!$B$2*ABS(Bitkiler!$D$6-Topraklar!$D$28)+Ayarlar!$B$3*ABS(Bitkiler!$E$6-Topraklar!$E$28)+Ayarlar!$B$4*ABS(Bitkiler!$F$6-Topraklar!$F$28)+Ayarlar!$B$5*ABS(Bitkiler!$G$6-Topraklar!$G$28)+Ayarlar!$B$6*IF(Bitkiler!$H$6=Topraklar!$H$28,0,1))/Ayarlar!$B$7)+IF(Topraklar!$K$28=Bitkiler!$C$6,0.002,IF(Topraklar!$L$28="Evet",0.001,0)))</f>
        <v/>
      </c>
      <c r="AC7" s="16">
        <f>IF(OR(Topraklar!$J$29="Evet",AND(Topraklar!$L$29&lt;&gt;"Evet",Topraklar!$K$29&lt;&gt;Bitkiler!$C$6)),0,MAX(0,1-(Ayarlar!$B$2*ABS(Bitkiler!$D$6-Topraklar!$D$29)+Ayarlar!$B$3*ABS(Bitkiler!$E$6-Topraklar!$E$29)+Ayarlar!$B$4*ABS(Bitkiler!$F$6-Topraklar!$F$29)+Ayarlar!$B$5*ABS(Bitkiler!$G$6-Topraklar!$G$29)+Ayarlar!$B$6*IF(Bitkiler!$H$6=Topraklar!$H$29,0,1))/Ayarlar!$B$7)+IF(Topraklar!$K$29=Bitkiler!$C$6,0.002,IF(Topraklar!$L$29="Evet",0.001,0)))</f>
        <v/>
      </c>
      <c r="AD7" s="16">
        <f>IF(OR(Topraklar!$J$30="Evet",AND(Topraklar!$L$30&lt;&gt;"Evet",Topraklar!$K$30&lt;&gt;Bitkiler!$C$6)),0,MAX(0,1-(Ayarlar!$B$2*ABS(Bitkiler!$D$6-Topraklar!$D$30)+Ayarlar!$B$3*ABS(Bitkiler!$E$6-Topraklar!$E$30)+Ayarlar!$B$4*ABS(Bitkiler!$F$6-Topraklar!$F$30)+Ayarlar!$B$5*ABS(Bitkiler!$G$6-Topraklar!$G$30)+Ayarlar!$B$6*IF(Bitkiler!$H$6=Topraklar!$H$30,0,1))/Ayarlar!$B$7)+IF(Topraklar!$K$30=Bitkiler!$C$6,0.002,IF(Topraklar!$L$30="Evet",0.001,0)))</f>
        <v/>
      </c>
      <c r="AE7" s="16">
        <f>IF(OR(Topraklar!$J$31="Evet",AND(Topraklar!$L$31&lt;&gt;"Evet",Topraklar!$K$31&lt;&gt;Bitkiler!$C$6)),0,MAX(0,1-(Ayarlar!$B$2*ABS(Bitkiler!$D$6-Topraklar!$D$31)+Ayarlar!$B$3*ABS(Bitkiler!$E$6-Topraklar!$E$31)+Ayarlar!$B$4*ABS(Bitkiler!$F$6-Topraklar!$F$31)+Ayarlar!$B$5*ABS(Bitkiler!$G$6-Topraklar!$G$31)+Ayarlar!$B$6*IF(Bitkiler!$H$6=Topraklar!$H$31,0,1))/Ayarlar!$B$7)+IF(Topraklar!$K$31=Bitkiler!$C$6,0.002,IF(Topraklar!$L$31="Evet",0.001,0)))</f>
        <v/>
      </c>
      <c r="AF7" s="16">
        <f>IF(OR(Topraklar!$J$32="Evet",AND(Topraklar!$L$32&lt;&gt;"Evet",Topraklar!$K$32&lt;&gt;Bitkiler!$C$6)),0,MAX(0,1-(Ayarlar!$B$2*ABS(Bitkiler!$D$6-Topraklar!$D$32)+Ayarlar!$B$3*ABS(Bitkiler!$E$6-Topraklar!$E$32)+Ayarlar!$B$4*ABS(Bitkiler!$F$6-Topraklar!$F$32)+Ayarlar!$B$5*ABS(Bitkiler!$G$6-Topraklar!$G$32)+Ayarlar!$B$6*IF(Bitkiler!$H$6=Topraklar!$H$32,0,1))/Ayarlar!$B$7)+IF(Topraklar!$K$32=Bitkiler!$C$6,0.002,IF(Topraklar!$L$32="Evet",0.001,0)))</f>
        <v/>
      </c>
      <c r="AG7" s="16">
        <f>IF(OR(Topraklar!$J$33="Evet",AND(Topraklar!$L$33&lt;&gt;"Evet",Topraklar!$K$33&lt;&gt;Bitkiler!$C$6)),0,MAX(0,1-(Ayarlar!$B$2*ABS(Bitkiler!$D$6-Topraklar!$D$33)+Ayarlar!$B$3*ABS(Bitkiler!$E$6-Topraklar!$E$33)+Ayarlar!$B$4*ABS(Bitkiler!$F$6-Topraklar!$F$33)+Ayarlar!$B$5*ABS(Bitkiler!$G$6-Topraklar!$G$33)+Ayarlar!$B$6*IF(Bitkiler!$H$6=Topraklar!$H$33,0,1))/Ayarlar!$B$7)+IF(Topraklar!$K$33=Bitkiler!$C$6,0.002,IF(Topraklar!$L$33="Evet",0.001,0)))</f>
        <v/>
      </c>
      <c r="AH7" s="16">
        <f>IF(OR(Topraklar!$J$34="Evet",AND(Topraklar!$L$34&lt;&gt;"Evet",Topraklar!$K$34&lt;&gt;Bitkiler!$C$6)),0,MAX(0,1-(Ayarlar!$B$2*ABS(Bitkiler!$D$6-Topraklar!$D$34)+Ayarlar!$B$3*ABS(Bitkiler!$E$6-Topraklar!$E$34)+Ayarlar!$B$4*ABS(Bitkiler!$F$6-Topraklar!$F$34)+Ayarlar!$B$5*ABS(Bitkiler!$G$6-Topraklar!$G$34)+Ayarlar!$B$6*IF(Bitkiler!$H$6=Topraklar!$H$34,0,1))/Ayarlar!$B$7)+IF(Topraklar!$K$34=Bitkiler!$C$6,0.002,IF(Topraklar!$L$34="Evet",0.001,0)))</f>
        <v/>
      </c>
      <c r="AI7" s="16">
        <f>IF(OR(Topraklar!$J$35="Evet",AND(Topraklar!$L$35&lt;&gt;"Evet",Topraklar!$K$35&lt;&gt;Bitkiler!$C$6)),0,MAX(0,1-(Ayarlar!$B$2*ABS(Bitkiler!$D$6-Topraklar!$D$35)+Ayarlar!$B$3*ABS(Bitkiler!$E$6-Topraklar!$E$35)+Ayarlar!$B$4*ABS(Bitkiler!$F$6-Topraklar!$F$35)+Ayarlar!$B$5*ABS(Bitkiler!$G$6-Topraklar!$G$35)+Ayarlar!$B$6*IF(Bitkiler!$H$6=Topraklar!$H$35,0,1))/Ayarlar!$B$7)+IF(Topraklar!$K$35=Bitkiler!$C$6,0.002,IF(Topraklar!$L$35="Evet",0.001,0)))</f>
        <v/>
      </c>
      <c r="AJ7" s="16">
        <f>IF(OR(Topraklar!$J$36="Evet",AND(Topraklar!$L$36&lt;&gt;"Evet",Topraklar!$K$36&lt;&gt;Bitkiler!$C$6)),0,MAX(0,1-(Ayarlar!$B$2*ABS(Bitkiler!$D$6-Topraklar!$D$36)+Ayarlar!$B$3*ABS(Bitkiler!$E$6-Topraklar!$E$36)+Ayarlar!$B$4*ABS(Bitkiler!$F$6-Topraklar!$F$36)+Ayarlar!$B$5*ABS(Bitkiler!$G$6-Topraklar!$G$36)+Ayarlar!$B$6*IF(Bitkiler!$H$6=Topraklar!$H$36,0,1))/Ayarlar!$B$7)+IF(Topraklar!$K$36=Bitkiler!$C$6,0.002,IF(Topraklar!$L$36="Evet",0.001,0)))</f>
        <v/>
      </c>
      <c r="AK7" s="16">
        <f>IF(OR(Topraklar!$J$37="Evet",AND(Topraklar!$L$37&lt;&gt;"Evet",Topraklar!$K$37&lt;&gt;Bitkiler!$C$6)),0,MAX(0,1-(Ayarlar!$B$2*ABS(Bitkiler!$D$6-Topraklar!$D$37)+Ayarlar!$B$3*ABS(Bitkiler!$E$6-Topraklar!$E$37)+Ayarlar!$B$4*ABS(Bitkiler!$F$6-Topraklar!$F$37)+Ayarlar!$B$5*ABS(Bitkiler!$G$6-Topraklar!$G$37)+Ayarlar!$B$6*IF(Bitkiler!$H$6=Topraklar!$H$37,0,1))/Ayarlar!$B$7)+IF(Topraklar!$K$37=Bitkiler!$C$6,0.002,IF(Topraklar!$L$37="Evet",0.001,0)))</f>
        <v/>
      </c>
      <c r="AL7" s="16">
        <f>IF(OR(Topraklar!$J$38="Evet",AND(Topraklar!$L$38&lt;&gt;"Evet",Topraklar!$K$38&lt;&gt;Bitkiler!$C$6)),0,MAX(0,1-(Ayarlar!$B$2*ABS(Bitkiler!$D$6-Topraklar!$D$38)+Ayarlar!$B$3*ABS(Bitkiler!$E$6-Topraklar!$E$38)+Ayarlar!$B$4*ABS(Bitkiler!$F$6-Topraklar!$F$38)+Ayarlar!$B$5*ABS(Bitkiler!$G$6-Topraklar!$G$38)+Ayarlar!$B$6*IF(Bitkiler!$H$6=Topraklar!$H$38,0,1))/Ayarlar!$B$7)+IF(Topraklar!$K$38=Bitkiler!$C$6,0.002,IF(Topraklar!$L$38="Evet",0.001,0)))</f>
        <v/>
      </c>
      <c r="AM7" s="16">
        <f>IF(OR(Topraklar!$J$39="Evet",AND(Topraklar!$L$39&lt;&gt;"Evet",Topraklar!$K$39&lt;&gt;Bitkiler!$C$6)),0,MAX(0,1-(Ayarlar!$B$2*ABS(Bitkiler!$D$6-Topraklar!$D$39)+Ayarlar!$B$3*ABS(Bitkiler!$E$6-Topraklar!$E$39)+Ayarlar!$B$4*ABS(Bitkiler!$F$6-Topraklar!$F$39)+Ayarlar!$B$5*ABS(Bitkiler!$G$6-Topraklar!$G$39)+Ayarlar!$B$6*IF(Bitkiler!$H$6=Topraklar!$H$39,0,1))/Ayarlar!$B$7)+IF(Topraklar!$K$39=Bitkiler!$C$6,0.002,IF(Topraklar!$L$39="Evet",0.001,0)))</f>
        <v/>
      </c>
      <c r="AN7" s="16">
        <f>IF(OR(Topraklar!$J$40="Evet",AND(Topraklar!$L$40&lt;&gt;"Evet",Topraklar!$K$40&lt;&gt;Bitkiler!$C$6)),0,MAX(0,1-(Ayarlar!$B$2*ABS(Bitkiler!$D$6-Topraklar!$D$40)+Ayarlar!$B$3*ABS(Bitkiler!$E$6-Topraklar!$E$40)+Ayarlar!$B$4*ABS(Bitkiler!$F$6-Topraklar!$F$40)+Ayarlar!$B$5*ABS(Bitkiler!$G$6-Topraklar!$G$40)+Ayarlar!$B$6*IF(Bitkiler!$H$6=Topraklar!$H$40,0,1))/Ayarlar!$B$7)+IF(Topraklar!$K$40=Bitkiler!$C$6,0.002,IF(Topraklar!$L$40="Evet",0.001,0)))</f>
        <v/>
      </c>
      <c r="AO7" s="16">
        <f>IF(OR(Topraklar!$J$41="Evet",AND(Topraklar!$L$41&lt;&gt;"Evet",Topraklar!$K$41&lt;&gt;Bitkiler!$C$6)),0,MAX(0,1-(Ayarlar!$B$2*ABS(Bitkiler!$D$6-Topraklar!$D$41)+Ayarlar!$B$3*ABS(Bitkiler!$E$6-Topraklar!$E$41)+Ayarlar!$B$4*ABS(Bitkiler!$F$6-Topraklar!$F$41)+Ayarlar!$B$5*ABS(Bitkiler!$G$6-Topraklar!$G$41)+Ayarlar!$B$6*IF(Bitkiler!$H$6=Topraklar!$H$41,0,1))/Ayarlar!$B$7)+IF(Topraklar!$K$41=Bitkiler!$C$6,0.002,IF(Topraklar!$L$41="Evet",0.001,0)))</f>
        <v/>
      </c>
      <c r="AP7" s="16">
        <f>IF(OR(Topraklar!$J$42="Evet",AND(Topraklar!$L$42&lt;&gt;"Evet",Topraklar!$K$42&lt;&gt;Bitkiler!$C$6)),0,MAX(0,1-(Ayarlar!$B$2*ABS(Bitkiler!$D$6-Topraklar!$D$42)+Ayarlar!$B$3*ABS(Bitkiler!$E$6-Topraklar!$E$42)+Ayarlar!$B$4*ABS(Bitkiler!$F$6-Topraklar!$F$42)+Ayarlar!$B$5*ABS(Bitkiler!$G$6-Topraklar!$G$42)+Ayarlar!$B$6*IF(Bitkiler!$H$6=Topraklar!$H$42,0,1))/Ayarlar!$B$7)+IF(Topraklar!$K$42=Bitkiler!$C$6,0.002,IF(Topraklar!$L$42="Evet",0.001,0)))</f>
        <v/>
      </c>
      <c r="AQ7" s="16">
        <f>IF(OR(Topraklar!$J$43="Evet",AND(Topraklar!$L$43&lt;&gt;"Evet",Topraklar!$K$43&lt;&gt;Bitkiler!$C$6)),0,MAX(0,1-(Ayarlar!$B$2*ABS(Bitkiler!$D$6-Topraklar!$D$43)+Ayarlar!$B$3*ABS(Bitkiler!$E$6-Topraklar!$E$43)+Ayarlar!$B$4*ABS(Bitkiler!$F$6-Topraklar!$F$43)+Ayarlar!$B$5*ABS(Bitkiler!$G$6-Topraklar!$G$43)+Ayarlar!$B$6*IF(Bitkiler!$H$6=Topraklar!$H$43,0,1))/Ayarlar!$B$7)+IF(Topraklar!$K$43=Bitkiler!$C$6,0.002,IF(Topraklar!$L$43="Evet",0.001,0)))</f>
        <v/>
      </c>
      <c r="AR7" s="16">
        <f>IF(OR(Topraklar!$J$44="Evet",AND(Topraklar!$L$44&lt;&gt;"Evet",Topraklar!$K$44&lt;&gt;Bitkiler!$C$6)),0,MAX(0,1-(Ayarlar!$B$2*ABS(Bitkiler!$D$6-Topraklar!$D$44)+Ayarlar!$B$3*ABS(Bitkiler!$E$6-Topraklar!$E$44)+Ayarlar!$B$4*ABS(Bitkiler!$F$6-Topraklar!$F$44)+Ayarlar!$B$5*ABS(Bitkiler!$G$6-Topraklar!$G$44)+Ayarlar!$B$6*IF(Bitkiler!$H$6=Topraklar!$H$44,0,1))/Ayarlar!$B$7)+IF(Topraklar!$K$44=Bitkiler!$C$6,0.002,IF(Topraklar!$L$44="Evet",0.001,0)))</f>
        <v/>
      </c>
      <c r="AS7" s="16">
        <f>IF(OR(Topraklar!$J$45="Evet",AND(Topraklar!$L$45&lt;&gt;"Evet",Topraklar!$K$45&lt;&gt;Bitkiler!$C$6)),0,MAX(0,1-(Ayarlar!$B$2*ABS(Bitkiler!$D$6-Topraklar!$D$45)+Ayarlar!$B$3*ABS(Bitkiler!$E$6-Topraklar!$E$45)+Ayarlar!$B$4*ABS(Bitkiler!$F$6-Topraklar!$F$45)+Ayarlar!$B$5*ABS(Bitkiler!$G$6-Topraklar!$G$45)+Ayarlar!$B$6*IF(Bitkiler!$H$6=Topraklar!$H$45,0,1))/Ayarlar!$B$7)+IF(Topraklar!$K$45=Bitkiler!$C$6,0.002,IF(Topraklar!$L$45="Evet",0.001,0)))</f>
        <v/>
      </c>
      <c r="AT7" s="16">
        <f>IF(OR(Topraklar!$J$46="Evet",AND(Topraklar!$L$46&lt;&gt;"Evet",Topraklar!$K$46&lt;&gt;Bitkiler!$C$6)),0,MAX(0,1-(Ayarlar!$B$2*ABS(Bitkiler!$D$6-Topraklar!$D$46)+Ayarlar!$B$3*ABS(Bitkiler!$E$6-Topraklar!$E$46)+Ayarlar!$B$4*ABS(Bitkiler!$F$6-Topraklar!$F$46)+Ayarlar!$B$5*ABS(Bitkiler!$G$6-Topraklar!$G$46)+Ayarlar!$B$6*IF(Bitkiler!$H$6=Topraklar!$H$46,0,1))/Ayarlar!$B$7)+IF(Topraklar!$K$46=Bitkiler!$C$6,0.002,IF(Topraklar!$L$46="Evet",0.001,0)))</f>
        <v/>
      </c>
      <c r="AU7" s="16">
        <f>IF(OR(Topraklar!$J$47="Evet",AND(Topraklar!$L$47&lt;&gt;"Evet",Topraklar!$K$47&lt;&gt;Bitkiler!$C$6)),0,MAX(0,1-(Ayarlar!$B$2*ABS(Bitkiler!$D$6-Topraklar!$D$47)+Ayarlar!$B$3*ABS(Bitkiler!$E$6-Topraklar!$E$47)+Ayarlar!$B$4*ABS(Bitkiler!$F$6-Topraklar!$F$47)+Ayarlar!$B$5*ABS(Bitkiler!$G$6-Topraklar!$G$47)+Ayarlar!$B$6*IF(Bitkiler!$H$6=Topraklar!$H$47,0,1))/Ayarlar!$B$7)+IF(Topraklar!$K$47=Bitkiler!$C$6,0.002,IF(Topraklar!$L$47="Evet",0.001,0)))</f>
        <v/>
      </c>
      <c r="AV7" s="16">
        <f>IF(OR(Topraklar!$J$48="Evet",AND(Topraklar!$L$48&lt;&gt;"Evet",Topraklar!$K$48&lt;&gt;Bitkiler!$C$6)),0,MAX(0,1-(Ayarlar!$B$2*ABS(Bitkiler!$D$6-Topraklar!$D$48)+Ayarlar!$B$3*ABS(Bitkiler!$E$6-Topraklar!$E$48)+Ayarlar!$B$4*ABS(Bitkiler!$F$6-Topraklar!$F$48)+Ayarlar!$B$5*ABS(Bitkiler!$G$6-Topraklar!$G$48)+Ayarlar!$B$6*IF(Bitkiler!$H$6=Topraklar!$H$48,0,1))/Ayarlar!$B$7)+IF(Topraklar!$K$48=Bitkiler!$C$6,0.002,IF(Topraklar!$L$48="Evet",0.001,0)))</f>
        <v/>
      </c>
      <c r="AW7" s="16">
        <f>IF(OR(Topraklar!$J$49="Evet",AND(Topraklar!$L$49&lt;&gt;"Evet",Topraklar!$K$49&lt;&gt;Bitkiler!$C$6)),0,MAX(0,1-(Ayarlar!$B$2*ABS(Bitkiler!$D$6-Topraklar!$D$49)+Ayarlar!$B$3*ABS(Bitkiler!$E$6-Topraklar!$E$49)+Ayarlar!$B$4*ABS(Bitkiler!$F$6-Topraklar!$F$49)+Ayarlar!$B$5*ABS(Bitkiler!$G$6-Topraklar!$G$49)+Ayarlar!$B$6*IF(Bitkiler!$H$6=Topraklar!$H$49,0,1))/Ayarlar!$B$7)+IF(Topraklar!$K$49=Bitkiler!$C$6,0.002,IF(Topraklar!$L$49="Evet",0.001,0)))</f>
        <v/>
      </c>
      <c r="AX7" s="16">
        <f>IF(OR(Topraklar!$J$50="Evet",AND(Topraklar!$L$50&lt;&gt;"Evet",Topraklar!$K$50&lt;&gt;Bitkiler!$C$6)),0,MAX(0,1-(Ayarlar!$B$2*ABS(Bitkiler!$D$6-Topraklar!$D$50)+Ayarlar!$B$3*ABS(Bitkiler!$E$6-Topraklar!$E$50)+Ayarlar!$B$4*ABS(Bitkiler!$F$6-Topraklar!$F$50)+Ayarlar!$B$5*ABS(Bitkiler!$G$6-Topraklar!$G$50)+Ayarlar!$B$6*IF(Bitkiler!$H$6=Topraklar!$H$50,0,1))/Ayarlar!$B$7)+IF(Topraklar!$K$50=Bitkiler!$C$6,0.002,IF(Topraklar!$L$50="Evet",0.001,0)))</f>
        <v/>
      </c>
      <c r="AY7" s="16">
        <f>IF(OR(Topraklar!$J$51="Evet",AND(Topraklar!$L$51&lt;&gt;"Evet",Topraklar!$K$51&lt;&gt;Bitkiler!$C$6)),0,MAX(0,1-(Ayarlar!$B$2*ABS(Bitkiler!$D$6-Topraklar!$D$51)+Ayarlar!$B$3*ABS(Bitkiler!$E$6-Topraklar!$E$51)+Ayarlar!$B$4*ABS(Bitkiler!$F$6-Topraklar!$F$51)+Ayarlar!$B$5*ABS(Bitkiler!$G$6-Topraklar!$G$51)+Ayarlar!$B$6*IF(Bitkiler!$H$6=Topraklar!$H$51,0,1))/Ayarlar!$B$7)+IF(Topraklar!$K$51=Bitkiler!$C$6,0.002,IF(Topraklar!$L$51="Evet",0.001,0)))</f>
        <v/>
      </c>
    </row>
    <row r="8">
      <c r="A8" s="15">
        <f>Bitkiler!A7</f>
        <v/>
      </c>
      <c r="B8" s="16">
        <f>IF(OR(Topraklar!$J$2="Evet",AND(Topraklar!$L$2&lt;&gt;"Evet",Topraklar!$K$2&lt;&gt;Bitkiler!$C$7)),0,MAX(0,1-(Ayarlar!$B$2*ABS(Bitkiler!$D$7-Topraklar!$D$2)+Ayarlar!$B$3*ABS(Bitkiler!$E$7-Topraklar!$E$2)+Ayarlar!$B$4*ABS(Bitkiler!$F$7-Topraklar!$F$2)+Ayarlar!$B$5*ABS(Bitkiler!$G$7-Topraklar!$G$2)+Ayarlar!$B$6*IF(Bitkiler!$H$7=Topraklar!$H$2,0,1))/Ayarlar!$B$7)+IF(Topraklar!$K$2=Bitkiler!$C$7,0.002,IF(Topraklar!$L$2="Evet",0.001,0)))</f>
        <v/>
      </c>
      <c r="C8" s="16">
        <f>IF(OR(Topraklar!$J$3="Evet",AND(Topraklar!$L$3&lt;&gt;"Evet",Topraklar!$K$3&lt;&gt;Bitkiler!$C$7)),0,MAX(0,1-(Ayarlar!$B$2*ABS(Bitkiler!$D$7-Topraklar!$D$3)+Ayarlar!$B$3*ABS(Bitkiler!$E$7-Topraklar!$E$3)+Ayarlar!$B$4*ABS(Bitkiler!$F$7-Topraklar!$F$3)+Ayarlar!$B$5*ABS(Bitkiler!$G$7-Topraklar!$G$3)+Ayarlar!$B$6*IF(Bitkiler!$H$7=Topraklar!$H$3,0,1))/Ayarlar!$B$7)+IF(Topraklar!$K$3=Bitkiler!$C$7,0.002,IF(Topraklar!$L$3="Evet",0.001,0)))</f>
        <v/>
      </c>
      <c r="D8" s="16">
        <f>IF(OR(Topraklar!$J$4="Evet",AND(Topraklar!$L$4&lt;&gt;"Evet",Topraklar!$K$4&lt;&gt;Bitkiler!$C$7)),0,MAX(0,1-(Ayarlar!$B$2*ABS(Bitkiler!$D$7-Topraklar!$D$4)+Ayarlar!$B$3*ABS(Bitkiler!$E$7-Topraklar!$E$4)+Ayarlar!$B$4*ABS(Bitkiler!$F$7-Topraklar!$F$4)+Ayarlar!$B$5*ABS(Bitkiler!$G$7-Topraklar!$G$4)+Ayarlar!$B$6*IF(Bitkiler!$H$7=Topraklar!$H$4,0,1))/Ayarlar!$B$7)+IF(Topraklar!$K$4=Bitkiler!$C$7,0.002,IF(Topraklar!$L$4="Evet",0.001,0)))</f>
        <v/>
      </c>
      <c r="E8" s="16">
        <f>IF(OR(Topraklar!$J$5="Evet",AND(Topraklar!$L$5&lt;&gt;"Evet",Topraklar!$K$5&lt;&gt;Bitkiler!$C$7)),0,MAX(0,1-(Ayarlar!$B$2*ABS(Bitkiler!$D$7-Topraklar!$D$5)+Ayarlar!$B$3*ABS(Bitkiler!$E$7-Topraklar!$E$5)+Ayarlar!$B$4*ABS(Bitkiler!$F$7-Topraklar!$F$5)+Ayarlar!$B$5*ABS(Bitkiler!$G$7-Topraklar!$G$5)+Ayarlar!$B$6*IF(Bitkiler!$H$7=Topraklar!$H$5,0,1))/Ayarlar!$B$7)+IF(Topraklar!$K$5=Bitkiler!$C$7,0.002,IF(Topraklar!$L$5="Evet",0.001,0)))</f>
        <v/>
      </c>
      <c r="F8" s="16">
        <f>IF(OR(Topraklar!$J$6="Evet",AND(Topraklar!$L$6&lt;&gt;"Evet",Topraklar!$K$6&lt;&gt;Bitkiler!$C$7)),0,MAX(0,1-(Ayarlar!$B$2*ABS(Bitkiler!$D$7-Topraklar!$D$6)+Ayarlar!$B$3*ABS(Bitkiler!$E$7-Topraklar!$E$6)+Ayarlar!$B$4*ABS(Bitkiler!$F$7-Topraklar!$F$6)+Ayarlar!$B$5*ABS(Bitkiler!$G$7-Topraklar!$G$6)+Ayarlar!$B$6*IF(Bitkiler!$H$7=Topraklar!$H$6,0,1))/Ayarlar!$B$7)+IF(Topraklar!$K$6=Bitkiler!$C$7,0.002,IF(Topraklar!$L$6="Evet",0.001,0)))</f>
        <v/>
      </c>
      <c r="G8" s="16">
        <f>IF(OR(Topraklar!$J$7="Evet",AND(Topraklar!$L$7&lt;&gt;"Evet",Topraklar!$K$7&lt;&gt;Bitkiler!$C$7)),0,MAX(0,1-(Ayarlar!$B$2*ABS(Bitkiler!$D$7-Topraklar!$D$7)+Ayarlar!$B$3*ABS(Bitkiler!$E$7-Topraklar!$E$7)+Ayarlar!$B$4*ABS(Bitkiler!$F$7-Topraklar!$F$7)+Ayarlar!$B$5*ABS(Bitkiler!$G$7-Topraklar!$G$7)+Ayarlar!$B$6*IF(Bitkiler!$H$7=Topraklar!$H$7,0,1))/Ayarlar!$B$7)+IF(Topraklar!$K$7=Bitkiler!$C$7,0.002,IF(Topraklar!$L$7="Evet",0.001,0)))</f>
        <v/>
      </c>
      <c r="H8" s="16">
        <f>IF(OR(Topraklar!$J$8="Evet",AND(Topraklar!$L$8&lt;&gt;"Evet",Topraklar!$K$8&lt;&gt;Bitkiler!$C$7)),0,MAX(0,1-(Ayarlar!$B$2*ABS(Bitkiler!$D$7-Topraklar!$D$8)+Ayarlar!$B$3*ABS(Bitkiler!$E$7-Topraklar!$E$8)+Ayarlar!$B$4*ABS(Bitkiler!$F$7-Topraklar!$F$8)+Ayarlar!$B$5*ABS(Bitkiler!$G$7-Topraklar!$G$8)+Ayarlar!$B$6*IF(Bitkiler!$H$7=Topraklar!$H$8,0,1))/Ayarlar!$B$7)+IF(Topraklar!$K$8=Bitkiler!$C$7,0.002,IF(Topraklar!$L$8="Evet",0.001,0)))</f>
        <v/>
      </c>
      <c r="I8" s="16">
        <f>IF(OR(Topraklar!$J$9="Evet",AND(Topraklar!$L$9&lt;&gt;"Evet",Topraklar!$K$9&lt;&gt;Bitkiler!$C$7)),0,MAX(0,1-(Ayarlar!$B$2*ABS(Bitkiler!$D$7-Topraklar!$D$9)+Ayarlar!$B$3*ABS(Bitkiler!$E$7-Topraklar!$E$9)+Ayarlar!$B$4*ABS(Bitkiler!$F$7-Topraklar!$F$9)+Ayarlar!$B$5*ABS(Bitkiler!$G$7-Topraklar!$G$9)+Ayarlar!$B$6*IF(Bitkiler!$H$7=Topraklar!$H$9,0,1))/Ayarlar!$B$7)+IF(Topraklar!$K$9=Bitkiler!$C$7,0.002,IF(Topraklar!$L$9="Evet",0.001,0)))</f>
        <v/>
      </c>
      <c r="J8" s="16">
        <f>IF(OR(Topraklar!$J$10="Evet",AND(Topraklar!$L$10&lt;&gt;"Evet",Topraklar!$K$10&lt;&gt;Bitkiler!$C$7)),0,MAX(0,1-(Ayarlar!$B$2*ABS(Bitkiler!$D$7-Topraklar!$D$10)+Ayarlar!$B$3*ABS(Bitkiler!$E$7-Topraklar!$E$10)+Ayarlar!$B$4*ABS(Bitkiler!$F$7-Topraklar!$F$10)+Ayarlar!$B$5*ABS(Bitkiler!$G$7-Topraklar!$G$10)+Ayarlar!$B$6*IF(Bitkiler!$H$7=Topraklar!$H$10,0,1))/Ayarlar!$B$7)+IF(Topraklar!$K$10=Bitkiler!$C$7,0.002,IF(Topraklar!$L$10="Evet",0.001,0)))</f>
        <v/>
      </c>
      <c r="K8" s="16">
        <f>IF(OR(Topraklar!$J$11="Evet",AND(Topraklar!$L$11&lt;&gt;"Evet",Topraklar!$K$11&lt;&gt;Bitkiler!$C$7)),0,MAX(0,1-(Ayarlar!$B$2*ABS(Bitkiler!$D$7-Topraklar!$D$11)+Ayarlar!$B$3*ABS(Bitkiler!$E$7-Topraklar!$E$11)+Ayarlar!$B$4*ABS(Bitkiler!$F$7-Topraklar!$F$11)+Ayarlar!$B$5*ABS(Bitkiler!$G$7-Topraklar!$G$11)+Ayarlar!$B$6*IF(Bitkiler!$H$7=Topraklar!$H$11,0,1))/Ayarlar!$B$7)+IF(Topraklar!$K$11=Bitkiler!$C$7,0.002,IF(Topraklar!$L$11="Evet",0.001,0)))</f>
        <v/>
      </c>
      <c r="L8" s="16">
        <f>IF(OR(Topraklar!$J$12="Evet",AND(Topraklar!$L$12&lt;&gt;"Evet",Topraklar!$K$12&lt;&gt;Bitkiler!$C$7)),0,MAX(0,1-(Ayarlar!$B$2*ABS(Bitkiler!$D$7-Topraklar!$D$12)+Ayarlar!$B$3*ABS(Bitkiler!$E$7-Topraklar!$E$12)+Ayarlar!$B$4*ABS(Bitkiler!$F$7-Topraklar!$F$12)+Ayarlar!$B$5*ABS(Bitkiler!$G$7-Topraklar!$G$12)+Ayarlar!$B$6*IF(Bitkiler!$H$7=Topraklar!$H$12,0,1))/Ayarlar!$B$7)+IF(Topraklar!$K$12=Bitkiler!$C$7,0.002,IF(Topraklar!$L$12="Evet",0.001,0)))</f>
        <v/>
      </c>
      <c r="M8" s="16">
        <f>IF(OR(Topraklar!$J$13="Evet",AND(Topraklar!$L$13&lt;&gt;"Evet",Topraklar!$K$13&lt;&gt;Bitkiler!$C$7)),0,MAX(0,1-(Ayarlar!$B$2*ABS(Bitkiler!$D$7-Topraklar!$D$13)+Ayarlar!$B$3*ABS(Bitkiler!$E$7-Topraklar!$E$13)+Ayarlar!$B$4*ABS(Bitkiler!$F$7-Topraklar!$F$13)+Ayarlar!$B$5*ABS(Bitkiler!$G$7-Topraklar!$G$13)+Ayarlar!$B$6*IF(Bitkiler!$H$7=Topraklar!$H$13,0,1))/Ayarlar!$B$7)+IF(Topraklar!$K$13=Bitkiler!$C$7,0.002,IF(Topraklar!$L$13="Evet",0.001,0)))</f>
        <v/>
      </c>
      <c r="N8" s="16">
        <f>IF(OR(Topraklar!$J$14="Evet",AND(Topraklar!$L$14&lt;&gt;"Evet",Topraklar!$K$14&lt;&gt;Bitkiler!$C$7)),0,MAX(0,1-(Ayarlar!$B$2*ABS(Bitkiler!$D$7-Topraklar!$D$14)+Ayarlar!$B$3*ABS(Bitkiler!$E$7-Topraklar!$E$14)+Ayarlar!$B$4*ABS(Bitkiler!$F$7-Topraklar!$F$14)+Ayarlar!$B$5*ABS(Bitkiler!$G$7-Topraklar!$G$14)+Ayarlar!$B$6*IF(Bitkiler!$H$7=Topraklar!$H$14,0,1))/Ayarlar!$B$7)+IF(Topraklar!$K$14=Bitkiler!$C$7,0.002,IF(Topraklar!$L$14="Evet",0.001,0)))</f>
        <v/>
      </c>
      <c r="O8" s="16">
        <f>IF(OR(Topraklar!$J$15="Evet",AND(Topraklar!$L$15&lt;&gt;"Evet",Topraklar!$K$15&lt;&gt;Bitkiler!$C$7)),0,MAX(0,1-(Ayarlar!$B$2*ABS(Bitkiler!$D$7-Topraklar!$D$15)+Ayarlar!$B$3*ABS(Bitkiler!$E$7-Topraklar!$E$15)+Ayarlar!$B$4*ABS(Bitkiler!$F$7-Topraklar!$F$15)+Ayarlar!$B$5*ABS(Bitkiler!$G$7-Topraklar!$G$15)+Ayarlar!$B$6*IF(Bitkiler!$H$7=Topraklar!$H$15,0,1))/Ayarlar!$B$7)+IF(Topraklar!$K$15=Bitkiler!$C$7,0.002,IF(Topraklar!$L$15="Evet",0.001,0)))</f>
        <v/>
      </c>
      <c r="P8" s="16">
        <f>IF(OR(Topraklar!$J$16="Evet",AND(Topraklar!$L$16&lt;&gt;"Evet",Topraklar!$K$16&lt;&gt;Bitkiler!$C$7)),0,MAX(0,1-(Ayarlar!$B$2*ABS(Bitkiler!$D$7-Topraklar!$D$16)+Ayarlar!$B$3*ABS(Bitkiler!$E$7-Topraklar!$E$16)+Ayarlar!$B$4*ABS(Bitkiler!$F$7-Topraklar!$F$16)+Ayarlar!$B$5*ABS(Bitkiler!$G$7-Topraklar!$G$16)+Ayarlar!$B$6*IF(Bitkiler!$H$7=Topraklar!$H$16,0,1))/Ayarlar!$B$7)+IF(Topraklar!$K$16=Bitkiler!$C$7,0.002,IF(Topraklar!$L$16="Evet",0.001,0)))</f>
        <v/>
      </c>
      <c r="Q8" s="16">
        <f>IF(OR(Topraklar!$J$17="Evet",AND(Topraklar!$L$17&lt;&gt;"Evet",Topraklar!$K$17&lt;&gt;Bitkiler!$C$7)),0,MAX(0,1-(Ayarlar!$B$2*ABS(Bitkiler!$D$7-Topraklar!$D$17)+Ayarlar!$B$3*ABS(Bitkiler!$E$7-Topraklar!$E$17)+Ayarlar!$B$4*ABS(Bitkiler!$F$7-Topraklar!$F$17)+Ayarlar!$B$5*ABS(Bitkiler!$G$7-Topraklar!$G$17)+Ayarlar!$B$6*IF(Bitkiler!$H$7=Topraklar!$H$17,0,1))/Ayarlar!$B$7)+IF(Topraklar!$K$17=Bitkiler!$C$7,0.002,IF(Topraklar!$L$17="Evet",0.001,0)))</f>
        <v/>
      </c>
      <c r="R8" s="16">
        <f>IF(OR(Topraklar!$J$18="Evet",AND(Topraklar!$L$18&lt;&gt;"Evet",Topraklar!$K$18&lt;&gt;Bitkiler!$C$7)),0,MAX(0,1-(Ayarlar!$B$2*ABS(Bitkiler!$D$7-Topraklar!$D$18)+Ayarlar!$B$3*ABS(Bitkiler!$E$7-Topraklar!$E$18)+Ayarlar!$B$4*ABS(Bitkiler!$F$7-Topraklar!$F$18)+Ayarlar!$B$5*ABS(Bitkiler!$G$7-Topraklar!$G$18)+Ayarlar!$B$6*IF(Bitkiler!$H$7=Topraklar!$H$18,0,1))/Ayarlar!$B$7)+IF(Topraklar!$K$18=Bitkiler!$C$7,0.002,IF(Topraklar!$L$18="Evet",0.001,0)))</f>
        <v/>
      </c>
      <c r="S8" s="16">
        <f>IF(OR(Topraklar!$J$19="Evet",AND(Topraklar!$L$19&lt;&gt;"Evet",Topraklar!$K$19&lt;&gt;Bitkiler!$C$7)),0,MAX(0,1-(Ayarlar!$B$2*ABS(Bitkiler!$D$7-Topraklar!$D$19)+Ayarlar!$B$3*ABS(Bitkiler!$E$7-Topraklar!$E$19)+Ayarlar!$B$4*ABS(Bitkiler!$F$7-Topraklar!$F$19)+Ayarlar!$B$5*ABS(Bitkiler!$G$7-Topraklar!$G$19)+Ayarlar!$B$6*IF(Bitkiler!$H$7=Topraklar!$H$19,0,1))/Ayarlar!$B$7)+IF(Topraklar!$K$19=Bitkiler!$C$7,0.002,IF(Topraklar!$L$19="Evet",0.001,0)))</f>
        <v/>
      </c>
      <c r="T8" s="16">
        <f>IF(OR(Topraklar!$J$20="Evet",AND(Topraklar!$L$20&lt;&gt;"Evet",Topraklar!$K$20&lt;&gt;Bitkiler!$C$7)),0,MAX(0,1-(Ayarlar!$B$2*ABS(Bitkiler!$D$7-Topraklar!$D$20)+Ayarlar!$B$3*ABS(Bitkiler!$E$7-Topraklar!$E$20)+Ayarlar!$B$4*ABS(Bitkiler!$F$7-Topraklar!$F$20)+Ayarlar!$B$5*ABS(Bitkiler!$G$7-Topraklar!$G$20)+Ayarlar!$B$6*IF(Bitkiler!$H$7=Topraklar!$H$20,0,1))/Ayarlar!$B$7)+IF(Topraklar!$K$20=Bitkiler!$C$7,0.002,IF(Topraklar!$L$20="Evet",0.001,0)))</f>
        <v/>
      </c>
      <c r="U8" s="16">
        <f>IF(OR(Topraklar!$J$21="Evet",AND(Topraklar!$L$21&lt;&gt;"Evet",Topraklar!$K$21&lt;&gt;Bitkiler!$C$7)),0,MAX(0,1-(Ayarlar!$B$2*ABS(Bitkiler!$D$7-Topraklar!$D$21)+Ayarlar!$B$3*ABS(Bitkiler!$E$7-Topraklar!$E$21)+Ayarlar!$B$4*ABS(Bitkiler!$F$7-Topraklar!$F$21)+Ayarlar!$B$5*ABS(Bitkiler!$G$7-Topraklar!$G$21)+Ayarlar!$B$6*IF(Bitkiler!$H$7=Topraklar!$H$21,0,1))/Ayarlar!$B$7)+IF(Topraklar!$K$21=Bitkiler!$C$7,0.002,IF(Topraklar!$L$21="Evet",0.001,0)))</f>
        <v/>
      </c>
      <c r="V8" s="16">
        <f>IF(OR(Topraklar!$J$22="Evet",AND(Topraklar!$L$22&lt;&gt;"Evet",Topraklar!$K$22&lt;&gt;Bitkiler!$C$7)),0,MAX(0,1-(Ayarlar!$B$2*ABS(Bitkiler!$D$7-Topraklar!$D$22)+Ayarlar!$B$3*ABS(Bitkiler!$E$7-Topraklar!$E$22)+Ayarlar!$B$4*ABS(Bitkiler!$F$7-Topraklar!$F$22)+Ayarlar!$B$5*ABS(Bitkiler!$G$7-Topraklar!$G$22)+Ayarlar!$B$6*IF(Bitkiler!$H$7=Topraklar!$H$22,0,1))/Ayarlar!$B$7)+IF(Topraklar!$K$22=Bitkiler!$C$7,0.002,IF(Topraklar!$L$22="Evet",0.001,0)))</f>
        <v/>
      </c>
      <c r="W8" s="16">
        <f>IF(OR(Topraklar!$J$23="Evet",AND(Topraklar!$L$23&lt;&gt;"Evet",Topraklar!$K$23&lt;&gt;Bitkiler!$C$7)),0,MAX(0,1-(Ayarlar!$B$2*ABS(Bitkiler!$D$7-Topraklar!$D$23)+Ayarlar!$B$3*ABS(Bitkiler!$E$7-Topraklar!$E$23)+Ayarlar!$B$4*ABS(Bitkiler!$F$7-Topraklar!$F$23)+Ayarlar!$B$5*ABS(Bitkiler!$G$7-Topraklar!$G$23)+Ayarlar!$B$6*IF(Bitkiler!$H$7=Topraklar!$H$23,0,1))/Ayarlar!$B$7)+IF(Topraklar!$K$23=Bitkiler!$C$7,0.002,IF(Topraklar!$L$23="Evet",0.001,0)))</f>
        <v/>
      </c>
      <c r="X8" s="16">
        <f>IF(OR(Topraklar!$J$24="Evet",AND(Topraklar!$L$24&lt;&gt;"Evet",Topraklar!$K$24&lt;&gt;Bitkiler!$C$7)),0,MAX(0,1-(Ayarlar!$B$2*ABS(Bitkiler!$D$7-Topraklar!$D$24)+Ayarlar!$B$3*ABS(Bitkiler!$E$7-Topraklar!$E$24)+Ayarlar!$B$4*ABS(Bitkiler!$F$7-Topraklar!$F$24)+Ayarlar!$B$5*ABS(Bitkiler!$G$7-Topraklar!$G$24)+Ayarlar!$B$6*IF(Bitkiler!$H$7=Topraklar!$H$24,0,1))/Ayarlar!$B$7)+IF(Topraklar!$K$24=Bitkiler!$C$7,0.002,IF(Topraklar!$L$24="Evet",0.001,0)))</f>
        <v/>
      </c>
      <c r="Y8" s="16">
        <f>IF(OR(Topraklar!$J$25="Evet",AND(Topraklar!$L$25&lt;&gt;"Evet",Topraklar!$K$25&lt;&gt;Bitkiler!$C$7)),0,MAX(0,1-(Ayarlar!$B$2*ABS(Bitkiler!$D$7-Topraklar!$D$25)+Ayarlar!$B$3*ABS(Bitkiler!$E$7-Topraklar!$E$25)+Ayarlar!$B$4*ABS(Bitkiler!$F$7-Topraklar!$F$25)+Ayarlar!$B$5*ABS(Bitkiler!$G$7-Topraklar!$G$25)+Ayarlar!$B$6*IF(Bitkiler!$H$7=Topraklar!$H$25,0,1))/Ayarlar!$B$7)+IF(Topraklar!$K$25=Bitkiler!$C$7,0.002,IF(Topraklar!$L$25="Evet",0.001,0)))</f>
        <v/>
      </c>
      <c r="Z8" s="16">
        <f>IF(OR(Topraklar!$J$26="Evet",AND(Topraklar!$L$26&lt;&gt;"Evet",Topraklar!$K$26&lt;&gt;Bitkiler!$C$7)),0,MAX(0,1-(Ayarlar!$B$2*ABS(Bitkiler!$D$7-Topraklar!$D$26)+Ayarlar!$B$3*ABS(Bitkiler!$E$7-Topraklar!$E$26)+Ayarlar!$B$4*ABS(Bitkiler!$F$7-Topraklar!$F$26)+Ayarlar!$B$5*ABS(Bitkiler!$G$7-Topraklar!$G$26)+Ayarlar!$B$6*IF(Bitkiler!$H$7=Topraklar!$H$26,0,1))/Ayarlar!$B$7)+IF(Topraklar!$K$26=Bitkiler!$C$7,0.002,IF(Topraklar!$L$26="Evet",0.001,0)))</f>
        <v/>
      </c>
      <c r="AA8" s="16">
        <f>IF(OR(Topraklar!$J$27="Evet",AND(Topraklar!$L$27&lt;&gt;"Evet",Topraklar!$K$27&lt;&gt;Bitkiler!$C$7)),0,MAX(0,1-(Ayarlar!$B$2*ABS(Bitkiler!$D$7-Topraklar!$D$27)+Ayarlar!$B$3*ABS(Bitkiler!$E$7-Topraklar!$E$27)+Ayarlar!$B$4*ABS(Bitkiler!$F$7-Topraklar!$F$27)+Ayarlar!$B$5*ABS(Bitkiler!$G$7-Topraklar!$G$27)+Ayarlar!$B$6*IF(Bitkiler!$H$7=Topraklar!$H$27,0,1))/Ayarlar!$B$7)+IF(Topraklar!$K$27=Bitkiler!$C$7,0.002,IF(Topraklar!$L$27="Evet",0.001,0)))</f>
        <v/>
      </c>
      <c r="AB8" s="16">
        <f>IF(OR(Topraklar!$J$28="Evet",AND(Topraklar!$L$28&lt;&gt;"Evet",Topraklar!$K$28&lt;&gt;Bitkiler!$C$7)),0,MAX(0,1-(Ayarlar!$B$2*ABS(Bitkiler!$D$7-Topraklar!$D$28)+Ayarlar!$B$3*ABS(Bitkiler!$E$7-Topraklar!$E$28)+Ayarlar!$B$4*ABS(Bitkiler!$F$7-Topraklar!$F$28)+Ayarlar!$B$5*ABS(Bitkiler!$G$7-Topraklar!$G$28)+Ayarlar!$B$6*IF(Bitkiler!$H$7=Topraklar!$H$28,0,1))/Ayarlar!$B$7)+IF(Topraklar!$K$28=Bitkiler!$C$7,0.002,IF(Topraklar!$L$28="Evet",0.001,0)))</f>
        <v/>
      </c>
      <c r="AC8" s="16">
        <f>IF(OR(Topraklar!$J$29="Evet",AND(Topraklar!$L$29&lt;&gt;"Evet",Topraklar!$K$29&lt;&gt;Bitkiler!$C$7)),0,MAX(0,1-(Ayarlar!$B$2*ABS(Bitkiler!$D$7-Topraklar!$D$29)+Ayarlar!$B$3*ABS(Bitkiler!$E$7-Topraklar!$E$29)+Ayarlar!$B$4*ABS(Bitkiler!$F$7-Topraklar!$F$29)+Ayarlar!$B$5*ABS(Bitkiler!$G$7-Topraklar!$G$29)+Ayarlar!$B$6*IF(Bitkiler!$H$7=Topraklar!$H$29,0,1))/Ayarlar!$B$7)+IF(Topraklar!$K$29=Bitkiler!$C$7,0.002,IF(Topraklar!$L$29="Evet",0.001,0)))</f>
        <v/>
      </c>
      <c r="AD8" s="16">
        <f>IF(OR(Topraklar!$J$30="Evet",AND(Topraklar!$L$30&lt;&gt;"Evet",Topraklar!$K$30&lt;&gt;Bitkiler!$C$7)),0,MAX(0,1-(Ayarlar!$B$2*ABS(Bitkiler!$D$7-Topraklar!$D$30)+Ayarlar!$B$3*ABS(Bitkiler!$E$7-Topraklar!$E$30)+Ayarlar!$B$4*ABS(Bitkiler!$F$7-Topraklar!$F$30)+Ayarlar!$B$5*ABS(Bitkiler!$G$7-Topraklar!$G$30)+Ayarlar!$B$6*IF(Bitkiler!$H$7=Topraklar!$H$30,0,1))/Ayarlar!$B$7)+IF(Topraklar!$K$30=Bitkiler!$C$7,0.002,IF(Topraklar!$L$30="Evet",0.001,0)))</f>
        <v/>
      </c>
      <c r="AE8" s="16">
        <f>IF(OR(Topraklar!$J$31="Evet",AND(Topraklar!$L$31&lt;&gt;"Evet",Topraklar!$K$31&lt;&gt;Bitkiler!$C$7)),0,MAX(0,1-(Ayarlar!$B$2*ABS(Bitkiler!$D$7-Topraklar!$D$31)+Ayarlar!$B$3*ABS(Bitkiler!$E$7-Topraklar!$E$31)+Ayarlar!$B$4*ABS(Bitkiler!$F$7-Topraklar!$F$31)+Ayarlar!$B$5*ABS(Bitkiler!$G$7-Topraklar!$G$31)+Ayarlar!$B$6*IF(Bitkiler!$H$7=Topraklar!$H$31,0,1))/Ayarlar!$B$7)+IF(Topraklar!$K$31=Bitkiler!$C$7,0.002,IF(Topraklar!$L$31="Evet",0.001,0)))</f>
        <v/>
      </c>
      <c r="AF8" s="16">
        <f>IF(OR(Topraklar!$J$32="Evet",AND(Topraklar!$L$32&lt;&gt;"Evet",Topraklar!$K$32&lt;&gt;Bitkiler!$C$7)),0,MAX(0,1-(Ayarlar!$B$2*ABS(Bitkiler!$D$7-Topraklar!$D$32)+Ayarlar!$B$3*ABS(Bitkiler!$E$7-Topraklar!$E$32)+Ayarlar!$B$4*ABS(Bitkiler!$F$7-Topraklar!$F$32)+Ayarlar!$B$5*ABS(Bitkiler!$G$7-Topraklar!$G$32)+Ayarlar!$B$6*IF(Bitkiler!$H$7=Topraklar!$H$32,0,1))/Ayarlar!$B$7)+IF(Topraklar!$K$32=Bitkiler!$C$7,0.002,IF(Topraklar!$L$32="Evet",0.001,0)))</f>
        <v/>
      </c>
      <c r="AG8" s="16">
        <f>IF(OR(Topraklar!$J$33="Evet",AND(Topraklar!$L$33&lt;&gt;"Evet",Topraklar!$K$33&lt;&gt;Bitkiler!$C$7)),0,MAX(0,1-(Ayarlar!$B$2*ABS(Bitkiler!$D$7-Topraklar!$D$33)+Ayarlar!$B$3*ABS(Bitkiler!$E$7-Topraklar!$E$33)+Ayarlar!$B$4*ABS(Bitkiler!$F$7-Topraklar!$F$33)+Ayarlar!$B$5*ABS(Bitkiler!$G$7-Topraklar!$G$33)+Ayarlar!$B$6*IF(Bitkiler!$H$7=Topraklar!$H$33,0,1))/Ayarlar!$B$7)+IF(Topraklar!$K$33=Bitkiler!$C$7,0.002,IF(Topraklar!$L$33="Evet",0.001,0)))</f>
        <v/>
      </c>
      <c r="AH8" s="16">
        <f>IF(OR(Topraklar!$J$34="Evet",AND(Topraklar!$L$34&lt;&gt;"Evet",Topraklar!$K$34&lt;&gt;Bitkiler!$C$7)),0,MAX(0,1-(Ayarlar!$B$2*ABS(Bitkiler!$D$7-Topraklar!$D$34)+Ayarlar!$B$3*ABS(Bitkiler!$E$7-Topraklar!$E$34)+Ayarlar!$B$4*ABS(Bitkiler!$F$7-Topraklar!$F$34)+Ayarlar!$B$5*ABS(Bitkiler!$G$7-Topraklar!$G$34)+Ayarlar!$B$6*IF(Bitkiler!$H$7=Topraklar!$H$34,0,1))/Ayarlar!$B$7)+IF(Topraklar!$K$34=Bitkiler!$C$7,0.002,IF(Topraklar!$L$34="Evet",0.001,0)))</f>
        <v/>
      </c>
      <c r="AI8" s="16">
        <f>IF(OR(Topraklar!$J$35="Evet",AND(Topraklar!$L$35&lt;&gt;"Evet",Topraklar!$K$35&lt;&gt;Bitkiler!$C$7)),0,MAX(0,1-(Ayarlar!$B$2*ABS(Bitkiler!$D$7-Topraklar!$D$35)+Ayarlar!$B$3*ABS(Bitkiler!$E$7-Topraklar!$E$35)+Ayarlar!$B$4*ABS(Bitkiler!$F$7-Topraklar!$F$35)+Ayarlar!$B$5*ABS(Bitkiler!$G$7-Topraklar!$G$35)+Ayarlar!$B$6*IF(Bitkiler!$H$7=Topraklar!$H$35,0,1))/Ayarlar!$B$7)+IF(Topraklar!$K$35=Bitkiler!$C$7,0.002,IF(Topraklar!$L$35="Evet",0.001,0)))</f>
        <v/>
      </c>
      <c r="AJ8" s="16">
        <f>IF(OR(Topraklar!$J$36="Evet",AND(Topraklar!$L$36&lt;&gt;"Evet",Topraklar!$K$36&lt;&gt;Bitkiler!$C$7)),0,MAX(0,1-(Ayarlar!$B$2*ABS(Bitkiler!$D$7-Topraklar!$D$36)+Ayarlar!$B$3*ABS(Bitkiler!$E$7-Topraklar!$E$36)+Ayarlar!$B$4*ABS(Bitkiler!$F$7-Topraklar!$F$36)+Ayarlar!$B$5*ABS(Bitkiler!$G$7-Topraklar!$G$36)+Ayarlar!$B$6*IF(Bitkiler!$H$7=Topraklar!$H$36,0,1))/Ayarlar!$B$7)+IF(Topraklar!$K$36=Bitkiler!$C$7,0.002,IF(Topraklar!$L$36="Evet",0.001,0)))</f>
        <v/>
      </c>
      <c r="AK8" s="16">
        <f>IF(OR(Topraklar!$J$37="Evet",AND(Topraklar!$L$37&lt;&gt;"Evet",Topraklar!$K$37&lt;&gt;Bitkiler!$C$7)),0,MAX(0,1-(Ayarlar!$B$2*ABS(Bitkiler!$D$7-Topraklar!$D$37)+Ayarlar!$B$3*ABS(Bitkiler!$E$7-Topraklar!$E$37)+Ayarlar!$B$4*ABS(Bitkiler!$F$7-Topraklar!$F$37)+Ayarlar!$B$5*ABS(Bitkiler!$G$7-Topraklar!$G$37)+Ayarlar!$B$6*IF(Bitkiler!$H$7=Topraklar!$H$37,0,1))/Ayarlar!$B$7)+IF(Topraklar!$K$37=Bitkiler!$C$7,0.002,IF(Topraklar!$L$37="Evet",0.001,0)))</f>
        <v/>
      </c>
      <c r="AL8" s="16">
        <f>IF(OR(Topraklar!$J$38="Evet",AND(Topraklar!$L$38&lt;&gt;"Evet",Topraklar!$K$38&lt;&gt;Bitkiler!$C$7)),0,MAX(0,1-(Ayarlar!$B$2*ABS(Bitkiler!$D$7-Topraklar!$D$38)+Ayarlar!$B$3*ABS(Bitkiler!$E$7-Topraklar!$E$38)+Ayarlar!$B$4*ABS(Bitkiler!$F$7-Topraklar!$F$38)+Ayarlar!$B$5*ABS(Bitkiler!$G$7-Topraklar!$G$38)+Ayarlar!$B$6*IF(Bitkiler!$H$7=Topraklar!$H$38,0,1))/Ayarlar!$B$7)+IF(Topraklar!$K$38=Bitkiler!$C$7,0.002,IF(Topraklar!$L$38="Evet",0.001,0)))</f>
        <v/>
      </c>
      <c r="AM8" s="16">
        <f>IF(OR(Topraklar!$J$39="Evet",AND(Topraklar!$L$39&lt;&gt;"Evet",Topraklar!$K$39&lt;&gt;Bitkiler!$C$7)),0,MAX(0,1-(Ayarlar!$B$2*ABS(Bitkiler!$D$7-Topraklar!$D$39)+Ayarlar!$B$3*ABS(Bitkiler!$E$7-Topraklar!$E$39)+Ayarlar!$B$4*ABS(Bitkiler!$F$7-Topraklar!$F$39)+Ayarlar!$B$5*ABS(Bitkiler!$G$7-Topraklar!$G$39)+Ayarlar!$B$6*IF(Bitkiler!$H$7=Topraklar!$H$39,0,1))/Ayarlar!$B$7)+IF(Topraklar!$K$39=Bitkiler!$C$7,0.002,IF(Topraklar!$L$39="Evet",0.001,0)))</f>
        <v/>
      </c>
      <c r="AN8" s="16">
        <f>IF(OR(Topraklar!$J$40="Evet",AND(Topraklar!$L$40&lt;&gt;"Evet",Topraklar!$K$40&lt;&gt;Bitkiler!$C$7)),0,MAX(0,1-(Ayarlar!$B$2*ABS(Bitkiler!$D$7-Topraklar!$D$40)+Ayarlar!$B$3*ABS(Bitkiler!$E$7-Topraklar!$E$40)+Ayarlar!$B$4*ABS(Bitkiler!$F$7-Topraklar!$F$40)+Ayarlar!$B$5*ABS(Bitkiler!$G$7-Topraklar!$G$40)+Ayarlar!$B$6*IF(Bitkiler!$H$7=Topraklar!$H$40,0,1))/Ayarlar!$B$7)+IF(Topraklar!$K$40=Bitkiler!$C$7,0.002,IF(Topraklar!$L$40="Evet",0.001,0)))</f>
        <v/>
      </c>
      <c r="AO8" s="16">
        <f>IF(OR(Topraklar!$J$41="Evet",AND(Topraklar!$L$41&lt;&gt;"Evet",Topraklar!$K$41&lt;&gt;Bitkiler!$C$7)),0,MAX(0,1-(Ayarlar!$B$2*ABS(Bitkiler!$D$7-Topraklar!$D$41)+Ayarlar!$B$3*ABS(Bitkiler!$E$7-Topraklar!$E$41)+Ayarlar!$B$4*ABS(Bitkiler!$F$7-Topraklar!$F$41)+Ayarlar!$B$5*ABS(Bitkiler!$G$7-Topraklar!$G$41)+Ayarlar!$B$6*IF(Bitkiler!$H$7=Topraklar!$H$41,0,1))/Ayarlar!$B$7)+IF(Topraklar!$K$41=Bitkiler!$C$7,0.002,IF(Topraklar!$L$41="Evet",0.001,0)))</f>
        <v/>
      </c>
      <c r="AP8" s="16">
        <f>IF(OR(Topraklar!$J$42="Evet",AND(Topraklar!$L$42&lt;&gt;"Evet",Topraklar!$K$42&lt;&gt;Bitkiler!$C$7)),0,MAX(0,1-(Ayarlar!$B$2*ABS(Bitkiler!$D$7-Topraklar!$D$42)+Ayarlar!$B$3*ABS(Bitkiler!$E$7-Topraklar!$E$42)+Ayarlar!$B$4*ABS(Bitkiler!$F$7-Topraklar!$F$42)+Ayarlar!$B$5*ABS(Bitkiler!$G$7-Topraklar!$G$42)+Ayarlar!$B$6*IF(Bitkiler!$H$7=Topraklar!$H$42,0,1))/Ayarlar!$B$7)+IF(Topraklar!$K$42=Bitkiler!$C$7,0.002,IF(Topraklar!$L$42="Evet",0.001,0)))</f>
        <v/>
      </c>
      <c r="AQ8" s="16">
        <f>IF(OR(Topraklar!$J$43="Evet",AND(Topraklar!$L$43&lt;&gt;"Evet",Topraklar!$K$43&lt;&gt;Bitkiler!$C$7)),0,MAX(0,1-(Ayarlar!$B$2*ABS(Bitkiler!$D$7-Topraklar!$D$43)+Ayarlar!$B$3*ABS(Bitkiler!$E$7-Topraklar!$E$43)+Ayarlar!$B$4*ABS(Bitkiler!$F$7-Topraklar!$F$43)+Ayarlar!$B$5*ABS(Bitkiler!$G$7-Topraklar!$G$43)+Ayarlar!$B$6*IF(Bitkiler!$H$7=Topraklar!$H$43,0,1))/Ayarlar!$B$7)+IF(Topraklar!$K$43=Bitkiler!$C$7,0.002,IF(Topraklar!$L$43="Evet",0.001,0)))</f>
        <v/>
      </c>
      <c r="AR8" s="16">
        <f>IF(OR(Topraklar!$J$44="Evet",AND(Topraklar!$L$44&lt;&gt;"Evet",Topraklar!$K$44&lt;&gt;Bitkiler!$C$7)),0,MAX(0,1-(Ayarlar!$B$2*ABS(Bitkiler!$D$7-Topraklar!$D$44)+Ayarlar!$B$3*ABS(Bitkiler!$E$7-Topraklar!$E$44)+Ayarlar!$B$4*ABS(Bitkiler!$F$7-Topraklar!$F$44)+Ayarlar!$B$5*ABS(Bitkiler!$G$7-Topraklar!$G$44)+Ayarlar!$B$6*IF(Bitkiler!$H$7=Topraklar!$H$44,0,1))/Ayarlar!$B$7)+IF(Topraklar!$K$44=Bitkiler!$C$7,0.002,IF(Topraklar!$L$44="Evet",0.001,0)))</f>
        <v/>
      </c>
      <c r="AS8" s="16">
        <f>IF(OR(Topraklar!$J$45="Evet",AND(Topraklar!$L$45&lt;&gt;"Evet",Topraklar!$K$45&lt;&gt;Bitkiler!$C$7)),0,MAX(0,1-(Ayarlar!$B$2*ABS(Bitkiler!$D$7-Topraklar!$D$45)+Ayarlar!$B$3*ABS(Bitkiler!$E$7-Topraklar!$E$45)+Ayarlar!$B$4*ABS(Bitkiler!$F$7-Topraklar!$F$45)+Ayarlar!$B$5*ABS(Bitkiler!$G$7-Topraklar!$G$45)+Ayarlar!$B$6*IF(Bitkiler!$H$7=Topraklar!$H$45,0,1))/Ayarlar!$B$7)+IF(Topraklar!$K$45=Bitkiler!$C$7,0.002,IF(Topraklar!$L$45="Evet",0.001,0)))</f>
        <v/>
      </c>
      <c r="AT8" s="16">
        <f>IF(OR(Topraklar!$J$46="Evet",AND(Topraklar!$L$46&lt;&gt;"Evet",Topraklar!$K$46&lt;&gt;Bitkiler!$C$7)),0,MAX(0,1-(Ayarlar!$B$2*ABS(Bitkiler!$D$7-Topraklar!$D$46)+Ayarlar!$B$3*ABS(Bitkiler!$E$7-Topraklar!$E$46)+Ayarlar!$B$4*ABS(Bitkiler!$F$7-Topraklar!$F$46)+Ayarlar!$B$5*ABS(Bitkiler!$G$7-Topraklar!$G$46)+Ayarlar!$B$6*IF(Bitkiler!$H$7=Topraklar!$H$46,0,1))/Ayarlar!$B$7)+IF(Topraklar!$K$46=Bitkiler!$C$7,0.002,IF(Topraklar!$L$46="Evet",0.001,0)))</f>
        <v/>
      </c>
      <c r="AU8" s="16">
        <f>IF(OR(Topraklar!$J$47="Evet",AND(Topraklar!$L$47&lt;&gt;"Evet",Topraklar!$K$47&lt;&gt;Bitkiler!$C$7)),0,MAX(0,1-(Ayarlar!$B$2*ABS(Bitkiler!$D$7-Topraklar!$D$47)+Ayarlar!$B$3*ABS(Bitkiler!$E$7-Topraklar!$E$47)+Ayarlar!$B$4*ABS(Bitkiler!$F$7-Topraklar!$F$47)+Ayarlar!$B$5*ABS(Bitkiler!$G$7-Topraklar!$G$47)+Ayarlar!$B$6*IF(Bitkiler!$H$7=Topraklar!$H$47,0,1))/Ayarlar!$B$7)+IF(Topraklar!$K$47=Bitkiler!$C$7,0.002,IF(Topraklar!$L$47="Evet",0.001,0)))</f>
        <v/>
      </c>
      <c r="AV8" s="16">
        <f>IF(OR(Topraklar!$J$48="Evet",AND(Topraklar!$L$48&lt;&gt;"Evet",Topraklar!$K$48&lt;&gt;Bitkiler!$C$7)),0,MAX(0,1-(Ayarlar!$B$2*ABS(Bitkiler!$D$7-Topraklar!$D$48)+Ayarlar!$B$3*ABS(Bitkiler!$E$7-Topraklar!$E$48)+Ayarlar!$B$4*ABS(Bitkiler!$F$7-Topraklar!$F$48)+Ayarlar!$B$5*ABS(Bitkiler!$G$7-Topraklar!$G$48)+Ayarlar!$B$6*IF(Bitkiler!$H$7=Topraklar!$H$48,0,1))/Ayarlar!$B$7)+IF(Topraklar!$K$48=Bitkiler!$C$7,0.002,IF(Topraklar!$L$48="Evet",0.001,0)))</f>
        <v/>
      </c>
      <c r="AW8" s="16">
        <f>IF(OR(Topraklar!$J$49="Evet",AND(Topraklar!$L$49&lt;&gt;"Evet",Topraklar!$K$49&lt;&gt;Bitkiler!$C$7)),0,MAX(0,1-(Ayarlar!$B$2*ABS(Bitkiler!$D$7-Topraklar!$D$49)+Ayarlar!$B$3*ABS(Bitkiler!$E$7-Topraklar!$E$49)+Ayarlar!$B$4*ABS(Bitkiler!$F$7-Topraklar!$F$49)+Ayarlar!$B$5*ABS(Bitkiler!$G$7-Topraklar!$G$49)+Ayarlar!$B$6*IF(Bitkiler!$H$7=Topraklar!$H$49,0,1))/Ayarlar!$B$7)+IF(Topraklar!$K$49=Bitkiler!$C$7,0.002,IF(Topraklar!$L$49="Evet",0.001,0)))</f>
        <v/>
      </c>
      <c r="AX8" s="16">
        <f>IF(OR(Topraklar!$J$50="Evet",AND(Topraklar!$L$50&lt;&gt;"Evet",Topraklar!$K$50&lt;&gt;Bitkiler!$C$7)),0,MAX(0,1-(Ayarlar!$B$2*ABS(Bitkiler!$D$7-Topraklar!$D$50)+Ayarlar!$B$3*ABS(Bitkiler!$E$7-Topraklar!$E$50)+Ayarlar!$B$4*ABS(Bitkiler!$F$7-Topraklar!$F$50)+Ayarlar!$B$5*ABS(Bitkiler!$G$7-Topraklar!$G$50)+Ayarlar!$B$6*IF(Bitkiler!$H$7=Topraklar!$H$50,0,1))/Ayarlar!$B$7)+IF(Topraklar!$K$50=Bitkiler!$C$7,0.002,IF(Topraklar!$L$50="Evet",0.001,0)))</f>
        <v/>
      </c>
      <c r="AY8" s="16">
        <f>IF(OR(Topraklar!$J$51="Evet",AND(Topraklar!$L$51&lt;&gt;"Evet",Topraklar!$K$51&lt;&gt;Bitkiler!$C$7)),0,MAX(0,1-(Ayarlar!$B$2*ABS(Bitkiler!$D$7-Topraklar!$D$51)+Ayarlar!$B$3*ABS(Bitkiler!$E$7-Topraklar!$E$51)+Ayarlar!$B$4*ABS(Bitkiler!$F$7-Topraklar!$F$51)+Ayarlar!$B$5*ABS(Bitkiler!$G$7-Topraklar!$G$51)+Ayarlar!$B$6*IF(Bitkiler!$H$7=Topraklar!$H$51,0,1))/Ayarlar!$B$7)+IF(Topraklar!$K$51=Bitkiler!$C$7,0.002,IF(Topraklar!$L$51="Evet",0.001,0)))</f>
        <v/>
      </c>
    </row>
    <row r="9">
      <c r="A9" s="15">
        <f>Bitkiler!A8</f>
        <v/>
      </c>
      <c r="B9" s="16">
        <f>IF(OR(Topraklar!$J$2="Evet",AND(Topraklar!$L$2&lt;&gt;"Evet",Topraklar!$K$2&lt;&gt;Bitkiler!$C$8)),0,MAX(0,1-(Ayarlar!$B$2*ABS(Bitkiler!$D$8-Topraklar!$D$2)+Ayarlar!$B$3*ABS(Bitkiler!$E$8-Topraklar!$E$2)+Ayarlar!$B$4*ABS(Bitkiler!$F$8-Topraklar!$F$2)+Ayarlar!$B$5*ABS(Bitkiler!$G$8-Topraklar!$G$2)+Ayarlar!$B$6*IF(Bitkiler!$H$8=Topraklar!$H$2,0,1))/Ayarlar!$B$7)+IF(Topraklar!$K$2=Bitkiler!$C$8,0.002,IF(Topraklar!$L$2="Evet",0.001,0)))</f>
        <v/>
      </c>
      <c r="C9" s="16">
        <f>IF(OR(Topraklar!$J$3="Evet",AND(Topraklar!$L$3&lt;&gt;"Evet",Topraklar!$K$3&lt;&gt;Bitkiler!$C$8)),0,MAX(0,1-(Ayarlar!$B$2*ABS(Bitkiler!$D$8-Topraklar!$D$3)+Ayarlar!$B$3*ABS(Bitkiler!$E$8-Topraklar!$E$3)+Ayarlar!$B$4*ABS(Bitkiler!$F$8-Topraklar!$F$3)+Ayarlar!$B$5*ABS(Bitkiler!$G$8-Topraklar!$G$3)+Ayarlar!$B$6*IF(Bitkiler!$H$8=Topraklar!$H$3,0,1))/Ayarlar!$B$7)+IF(Topraklar!$K$3=Bitkiler!$C$8,0.002,IF(Topraklar!$L$3="Evet",0.001,0)))</f>
        <v/>
      </c>
      <c r="D9" s="16">
        <f>IF(OR(Topraklar!$J$4="Evet",AND(Topraklar!$L$4&lt;&gt;"Evet",Topraklar!$K$4&lt;&gt;Bitkiler!$C$8)),0,MAX(0,1-(Ayarlar!$B$2*ABS(Bitkiler!$D$8-Topraklar!$D$4)+Ayarlar!$B$3*ABS(Bitkiler!$E$8-Topraklar!$E$4)+Ayarlar!$B$4*ABS(Bitkiler!$F$8-Topraklar!$F$4)+Ayarlar!$B$5*ABS(Bitkiler!$G$8-Topraklar!$G$4)+Ayarlar!$B$6*IF(Bitkiler!$H$8=Topraklar!$H$4,0,1))/Ayarlar!$B$7)+IF(Topraklar!$K$4=Bitkiler!$C$8,0.002,IF(Topraklar!$L$4="Evet",0.001,0)))</f>
        <v/>
      </c>
      <c r="E9" s="16">
        <f>IF(OR(Topraklar!$J$5="Evet",AND(Topraklar!$L$5&lt;&gt;"Evet",Topraklar!$K$5&lt;&gt;Bitkiler!$C$8)),0,MAX(0,1-(Ayarlar!$B$2*ABS(Bitkiler!$D$8-Topraklar!$D$5)+Ayarlar!$B$3*ABS(Bitkiler!$E$8-Topraklar!$E$5)+Ayarlar!$B$4*ABS(Bitkiler!$F$8-Topraklar!$F$5)+Ayarlar!$B$5*ABS(Bitkiler!$G$8-Topraklar!$G$5)+Ayarlar!$B$6*IF(Bitkiler!$H$8=Topraklar!$H$5,0,1))/Ayarlar!$B$7)+IF(Topraklar!$K$5=Bitkiler!$C$8,0.002,IF(Topraklar!$L$5="Evet",0.001,0)))</f>
        <v/>
      </c>
      <c r="F9" s="16">
        <f>IF(OR(Topraklar!$J$6="Evet",AND(Topraklar!$L$6&lt;&gt;"Evet",Topraklar!$K$6&lt;&gt;Bitkiler!$C$8)),0,MAX(0,1-(Ayarlar!$B$2*ABS(Bitkiler!$D$8-Topraklar!$D$6)+Ayarlar!$B$3*ABS(Bitkiler!$E$8-Topraklar!$E$6)+Ayarlar!$B$4*ABS(Bitkiler!$F$8-Topraklar!$F$6)+Ayarlar!$B$5*ABS(Bitkiler!$G$8-Topraklar!$G$6)+Ayarlar!$B$6*IF(Bitkiler!$H$8=Topraklar!$H$6,0,1))/Ayarlar!$B$7)+IF(Topraklar!$K$6=Bitkiler!$C$8,0.002,IF(Topraklar!$L$6="Evet",0.001,0)))</f>
        <v/>
      </c>
      <c r="G9" s="16">
        <f>IF(OR(Topraklar!$J$7="Evet",AND(Topraklar!$L$7&lt;&gt;"Evet",Topraklar!$K$7&lt;&gt;Bitkiler!$C$8)),0,MAX(0,1-(Ayarlar!$B$2*ABS(Bitkiler!$D$8-Topraklar!$D$7)+Ayarlar!$B$3*ABS(Bitkiler!$E$8-Topraklar!$E$7)+Ayarlar!$B$4*ABS(Bitkiler!$F$8-Topraklar!$F$7)+Ayarlar!$B$5*ABS(Bitkiler!$G$8-Topraklar!$G$7)+Ayarlar!$B$6*IF(Bitkiler!$H$8=Topraklar!$H$7,0,1))/Ayarlar!$B$7)+IF(Topraklar!$K$7=Bitkiler!$C$8,0.002,IF(Topraklar!$L$7="Evet",0.001,0)))</f>
        <v/>
      </c>
      <c r="H9" s="16">
        <f>IF(OR(Topraklar!$J$8="Evet",AND(Topraklar!$L$8&lt;&gt;"Evet",Topraklar!$K$8&lt;&gt;Bitkiler!$C$8)),0,MAX(0,1-(Ayarlar!$B$2*ABS(Bitkiler!$D$8-Topraklar!$D$8)+Ayarlar!$B$3*ABS(Bitkiler!$E$8-Topraklar!$E$8)+Ayarlar!$B$4*ABS(Bitkiler!$F$8-Topraklar!$F$8)+Ayarlar!$B$5*ABS(Bitkiler!$G$8-Topraklar!$G$8)+Ayarlar!$B$6*IF(Bitkiler!$H$8=Topraklar!$H$8,0,1))/Ayarlar!$B$7)+IF(Topraklar!$K$8=Bitkiler!$C$8,0.002,IF(Topraklar!$L$8="Evet",0.001,0)))</f>
        <v/>
      </c>
      <c r="I9" s="16">
        <f>IF(OR(Topraklar!$J$9="Evet",AND(Topraklar!$L$9&lt;&gt;"Evet",Topraklar!$K$9&lt;&gt;Bitkiler!$C$8)),0,MAX(0,1-(Ayarlar!$B$2*ABS(Bitkiler!$D$8-Topraklar!$D$9)+Ayarlar!$B$3*ABS(Bitkiler!$E$8-Topraklar!$E$9)+Ayarlar!$B$4*ABS(Bitkiler!$F$8-Topraklar!$F$9)+Ayarlar!$B$5*ABS(Bitkiler!$G$8-Topraklar!$G$9)+Ayarlar!$B$6*IF(Bitkiler!$H$8=Topraklar!$H$9,0,1))/Ayarlar!$B$7)+IF(Topraklar!$K$9=Bitkiler!$C$8,0.002,IF(Topraklar!$L$9="Evet",0.001,0)))</f>
        <v/>
      </c>
      <c r="J9" s="16">
        <f>IF(OR(Topraklar!$J$10="Evet",AND(Topraklar!$L$10&lt;&gt;"Evet",Topraklar!$K$10&lt;&gt;Bitkiler!$C$8)),0,MAX(0,1-(Ayarlar!$B$2*ABS(Bitkiler!$D$8-Topraklar!$D$10)+Ayarlar!$B$3*ABS(Bitkiler!$E$8-Topraklar!$E$10)+Ayarlar!$B$4*ABS(Bitkiler!$F$8-Topraklar!$F$10)+Ayarlar!$B$5*ABS(Bitkiler!$G$8-Topraklar!$G$10)+Ayarlar!$B$6*IF(Bitkiler!$H$8=Topraklar!$H$10,0,1))/Ayarlar!$B$7)+IF(Topraklar!$K$10=Bitkiler!$C$8,0.002,IF(Topraklar!$L$10="Evet",0.001,0)))</f>
        <v/>
      </c>
      <c r="K9" s="16">
        <f>IF(OR(Topraklar!$J$11="Evet",AND(Topraklar!$L$11&lt;&gt;"Evet",Topraklar!$K$11&lt;&gt;Bitkiler!$C$8)),0,MAX(0,1-(Ayarlar!$B$2*ABS(Bitkiler!$D$8-Topraklar!$D$11)+Ayarlar!$B$3*ABS(Bitkiler!$E$8-Topraklar!$E$11)+Ayarlar!$B$4*ABS(Bitkiler!$F$8-Topraklar!$F$11)+Ayarlar!$B$5*ABS(Bitkiler!$G$8-Topraklar!$G$11)+Ayarlar!$B$6*IF(Bitkiler!$H$8=Topraklar!$H$11,0,1))/Ayarlar!$B$7)+IF(Topraklar!$K$11=Bitkiler!$C$8,0.002,IF(Topraklar!$L$11="Evet",0.001,0)))</f>
        <v/>
      </c>
      <c r="L9" s="16">
        <f>IF(OR(Topraklar!$J$12="Evet",AND(Topraklar!$L$12&lt;&gt;"Evet",Topraklar!$K$12&lt;&gt;Bitkiler!$C$8)),0,MAX(0,1-(Ayarlar!$B$2*ABS(Bitkiler!$D$8-Topraklar!$D$12)+Ayarlar!$B$3*ABS(Bitkiler!$E$8-Topraklar!$E$12)+Ayarlar!$B$4*ABS(Bitkiler!$F$8-Topraklar!$F$12)+Ayarlar!$B$5*ABS(Bitkiler!$G$8-Topraklar!$G$12)+Ayarlar!$B$6*IF(Bitkiler!$H$8=Topraklar!$H$12,0,1))/Ayarlar!$B$7)+IF(Topraklar!$K$12=Bitkiler!$C$8,0.002,IF(Topraklar!$L$12="Evet",0.001,0)))</f>
        <v/>
      </c>
      <c r="M9" s="16">
        <f>IF(OR(Topraklar!$J$13="Evet",AND(Topraklar!$L$13&lt;&gt;"Evet",Topraklar!$K$13&lt;&gt;Bitkiler!$C$8)),0,MAX(0,1-(Ayarlar!$B$2*ABS(Bitkiler!$D$8-Topraklar!$D$13)+Ayarlar!$B$3*ABS(Bitkiler!$E$8-Topraklar!$E$13)+Ayarlar!$B$4*ABS(Bitkiler!$F$8-Topraklar!$F$13)+Ayarlar!$B$5*ABS(Bitkiler!$G$8-Topraklar!$G$13)+Ayarlar!$B$6*IF(Bitkiler!$H$8=Topraklar!$H$13,0,1))/Ayarlar!$B$7)+IF(Topraklar!$K$13=Bitkiler!$C$8,0.002,IF(Topraklar!$L$13="Evet",0.001,0)))</f>
        <v/>
      </c>
      <c r="N9" s="16">
        <f>IF(OR(Topraklar!$J$14="Evet",AND(Topraklar!$L$14&lt;&gt;"Evet",Topraklar!$K$14&lt;&gt;Bitkiler!$C$8)),0,MAX(0,1-(Ayarlar!$B$2*ABS(Bitkiler!$D$8-Topraklar!$D$14)+Ayarlar!$B$3*ABS(Bitkiler!$E$8-Topraklar!$E$14)+Ayarlar!$B$4*ABS(Bitkiler!$F$8-Topraklar!$F$14)+Ayarlar!$B$5*ABS(Bitkiler!$G$8-Topraklar!$G$14)+Ayarlar!$B$6*IF(Bitkiler!$H$8=Topraklar!$H$14,0,1))/Ayarlar!$B$7)+IF(Topraklar!$K$14=Bitkiler!$C$8,0.002,IF(Topraklar!$L$14="Evet",0.001,0)))</f>
        <v/>
      </c>
      <c r="O9" s="16">
        <f>IF(OR(Topraklar!$J$15="Evet",AND(Topraklar!$L$15&lt;&gt;"Evet",Topraklar!$K$15&lt;&gt;Bitkiler!$C$8)),0,MAX(0,1-(Ayarlar!$B$2*ABS(Bitkiler!$D$8-Topraklar!$D$15)+Ayarlar!$B$3*ABS(Bitkiler!$E$8-Topraklar!$E$15)+Ayarlar!$B$4*ABS(Bitkiler!$F$8-Topraklar!$F$15)+Ayarlar!$B$5*ABS(Bitkiler!$G$8-Topraklar!$G$15)+Ayarlar!$B$6*IF(Bitkiler!$H$8=Topraklar!$H$15,0,1))/Ayarlar!$B$7)+IF(Topraklar!$K$15=Bitkiler!$C$8,0.002,IF(Topraklar!$L$15="Evet",0.001,0)))</f>
        <v/>
      </c>
      <c r="P9" s="16">
        <f>IF(OR(Topraklar!$J$16="Evet",AND(Topraklar!$L$16&lt;&gt;"Evet",Topraklar!$K$16&lt;&gt;Bitkiler!$C$8)),0,MAX(0,1-(Ayarlar!$B$2*ABS(Bitkiler!$D$8-Topraklar!$D$16)+Ayarlar!$B$3*ABS(Bitkiler!$E$8-Topraklar!$E$16)+Ayarlar!$B$4*ABS(Bitkiler!$F$8-Topraklar!$F$16)+Ayarlar!$B$5*ABS(Bitkiler!$G$8-Topraklar!$G$16)+Ayarlar!$B$6*IF(Bitkiler!$H$8=Topraklar!$H$16,0,1))/Ayarlar!$B$7)+IF(Topraklar!$K$16=Bitkiler!$C$8,0.002,IF(Topraklar!$L$16="Evet",0.001,0)))</f>
        <v/>
      </c>
      <c r="Q9" s="16">
        <f>IF(OR(Topraklar!$J$17="Evet",AND(Topraklar!$L$17&lt;&gt;"Evet",Topraklar!$K$17&lt;&gt;Bitkiler!$C$8)),0,MAX(0,1-(Ayarlar!$B$2*ABS(Bitkiler!$D$8-Topraklar!$D$17)+Ayarlar!$B$3*ABS(Bitkiler!$E$8-Topraklar!$E$17)+Ayarlar!$B$4*ABS(Bitkiler!$F$8-Topraklar!$F$17)+Ayarlar!$B$5*ABS(Bitkiler!$G$8-Topraklar!$G$17)+Ayarlar!$B$6*IF(Bitkiler!$H$8=Topraklar!$H$17,0,1))/Ayarlar!$B$7)+IF(Topraklar!$K$17=Bitkiler!$C$8,0.002,IF(Topraklar!$L$17="Evet",0.001,0)))</f>
        <v/>
      </c>
      <c r="R9" s="16">
        <f>IF(OR(Topraklar!$J$18="Evet",AND(Topraklar!$L$18&lt;&gt;"Evet",Topraklar!$K$18&lt;&gt;Bitkiler!$C$8)),0,MAX(0,1-(Ayarlar!$B$2*ABS(Bitkiler!$D$8-Topraklar!$D$18)+Ayarlar!$B$3*ABS(Bitkiler!$E$8-Topraklar!$E$18)+Ayarlar!$B$4*ABS(Bitkiler!$F$8-Topraklar!$F$18)+Ayarlar!$B$5*ABS(Bitkiler!$G$8-Topraklar!$G$18)+Ayarlar!$B$6*IF(Bitkiler!$H$8=Topraklar!$H$18,0,1))/Ayarlar!$B$7)+IF(Topraklar!$K$18=Bitkiler!$C$8,0.002,IF(Topraklar!$L$18="Evet",0.001,0)))</f>
        <v/>
      </c>
      <c r="S9" s="16">
        <f>IF(OR(Topraklar!$J$19="Evet",AND(Topraklar!$L$19&lt;&gt;"Evet",Topraklar!$K$19&lt;&gt;Bitkiler!$C$8)),0,MAX(0,1-(Ayarlar!$B$2*ABS(Bitkiler!$D$8-Topraklar!$D$19)+Ayarlar!$B$3*ABS(Bitkiler!$E$8-Topraklar!$E$19)+Ayarlar!$B$4*ABS(Bitkiler!$F$8-Topraklar!$F$19)+Ayarlar!$B$5*ABS(Bitkiler!$G$8-Topraklar!$G$19)+Ayarlar!$B$6*IF(Bitkiler!$H$8=Topraklar!$H$19,0,1))/Ayarlar!$B$7)+IF(Topraklar!$K$19=Bitkiler!$C$8,0.002,IF(Topraklar!$L$19="Evet",0.001,0)))</f>
        <v/>
      </c>
      <c r="T9" s="16">
        <f>IF(OR(Topraklar!$J$20="Evet",AND(Topraklar!$L$20&lt;&gt;"Evet",Topraklar!$K$20&lt;&gt;Bitkiler!$C$8)),0,MAX(0,1-(Ayarlar!$B$2*ABS(Bitkiler!$D$8-Topraklar!$D$20)+Ayarlar!$B$3*ABS(Bitkiler!$E$8-Topraklar!$E$20)+Ayarlar!$B$4*ABS(Bitkiler!$F$8-Topraklar!$F$20)+Ayarlar!$B$5*ABS(Bitkiler!$G$8-Topraklar!$G$20)+Ayarlar!$B$6*IF(Bitkiler!$H$8=Topraklar!$H$20,0,1))/Ayarlar!$B$7)+IF(Topraklar!$K$20=Bitkiler!$C$8,0.002,IF(Topraklar!$L$20="Evet",0.001,0)))</f>
        <v/>
      </c>
      <c r="U9" s="16">
        <f>IF(OR(Topraklar!$J$21="Evet",AND(Topraklar!$L$21&lt;&gt;"Evet",Topraklar!$K$21&lt;&gt;Bitkiler!$C$8)),0,MAX(0,1-(Ayarlar!$B$2*ABS(Bitkiler!$D$8-Topraklar!$D$21)+Ayarlar!$B$3*ABS(Bitkiler!$E$8-Topraklar!$E$21)+Ayarlar!$B$4*ABS(Bitkiler!$F$8-Topraklar!$F$21)+Ayarlar!$B$5*ABS(Bitkiler!$G$8-Topraklar!$G$21)+Ayarlar!$B$6*IF(Bitkiler!$H$8=Topraklar!$H$21,0,1))/Ayarlar!$B$7)+IF(Topraklar!$K$21=Bitkiler!$C$8,0.002,IF(Topraklar!$L$21="Evet",0.001,0)))</f>
        <v/>
      </c>
      <c r="V9" s="16">
        <f>IF(OR(Topraklar!$J$22="Evet",AND(Topraklar!$L$22&lt;&gt;"Evet",Topraklar!$K$22&lt;&gt;Bitkiler!$C$8)),0,MAX(0,1-(Ayarlar!$B$2*ABS(Bitkiler!$D$8-Topraklar!$D$22)+Ayarlar!$B$3*ABS(Bitkiler!$E$8-Topraklar!$E$22)+Ayarlar!$B$4*ABS(Bitkiler!$F$8-Topraklar!$F$22)+Ayarlar!$B$5*ABS(Bitkiler!$G$8-Topraklar!$G$22)+Ayarlar!$B$6*IF(Bitkiler!$H$8=Topraklar!$H$22,0,1))/Ayarlar!$B$7)+IF(Topraklar!$K$22=Bitkiler!$C$8,0.002,IF(Topraklar!$L$22="Evet",0.001,0)))</f>
        <v/>
      </c>
      <c r="W9" s="16">
        <f>IF(OR(Topraklar!$J$23="Evet",AND(Topraklar!$L$23&lt;&gt;"Evet",Topraklar!$K$23&lt;&gt;Bitkiler!$C$8)),0,MAX(0,1-(Ayarlar!$B$2*ABS(Bitkiler!$D$8-Topraklar!$D$23)+Ayarlar!$B$3*ABS(Bitkiler!$E$8-Topraklar!$E$23)+Ayarlar!$B$4*ABS(Bitkiler!$F$8-Topraklar!$F$23)+Ayarlar!$B$5*ABS(Bitkiler!$G$8-Topraklar!$G$23)+Ayarlar!$B$6*IF(Bitkiler!$H$8=Topraklar!$H$23,0,1))/Ayarlar!$B$7)+IF(Topraklar!$K$23=Bitkiler!$C$8,0.002,IF(Topraklar!$L$23="Evet",0.001,0)))</f>
        <v/>
      </c>
      <c r="X9" s="16">
        <f>IF(OR(Topraklar!$J$24="Evet",AND(Topraklar!$L$24&lt;&gt;"Evet",Topraklar!$K$24&lt;&gt;Bitkiler!$C$8)),0,MAX(0,1-(Ayarlar!$B$2*ABS(Bitkiler!$D$8-Topraklar!$D$24)+Ayarlar!$B$3*ABS(Bitkiler!$E$8-Topraklar!$E$24)+Ayarlar!$B$4*ABS(Bitkiler!$F$8-Topraklar!$F$24)+Ayarlar!$B$5*ABS(Bitkiler!$G$8-Topraklar!$G$24)+Ayarlar!$B$6*IF(Bitkiler!$H$8=Topraklar!$H$24,0,1))/Ayarlar!$B$7)+IF(Topraklar!$K$24=Bitkiler!$C$8,0.002,IF(Topraklar!$L$24="Evet",0.001,0)))</f>
        <v/>
      </c>
      <c r="Y9" s="16">
        <f>IF(OR(Topraklar!$J$25="Evet",AND(Topraklar!$L$25&lt;&gt;"Evet",Topraklar!$K$25&lt;&gt;Bitkiler!$C$8)),0,MAX(0,1-(Ayarlar!$B$2*ABS(Bitkiler!$D$8-Topraklar!$D$25)+Ayarlar!$B$3*ABS(Bitkiler!$E$8-Topraklar!$E$25)+Ayarlar!$B$4*ABS(Bitkiler!$F$8-Topraklar!$F$25)+Ayarlar!$B$5*ABS(Bitkiler!$G$8-Topraklar!$G$25)+Ayarlar!$B$6*IF(Bitkiler!$H$8=Topraklar!$H$25,0,1))/Ayarlar!$B$7)+IF(Topraklar!$K$25=Bitkiler!$C$8,0.002,IF(Topraklar!$L$25="Evet",0.001,0)))</f>
        <v/>
      </c>
      <c r="Z9" s="16">
        <f>IF(OR(Topraklar!$J$26="Evet",AND(Topraklar!$L$26&lt;&gt;"Evet",Topraklar!$K$26&lt;&gt;Bitkiler!$C$8)),0,MAX(0,1-(Ayarlar!$B$2*ABS(Bitkiler!$D$8-Topraklar!$D$26)+Ayarlar!$B$3*ABS(Bitkiler!$E$8-Topraklar!$E$26)+Ayarlar!$B$4*ABS(Bitkiler!$F$8-Topraklar!$F$26)+Ayarlar!$B$5*ABS(Bitkiler!$G$8-Topraklar!$G$26)+Ayarlar!$B$6*IF(Bitkiler!$H$8=Topraklar!$H$26,0,1))/Ayarlar!$B$7)+IF(Topraklar!$K$26=Bitkiler!$C$8,0.002,IF(Topraklar!$L$26="Evet",0.001,0)))</f>
        <v/>
      </c>
      <c r="AA9" s="16">
        <f>IF(OR(Topraklar!$J$27="Evet",AND(Topraklar!$L$27&lt;&gt;"Evet",Topraklar!$K$27&lt;&gt;Bitkiler!$C$8)),0,MAX(0,1-(Ayarlar!$B$2*ABS(Bitkiler!$D$8-Topraklar!$D$27)+Ayarlar!$B$3*ABS(Bitkiler!$E$8-Topraklar!$E$27)+Ayarlar!$B$4*ABS(Bitkiler!$F$8-Topraklar!$F$27)+Ayarlar!$B$5*ABS(Bitkiler!$G$8-Topraklar!$G$27)+Ayarlar!$B$6*IF(Bitkiler!$H$8=Topraklar!$H$27,0,1))/Ayarlar!$B$7)+IF(Topraklar!$K$27=Bitkiler!$C$8,0.002,IF(Topraklar!$L$27="Evet",0.001,0)))</f>
        <v/>
      </c>
      <c r="AB9" s="16">
        <f>IF(OR(Topraklar!$J$28="Evet",AND(Topraklar!$L$28&lt;&gt;"Evet",Topraklar!$K$28&lt;&gt;Bitkiler!$C$8)),0,MAX(0,1-(Ayarlar!$B$2*ABS(Bitkiler!$D$8-Topraklar!$D$28)+Ayarlar!$B$3*ABS(Bitkiler!$E$8-Topraklar!$E$28)+Ayarlar!$B$4*ABS(Bitkiler!$F$8-Topraklar!$F$28)+Ayarlar!$B$5*ABS(Bitkiler!$G$8-Topraklar!$G$28)+Ayarlar!$B$6*IF(Bitkiler!$H$8=Topraklar!$H$28,0,1))/Ayarlar!$B$7)+IF(Topraklar!$K$28=Bitkiler!$C$8,0.002,IF(Topraklar!$L$28="Evet",0.001,0)))</f>
        <v/>
      </c>
      <c r="AC9" s="16">
        <f>IF(OR(Topraklar!$J$29="Evet",AND(Topraklar!$L$29&lt;&gt;"Evet",Topraklar!$K$29&lt;&gt;Bitkiler!$C$8)),0,MAX(0,1-(Ayarlar!$B$2*ABS(Bitkiler!$D$8-Topraklar!$D$29)+Ayarlar!$B$3*ABS(Bitkiler!$E$8-Topraklar!$E$29)+Ayarlar!$B$4*ABS(Bitkiler!$F$8-Topraklar!$F$29)+Ayarlar!$B$5*ABS(Bitkiler!$G$8-Topraklar!$G$29)+Ayarlar!$B$6*IF(Bitkiler!$H$8=Topraklar!$H$29,0,1))/Ayarlar!$B$7)+IF(Topraklar!$K$29=Bitkiler!$C$8,0.002,IF(Topraklar!$L$29="Evet",0.001,0)))</f>
        <v/>
      </c>
      <c r="AD9" s="16">
        <f>IF(OR(Topraklar!$J$30="Evet",AND(Topraklar!$L$30&lt;&gt;"Evet",Topraklar!$K$30&lt;&gt;Bitkiler!$C$8)),0,MAX(0,1-(Ayarlar!$B$2*ABS(Bitkiler!$D$8-Topraklar!$D$30)+Ayarlar!$B$3*ABS(Bitkiler!$E$8-Topraklar!$E$30)+Ayarlar!$B$4*ABS(Bitkiler!$F$8-Topraklar!$F$30)+Ayarlar!$B$5*ABS(Bitkiler!$G$8-Topraklar!$G$30)+Ayarlar!$B$6*IF(Bitkiler!$H$8=Topraklar!$H$30,0,1))/Ayarlar!$B$7)+IF(Topraklar!$K$30=Bitkiler!$C$8,0.002,IF(Topraklar!$L$30="Evet",0.001,0)))</f>
        <v/>
      </c>
      <c r="AE9" s="16">
        <f>IF(OR(Topraklar!$J$31="Evet",AND(Topraklar!$L$31&lt;&gt;"Evet",Topraklar!$K$31&lt;&gt;Bitkiler!$C$8)),0,MAX(0,1-(Ayarlar!$B$2*ABS(Bitkiler!$D$8-Topraklar!$D$31)+Ayarlar!$B$3*ABS(Bitkiler!$E$8-Topraklar!$E$31)+Ayarlar!$B$4*ABS(Bitkiler!$F$8-Topraklar!$F$31)+Ayarlar!$B$5*ABS(Bitkiler!$G$8-Topraklar!$G$31)+Ayarlar!$B$6*IF(Bitkiler!$H$8=Topraklar!$H$31,0,1))/Ayarlar!$B$7)+IF(Topraklar!$K$31=Bitkiler!$C$8,0.002,IF(Topraklar!$L$31="Evet",0.001,0)))</f>
        <v/>
      </c>
      <c r="AF9" s="16">
        <f>IF(OR(Topraklar!$J$32="Evet",AND(Topraklar!$L$32&lt;&gt;"Evet",Topraklar!$K$32&lt;&gt;Bitkiler!$C$8)),0,MAX(0,1-(Ayarlar!$B$2*ABS(Bitkiler!$D$8-Topraklar!$D$32)+Ayarlar!$B$3*ABS(Bitkiler!$E$8-Topraklar!$E$32)+Ayarlar!$B$4*ABS(Bitkiler!$F$8-Topraklar!$F$32)+Ayarlar!$B$5*ABS(Bitkiler!$G$8-Topraklar!$G$32)+Ayarlar!$B$6*IF(Bitkiler!$H$8=Topraklar!$H$32,0,1))/Ayarlar!$B$7)+IF(Topraklar!$K$32=Bitkiler!$C$8,0.002,IF(Topraklar!$L$32="Evet",0.001,0)))</f>
        <v/>
      </c>
      <c r="AG9" s="16">
        <f>IF(OR(Topraklar!$J$33="Evet",AND(Topraklar!$L$33&lt;&gt;"Evet",Topraklar!$K$33&lt;&gt;Bitkiler!$C$8)),0,MAX(0,1-(Ayarlar!$B$2*ABS(Bitkiler!$D$8-Topraklar!$D$33)+Ayarlar!$B$3*ABS(Bitkiler!$E$8-Topraklar!$E$33)+Ayarlar!$B$4*ABS(Bitkiler!$F$8-Topraklar!$F$33)+Ayarlar!$B$5*ABS(Bitkiler!$G$8-Topraklar!$G$33)+Ayarlar!$B$6*IF(Bitkiler!$H$8=Topraklar!$H$33,0,1))/Ayarlar!$B$7)+IF(Topraklar!$K$33=Bitkiler!$C$8,0.002,IF(Topraklar!$L$33="Evet",0.001,0)))</f>
        <v/>
      </c>
      <c r="AH9" s="16">
        <f>IF(OR(Topraklar!$J$34="Evet",AND(Topraklar!$L$34&lt;&gt;"Evet",Topraklar!$K$34&lt;&gt;Bitkiler!$C$8)),0,MAX(0,1-(Ayarlar!$B$2*ABS(Bitkiler!$D$8-Topraklar!$D$34)+Ayarlar!$B$3*ABS(Bitkiler!$E$8-Topraklar!$E$34)+Ayarlar!$B$4*ABS(Bitkiler!$F$8-Topraklar!$F$34)+Ayarlar!$B$5*ABS(Bitkiler!$G$8-Topraklar!$G$34)+Ayarlar!$B$6*IF(Bitkiler!$H$8=Topraklar!$H$34,0,1))/Ayarlar!$B$7)+IF(Topraklar!$K$34=Bitkiler!$C$8,0.002,IF(Topraklar!$L$34="Evet",0.001,0)))</f>
        <v/>
      </c>
      <c r="AI9" s="16">
        <f>IF(OR(Topraklar!$J$35="Evet",AND(Topraklar!$L$35&lt;&gt;"Evet",Topraklar!$K$35&lt;&gt;Bitkiler!$C$8)),0,MAX(0,1-(Ayarlar!$B$2*ABS(Bitkiler!$D$8-Topraklar!$D$35)+Ayarlar!$B$3*ABS(Bitkiler!$E$8-Topraklar!$E$35)+Ayarlar!$B$4*ABS(Bitkiler!$F$8-Topraklar!$F$35)+Ayarlar!$B$5*ABS(Bitkiler!$G$8-Topraklar!$G$35)+Ayarlar!$B$6*IF(Bitkiler!$H$8=Topraklar!$H$35,0,1))/Ayarlar!$B$7)+IF(Topraklar!$K$35=Bitkiler!$C$8,0.002,IF(Topraklar!$L$35="Evet",0.001,0)))</f>
        <v/>
      </c>
      <c r="AJ9" s="16">
        <f>IF(OR(Topraklar!$J$36="Evet",AND(Topraklar!$L$36&lt;&gt;"Evet",Topraklar!$K$36&lt;&gt;Bitkiler!$C$8)),0,MAX(0,1-(Ayarlar!$B$2*ABS(Bitkiler!$D$8-Topraklar!$D$36)+Ayarlar!$B$3*ABS(Bitkiler!$E$8-Topraklar!$E$36)+Ayarlar!$B$4*ABS(Bitkiler!$F$8-Topraklar!$F$36)+Ayarlar!$B$5*ABS(Bitkiler!$G$8-Topraklar!$G$36)+Ayarlar!$B$6*IF(Bitkiler!$H$8=Topraklar!$H$36,0,1))/Ayarlar!$B$7)+IF(Topraklar!$K$36=Bitkiler!$C$8,0.002,IF(Topraklar!$L$36="Evet",0.001,0)))</f>
        <v/>
      </c>
      <c r="AK9" s="16">
        <f>IF(OR(Topraklar!$J$37="Evet",AND(Topraklar!$L$37&lt;&gt;"Evet",Topraklar!$K$37&lt;&gt;Bitkiler!$C$8)),0,MAX(0,1-(Ayarlar!$B$2*ABS(Bitkiler!$D$8-Topraklar!$D$37)+Ayarlar!$B$3*ABS(Bitkiler!$E$8-Topraklar!$E$37)+Ayarlar!$B$4*ABS(Bitkiler!$F$8-Topraklar!$F$37)+Ayarlar!$B$5*ABS(Bitkiler!$G$8-Topraklar!$G$37)+Ayarlar!$B$6*IF(Bitkiler!$H$8=Topraklar!$H$37,0,1))/Ayarlar!$B$7)+IF(Topraklar!$K$37=Bitkiler!$C$8,0.002,IF(Topraklar!$L$37="Evet",0.001,0)))</f>
        <v/>
      </c>
      <c r="AL9" s="16">
        <f>IF(OR(Topraklar!$J$38="Evet",AND(Topraklar!$L$38&lt;&gt;"Evet",Topraklar!$K$38&lt;&gt;Bitkiler!$C$8)),0,MAX(0,1-(Ayarlar!$B$2*ABS(Bitkiler!$D$8-Topraklar!$D$38)+Ayarlar!$B$3*ABS(Bitkiler!$E$8-Topraklar!$E$38)+Ayarlar!$B$4*ABS(Bitkiler!$F$8-Topraklar!$F$38)+Ayarlar!$B$5*ABS(Bitkiler!$G$8-Topraklar!$G$38)+Ayarlar!$B$6*IF(Bitkiler!$H$8=Topraklar!$H$38,0,1))/Ayarlar!$B$7)+IF(Topraklar!$K$38=Bitkiler!$C$8,0.002,IF(Topraklar!$L$38="Evet",0.001,0)))</f>
        <v/>
      </c>
      <c r="AM9" s="16">
        <f>IF(OR(Topraklar!$J$39="Evet",AND(Topraklar!$L$39&lt;&gt;"Evet",Topraklar!$K$39&lt;&gt;Bitkiler!$C$8)),0,MAX(0,1-(Ayarlar!$B$2*ABS(Bitkiler!$D$8-Topraklar!$D$39)+Ayarlar!$B$3*ABS(Bitkiler!$E$8-Topraklar!$E$39)+Ayarlar!$B$4*ABS(Bitkiler!$F$8-Topraklar!$F$39)+Ayarlar!$B$5*ABS(Bitkiler!$G$8-Topraklar!$G$39)+Ayarlar!$B$6*IF(Bitkiler!$H$8=Topraklar!$H$39,0,1))/Ayarlar!$B$7)+IF(Topraklar!$K$39=Bitkiler!$C$8,0.002,IF(Topraklar!$L$39="Evet",0.001,0)))</f>
        <v/>
      </c>
      <c r="AN9" s="16">
        <f>IF(OR(Topraklar!$J$40="Evet",AND(Topraklar!$L$40&lt;&gt;"Evet",Topraklar!$K$40&lt;&gt;Bitkiler!$C$8)),0,MAX(0,1-(Ayarlar!$B$2*ABS(Bitkiler!$D$8-Topraklar!$D$40)+Ayarlar!$B$3*ABS(Bitkiler!$E$8-Topraklar!$E$40)+Ayarlar!$B$4*ABS(Bitkiler!$F$8-Topraklar!$F$40)+Ayarlar!$B$5*ABS(Bitkiler!$G$8-Topraklar!$G$40)+Ayarlar!$B$6*IF(Bitkiler!$H$8=Topraklar!$H$40,0,1))/Ayarlar!$B$7)+IF(Topraklar!$K$40=Bitkiler!$C$8,0.002,IF(Topraklar!$L$40="Evet",0.001,0)))</f>
        <v/>
      </c>
      <c r="AO9" s="16">
        <f>IF(OR(Topraklar!$J$41="Evet",AND(Topraklar!$L$41&lt;&gt;"Evet",Topraklar!$K$41&lt;&gt;Bitkiler!$C$8)),0,MAX(0,1-(Ayarlar!$B$2*ABS(Bitkiler!$D$8-Topraklar!$D$41)+Ayarlar!$B$3*ABS(Bitkiler!$E$8-Topraklar!$E$41)+Ayarlar!$B$4*ABS(Bitkiler!$F$8-Topraklar!$F$41)+Ayarlar!$B$5*ABS(Bitkiler!$G$8-Topraklar!$G$41)+Ayarlar!$B$6*IF(Bitkiler!$H$8=Topraklar!$H$41,0,1))/Ayarlar!$B$7)+IF(Topraklar!$K$41=Bitkiler!$C$8,0.002,IF(Topraklar!$L$41="Evet",0.001,0)))</f>
        <v/>
      </c>
      <c r="AP9" s="16">
        <f>IF(OR(Topraklar!$J$42="Evet",AND(Topraklar!$L$42&lt;&gt;"Evet",Topraklar!$K$42&lt;&gt;Bitkiler!$C$8)),0,MAX(0,1-(Ayarlar!$B$2*ABS(Bitkiler!$D$8-Topraklar!$D$42)+Ayarlar!$B$3*ABS(Bitkiler!$E$8-Topraklar!$E$42)+Ayarlar!$B$4*ABS(Bitkiler!$F$8-Topraklar!$F$42)+Ayarlar!$B$5*ABS(Bitkiler!$G$8-Topraklar!$G$42)+Ayarlar!$B$6*IF(Bitkiler!$H$8=Topraklar!$H$42,0,1))/Ayarlar!$B$7)+IF(Topraklar!$K$42=Bitkiler!$C$8,0.002,IF(Topraklar!$L$42="Evet",0.001,0)))</f>
        <v/>
      </c>
      <c r="AQ9" s="16">
        <f>IF(OR(Topraklar!$J$43="Evet",AND(Topraklar!$L$43&lt;&gt;"Evet",Topraklar!$K$43&lt;&gt;Bitkiler!$C$8)),0,MAX(0,1-(Ayarlar!$B$2*ABS(Bitkiler!$D$8-Topraklar!$D$43)+Ayarlar!$B$3*ABS(Bitkiler!$E$8-Topraklar!$E$43)+Ayarlar!$B$4*ABS(Bitkiler!$F$8-Topraklar!$F$43)+Ayarlar!$B$5*ABS(Bitkiler!$G$8-Topraklar!$G$43)+Ayarlar!$B$6*IF(Bitkiler!$H$8=Topraklar!$H$43,0,1))/Ayarlar!$B$7)+IF(Topraklar!$K$43=Bitkiler!$C$8,0.002,IF(Topraklar!$L$43="Evet",0.001,0)))</f>
        <v/>
      </c>
      <c r="AR9" s="16">
        <f>IF(OR(Topraklar!$J$44="Evet",AND(Topraklar!$L$44&lt;&gt;"Evet",Topraklar!$K$44&lt;&gt;Bitkiler!$C$8)),0,MAX(0,1-(Ayarlar!$B$2*ABS(Bitkiler!$D$8-Topraklar!$D$44)+Ayarlar!$B$3*ABS(Bitkiler!$E$8-Topraklar!$E$44)+Ayarlar!$B$4*ABS(Bitkiler!$F$8-Topraklar!$F$44)+Ayarlar!$B$5*ABS(Bitkiler!$G$8-Topraklar!$G$44)+Ayarlar!$B$6*IF(Bitkiler!$H$8=Topraklar!$H$44,0,1))/Ayarlar!$B$7)+IF(Topraklar!$K$44=Bitkiler!$C$8,0.002,IF(Topraklar!$L$44="Evet",0.001,0)))</f>
        <v/>
      </c>
      <c r="AS9" s="16">
        <f>IF(OR(Topraklar!$J$45="Evet",AND(Topraklar!$L$45&lt;&gt;"Evet",Topraklar!$K$45&lt;&gt;Bitkiler!$C$8)),0,MAX(0,1-(Ayarlar!$B$2*ABS(Bitkiler!$D$8-Topraklar!$D$45)+Ayarlar!$B$3*ABS(Bitkiler!$E$8-Topraklar!$E$45)+Ayarlar!$B$4*ABS(Bitkiler!$F$8-Topraklar!$F$45)+Ayarlar!$B$5*ABS(Bitkiler!$G$8-Topraklar!$G$45)+Ayarlar!$B$6*IF(Bitkiler!$H$8=Topraklar!$H$45,0,1))/Ayarlar!$B$7)+IF(Topraklar!$K$45=Bitkiler!$C$8,0.002,IF(Topraklar!$L$45="Evet",0.001,0)))</f>
        <v/>
      </c>
      <c r="AT9" s="16">
        <f>IF(OR(Topraklar!$J$46="Evet",AND(Topraklar!$L$46&lt;&gt;"Evet",Topraklar!$K$46&lt;&gt;Bitkiler!$C$8)),0,MAX(0,1-(Ayarlar!$B$2*ABS(Bitkiler!$D$8-Topraklar!$D$46)+Ayarlar!$B$3*ABS(Bitkiler!$E$8-Topraklar!$E$46)+Ayarlar!$B$4*ABS(Bitkiler!$F$8-Topraklar!$F$46)+Ayarlar!$B$5*ABS(Bitkiler!$G$8-Topraklar!$G$46)+Ayarlar!$B$6*IF(Bitkiler!$H$8=Topraklar!$H$46,0,1))/Ayarlar!$B$7)+IF(Topraklar!$K$46=Bitkiler!$C$8,0.002,IF(Topraklar!$L$46="Evet",0.001,0)))</f>
        <v/>
      </c>
      <c r="AU9" s="16">
        <f>IF(OR(Topraklar!$J$47="Evet",AND(Topraklar!$L$47&lt;&gt;"Evet",Topraklar!$K$47&lt;&gt;Bitkiler!$C$8)),0,MAX(0,1-(Ayarlar!$B$2*ABS(Bitkiler!$D$8-Topraklar!$D$47)+Ayarlar!$B$3*ABS(Bitkiler!$E$8-Topraklar!$E$47)+Ayarlar!$B$4*ABS(Bitkiler!$F$8-Topraklar!$F$47)+Ayarlar!$B$5*ABS(Bitkiler!$G$8-Topraklar!$G$47)+Ayarlar!$B$6*IF(Bitkiler!$H$8=Topraklar!$H$47,0,1))/Ayarlar!$B$7)+IF(Topraklar!$K$47=Bitkiler!$C$8,0.002,IF(Topraklar!$L$47="Evet",0.001,0)))</f>
        <v/>
      </c>
      <c r="AV9" s="16">
        <f>IF(OR(Topraklar!$J$48="Evet",AND(Topraklar!$L$48&lt;&gt;"Evet",Topraklar!$K$48&lt;&gt;Bitkiler!$C$8)),0,MAX(0,1-(Ayarlar!$B$2*ABS(Bitkiler!$D$8-Topraklar!$D$48)+Ayarlar!$B$3*ABS(Bitkiler!$E$8-Topraklar!$E$48)+Ayarlar!$B$4*ABS(Bitkiler!$F$8-Topraklar!$F$48)+Ayarlar!$B$5*ABS(Bitkiler!$G$8-Topraklar!$G$48)+Ayarlar!$B$6*IF(Bitkiler!$H$8=Topraklar!$H$48,0,1))/Ayarlar!$B$7)+IF(Topraklar!$K$48=Bitkiler!$C$8,0.002,IF(Topraklar!$L$48="Evet",0.001,0)))</f>
        <v/>
      </c>
      <c r="AW9" s="16">
        <f>IF(OR(Topraklar!$J$49="Evet",AND(Topraklar!$L$49&lt;&gt;"Evet",Topraklar!$K$49&lt;&gt;Bitkiler!$C$8)),0,MAX(0,1-(Ayarlar!$B$2*ABS(Bitkiler!$D$8-Topraklar!$D$49)+Ayarlar!$B$3*ABS(Bitkiler!$E$8-Topraklar!$E$49)+Ayarlar!$B$4*ABS(Bitkiler!$F$8-Topraklar!$F$49)+Ayarlar!$B$5*ABS(Bitkiler!$G$8-Topraklar!$G$49)+Ayarlar!$B$6*IF(Bitkiler!$H$8=Topraklar!$H$49,0,1))/Ayarlar!$B$7)+IF(Topraklar!$K$49=Bitkiler!$C$8,0.002,IF(Topraklar!$L$49="Evet",0.001,0)))</f>
        <v/>
      </c>
      <c r="AX9" s="16">
        <f>IF(OR(Topraklar!$J$50="Evet",AND(Topraklar!$L$50&lt;&gt;"Evet",Topraklar!$K$50&lt;&gt;Bitkiler!$C$8)),0,MAX(0,1-(Ayarlar!$B$2*ABS(Bitkiler!$D$8-Topraklar!$D$50)+Ayarlar!$B$3*ABS(Bitkiler!$E$8-Topraklar!$E$50)+Ayarlar!$B$4*ABS(Bitkiler!$F$8-Topraklar!$F$50)+Ayarlar!$B$5*ABS(Bitkiler!$G$8-Topraklar!$G$50)+Ayarlar!$B$6*IF(Bitkiler!$H$8=Topraklar!$H$50,0,1))/Ayarlar!$B$7)+IF(Topraklar!$K$50=Bitkiler!$C$8,0.002,IF(Topraklar!$L$50="Evet",0.001,0)))</f>
        <v/>
      </c>
      <c r="AY9" s="16">
        <f>IF(OR(Topraklar!$J$51="Evet",AND(Topraklar!$L$51&lt;&gt;"Evet",Topraklar!$K$51&lt;&gt;Bitkiler!$C$8)),0,MAX(0,1-(Ayarlar!$B$2*ABS(Bitkiler!$D$8-Topraklar!$D$51)+Ayarlar!$B$3*ABS(Bitkiler!$E$8-Topraklar!$E$51)+Ayarlar!$B$4*ABS(Bitkiler!$F$8-Topraklar!$F$51)+Ayarlar!$B$5*ABS(Bitkiler!$G$8-Topraklar!$G$51)+Ayarlar!$B$6*IF(Bitkiler!$H$8=Topraklar!$H$51,0,1))/Ayarlar!$B$7)+IF(Topraklar!$K$51=Bitkiler!$C$8,0.002,IF(Topraklar!$L$51="Evet",0.001,0)))</f>
        <v/>
      </c>
    </row>
    <row r="10">
      <c r="A10" s="15">
        <f>Bitkiler!A9</f>
        <v/>
      </c>
      <c r="B10" s="16">
        <f>IF(OR(Topraklar!$J$2="Evet",AND(Topraklar!$L$2&lt;&gt;"Evet",Topraklar!$K$2&lt;&gt;Bitkiler!$C$9)),0,MAX(0,1-(Ayarlar!$B$2*ABS(Bitkiler!$D$9-Topraklar!$D$2)+Ayarlar!$B$3*ABS(Bitkiler!$E$9-Topraklar!$E$2)+Ayarlar!$B$4*ABS(Bitkiler!$F$9-Topraklar!$F$2)+Ayarlar!$B$5*ABS(Bitkiler!$G$9-Topraklar!$G$2)+Ayarlar!$B$6*IF(Bitkiler!$H$9=Topraklar!$H$2,0,1))/Ayarlar!$B$7)+IF(Topraklar!$K$2=Bitkiler!$C$9,0.002,IF(Topraklar!$L$2="Evet",0.001,0)))</f>
        <v/>
      </c>
      <c r="C10" s="16">
        <f>IF(OR(Topraklar!$J$3="Evet",AND(Topraklar!$L$3&lt;&gt;"Evet",Topraklar!$K$3&lt;&gt;Bitkiler!$C$9)),0,MAX(0,1-(Ayarlar!$B$2*ABS(Bitkiler!$D$9-Topraklar!$D$3)+Ayarlar!$B$3*ABS(Bitkiler!$E$9-Topraklar!$E$3)+Ayarlar!$B$4*ABS(Bitkiler!$F$9-Topraklar!$F$3)+Ayarlar!$B$5*ABS(Bitkiler!$G$9-Topraklar!$G$3)+Ayarlar!$B$6*IF(Bitkiler!$H$9=Topraklar!$H$3,0,1))/Ayarlar!$B$7)+IF(Topraklar!$K$3=Bitkiler!$C$9,0.002,IF(Topraklar!$L$3="Evet",0.001,0)))</f>
        <v/>
      </c>
      <c r="D10" s="16">
        <f>IF(OR(Topraklar!$J$4="Evet",AND(Topraklar!$L$4&lt;&gt;"Evet",Topraklar!$K$4&lt;&gt;Bitkiler!$C$9)),0,MAX(0,1-(Ayarlar!$B$2*ABS(Bitkiler!$D$9-Topraklar!$D$4)+Ayarlar!$B$3*ABS(Bitkiler!$E$9-Topraklar!$E$4)+Ayarlar!$B$4*ABS(Bitkiler!$F$9-Topraklar!$F$4)+Ayarlar!$B$5*ABS(Bitkiler!$G$9-Topraklar!$G$4)+Ayarlar!$B$6*IF(Bitkiler!$H$9=Topraklar!$H$4,0,1))/Ayarlar!$B$7)+IF(Topraklar!$K$4=Bitkiler!$C$9,0.002,IF(Topraklar!$L$4="Evet",0.001,0)))</f>
        <v/>
      </c>
      <c r="E10" s="16">
        <f>IF(OR(Topraklar!$J$5="Evet",AND(Topraklar!$L$5&lt;&gt;"Evet",Topraklar!$K$5&lt;&gt;Bitkiler!$C$9)),0,MAX(0,1-(Ayarlar!$B$2*ABS(Bitkiler!$D$9-Topraklar!$D$5)+Ayarlar!$B$3*ABS(Bitkiler!$E$9-Topraklar!$E$5)+Ayarlar!$B$4*ABS(Bitkiler!$F$9-Topraklar!$F$5)+Ayarlar!$B$5*ABS(Bitkiler!$G$9-Topraklar!$G$5)+Ayarlar!$B$6*IF(Bitkiler!$H$9=Topraklar!$H$5,0,1))/Ayarlar!$B$7)+IF(Topraklar!$K$5=Bitkiler!$C$9,0.002,IF(Topraklar!$L$5="Evet",0.001,0)))</f>
        <v/>
      </c>
      <c r="F10" s="16">
        <f>IF(OR(Topraklar!$J$6="Evet",AND(Topraklar!$L$6&lt;&gt;"Evet",Topraklar!$K$6&lt;&gt;Bitkiler!$C$9)),0,MAX(0,1-(Ayarlar!$B$2*ABS(Bitkiler!$D$9-Topraklar!$D$6)+Ayarlar!$B$3*ABS(Bitkiler!$E$9-Topraklar!$E$6)+Ayarlar!$B$4*ABS(Bitkiler!$F$9-Topraklar!$F$6)+Ayarlar!$B$5*ABS(Bitkiler!$G$9-Topraklar!$G$6)+Ayarlar!$B$6*IF(Bitkiler!$H$9=Topraklar!$H$6,0,1))/Ayarlar!$B$7)+IF(Topraklar!$K$6=Bitkiler!$C$9,0.002,IF(Topraklar!$L$6="Evet",0.001,0)))</f>
        <v/>
      </c>
      <c r="G10" s="16">
        <f>IF(OR(Topraklar!$J$7="Evet",AND(Topraklar!$L$7&lt;&gt;"Evet",Topraklar!$K$7&lt;&gt;Bitkiler!$C$9)),0,MAX(0,1-(Ayarlar!$B$2*ABS(Bitkiler!$D$9-Topraklar!$D$7)+Ayarlar!$B$3*ABS(Bitkiler!$E$9-Topraklar!$E$7)+Ayarlar!$B$4*ABS(Bitkiler!$F$9-Topraklar!$F$7)+Ayarlar!$B$5*ABS(Bitkiler!$G$9-Topraklar!$G$7)+Ayarlar!$B$6*IF(Bitkiler!$H$9=Topraklar!$H$7,0,1))/Ayarlar!$B$7)+IF(Topraklar!$K$7=Bitkiler!$C$9,0.002,IF(Topraklar!$L$7="Evet",0.001,0)))</f>
        <v/>
      </c>
      <c r="H10" s="16">
        <f>IF(OR(Topraklar!$J$8="Evet",AND(Topraklar!$L$8&lt;&gt;"Evet",Topraklar!$K$8&lt;&gt;Bitkiler!$C$9)),0,MAX(0,1-(Ayarlar!$B$2*ABS(Bitkiler!$D$9-Topraklar!$D$8)+Ayarlar!$B$3*ABS(Bitkiler!$E$9-Topraklar!$E$8)+Ayarlar!$B$4*ABS(Bitkiler!$F$9-Topraklar!$F$8)+Ayarlar!$B$5*ABS(Bitkiler!$G$9-Topraklar!$G$8)+Ayarlar!$B$6*IF(Bitkiler!$H$9=Topraklar!$H$8,0,1))/Ayarlar!$B$7)+IF(Topraklar!$K$8=Bitkiler!$C$9,0.002,IF(Topraklar!$L$8="Evet",0.001,0)))</f>
        <v/>
      </c>
      <c r="I10" s="16">
        <f>IF(OR(Topraklar!$J$9="Evet",AND(Topraklar!$L$9&lt;&gt;"Evet",Topraklar!$K$9&lt;&gt;Bitkiler!$C$9)),0,MAX(0,1-(Ayarlar!$B$2*ABS(Bitkiler!$D$9-Topraklar!$D$9)+Ayarlar!$B$3*ABS(Bitkiler!$E$9-Topraklar!$E$9)+Ayarlar!$B$4*ABS(Bitkiler!$F$9-Topraklar!$F$9)+Ayarlar!$B$5*ABS(Bitkiler!$G$9-Topraklar!$G$9)+Ayarlar!$B$6*IF(Bitkiler!$H$9=Topraklar!$H$9,0,1))/Ayarlar!$B$7)+IF(Topraklar!$K$9=Bitkiler!$C$9,0.002,IF(Topraklar!$L$9="Evet",0.001,0)))</f>
        <v/>
      </c>
      <c r="J10" s="16">
        <f>IF(OR(Topraklar!$J$10="Evet",AND(Topraklar!$L$10&lt;&gt;"Evet",Topraklar!$K$10&lt;&gt;Bitkiler!$C$9)),0,MAX(0,1-(Ayarlar!$B$2*ABS(Bitkiler!$D$9-Topraklar!$D$10)+Ayarlar!$B$3*ABS(Bitkiler!$E$9-Topraklar!$E$10)+Ayarlar!$B$4*ABS(Bitkiler!$F$9-Topraklar!$F$10)+Ayarlar!$B$5*ABS(Bitkiler!$G$9-Topraklar!$G$10)+Ayarlar!$B$6*IF(Bitkiler!$H$9=Topraklar!$H$10,0,1))/Ayarlar!$B$7)+IF(Topraklar!$K$10=Bitkiler!$C$9,0.002,IF(Topraklar!$L$10="Evet",0.001,0)))</f>
        <v/>
      </c>
      <c r="K10" s="16">
        <f>IF(OR(Topraklar!$J$11="Evet",AND(Topraklar!$L$11&lt;&gt;"Evet",Topraklar!$K$11&lt;&gt;Bitkiler!$C$9)),0,MAX(0,1-(Ayarlar!$B$2*ABS(Bitkiler!$D$9-Topraklar!$D$11)+Ayarlar!$B$3*ABS(Bitkiler!$E$9-Topraklar!$E$11)+Ayarlar!$B$4*ABS(Bitkiler!$F$9-Topraklar!$F$11)+Ayarlar!$B$5*ABS(Bitkiler!$G$9-Topraklar!$G$11)+Ayarlar!$B$6*IF(Bitkiler!$H$9=Topraklar!$H$11,0,1))/Ayarlar!$B$7)+IF(Topraklar!$K$11=Bitkiler!$C$9,0.002,IF(Topraklar!$L$11="Evet",0.001,0)))</f>
        <v/>
      </c>
      <c r="L10" s="16">
        <f>IF(OR(Topraklar!$J$12="Evet",AND(Topraklar!$L$12&lt;&gt;"Evet",Topraklar!$K$12&lt;&gt;Bitkiler!$C$9)),0,MAX(0,1-(Ayarlar!$B$2*ABS(Bitkiler!$D$9-Topraklar!$D$12)+Ayarlar!$B$3*ABS(Bitkiler!$E$9-Topraklar!$E$12)+Ayarlar!$B$4*ABS(Bitkiler!$F$9-Topraklar!$F$12)+Ayarlar!$B$5*ABS(Bitkiler!$G$9-Topraklar!$G$12)+Ayarlar!$B$6*IF(Bitkiler!$H$9=Topraklar!$H$12,0,1))/Ayarlar!$B$7)+IF(Topraklar!$K$12=Bitkiler!$C$9,0.002,IF(Topraklar!$L$12="Evet",0.001,0)))</f>
        <v/>
      </c>
      <c r="M10" s="16">
        <f>IF(OR(Topraklar!$J$13="Evet",AND(Topraklar!$L$13&lt;&gt;"Evet",Topraklar!$K$13&lt;&gt;Bitkiler!$C$9)),0,MAX(0,1-(Ayarlar!$B$2*ABS(Bitkiler!$D$9-Topraklar!$D$13)+Ayarlar!$B$3*ABS(Bitkiler!$E$9-Topraklar!$E$13)+Ayarlar!$B$4*ABS(Bitkiler!$F$9-Topraklar!$F$13)+Ayarlar!$B$5*ABS(Bitkiler!$G$9-Topraklar!$G$13)+Ayarlar!$B$6*IF(Bitkiler!$H$9=Topraklar!$H$13,0,1))/Ayarlar!$B$7)+IF(Topraklar!$K$13=Bitkiler!$C$9,0.002,IF(Topraklar!$L$13="Evet",0.001,0)))</f>
        <v/>
      </c>
      <c r="N10" s="16">
        <f>IF(OR(Topraklar!$J$14="Evet",AND(Topraklar!$L$14&lt;&gt;"Evet",Topraklar!$K$14&lt;&gt;Bitkiler!$C$9)),0,MAX(0,1-(Ayarlar!$B$2*ABS(Bitkiler!$D$9-Topraklar!$D$14)+Ayarlar!$B$3*ABS(Bitkiler!$E$9-Topraklar!$E$14)+Ayarlar!$B$4*ABS(Bitkiler!$F$9-Topraklar!$F$14)+Ayarlar!$B$5*ABS(Bitkiler!$G$9-Topraklar!$G$14)+Ayarlar!$B$6*IF(Bitkiler!$H$9=Topraklar!$H$14,0,1))/Ayarlar!$B$7)+IF(Topraklar!$K$14=Bitkiler!$C$9,0.002,IF(Topraklar!$L$14="Evet",0.001,0)))</f>
        <v/>
      </c>
      <c r="O10" s="16">
        <f>IF(OR(Topraklar!$J$15="Evet",AND(Topraklar!$L$15&lt;&gt;"Evet",Topraklar!$K$15&lt;&gt;Bitkiler!$C$9)),0,MAX(0,1-(Ayarlar!$B$2*ABS(Bitkiler!$D$9-Topraklar!$D$15)+Ayarlar!$B$3*ABS(Bitkiler!$E$9-Topraklar!$E$15)+Ayarlar!$B$4*ABS(Bitkiler!$F$9-Topraklar!$F$15)+Ayarlar!$B$5*ABS(Bitkiler!$G$9-Topraklar!$G$15)+Ayarlar!$B$6*IF(Bitkiler!$H$9=Topraklar!$H$15,0,1))/Ayarlar!$B$7)+IF(Topraklar!$K$15=Bitkiler!$C$9,0.002,IF(Topraklar!$L$15="Evet",0.001,0)))</f>
        <v/>
      </c>
      <c r="P10" s="16">
        <f>IF(OR(Topraklar!$J$16="Evet",AND(Topraklar!$L$16&lt;&gt;"Evet",Topraklar!$K$16&lt;&gt;Bitkiler!$C$9)),0,MAX(0,1-(Ayarlar!$B$2*ABS(Bitkiler!$D$9-Topraklar!$D$16)+Ayarlar!$B$3*ABS(Bitkiler!$E$9-Topraklar!$E$16)+Ayarlar!$B$4*ABS(Bitkiler!$F$9-Topraklar!$F$16)+Ayarlar!$B$5*ABS(Bitkiler!$G$9-Topraklar!$G$16)+Ayarlar!$B$6*IF(Bitkiler!$H$9=Topraklar!$H$16,0,1))/Ayarlar!$B$7)+IF(Topraklar!$K$16=Bitkiler!$C$9,0.002,IF(Topraklar!$L$16="Evet",0.001,0)))</f>
        <v/>
      </c>
      <c r="Q10" s="16">
        <f>IF(OR(Topraklar!$J$17="Evet",AND(Topraklar!$L$17&lt;&gt;"Evet",Topraklar!$K$17&lt;&gt;Bitkiler!$C$9)),0,MAX(0,1-(Ayarlar!$B$2*ABS(Bitkiler!$D$9-Topraklar!$D$17)+Ayarlar!$B$3*ABS(Bitkiler!$E$9-Topraklar!$E$17)+Ayarlar!$B$4*ABS(Bitkiler!$F$9-Topraklar!$F$17)+Ayarlar!$B$5*ABS(Bitkiler!$G$9-Topraklar!$G$17)+Ayarlar!$B$6*IF(Bitkiler!$H$9=Topraklar!$H$17,0,1))/Ayarlar!$B$7)+IF(Topraklar!$K$17=Bitkiler!$C$9,0.002,IF(Topraklar!$L$17="Evet",0.001,0)))</f>
        <v/>
      </c>
      <c r="R10" s="16">
        <f>IF(OR(Topraklar!$J$18="Evet",AND(Topraklar!$L$18&lt;&gt;"Evet",Topraklar!$K$18&lt;&gt;Bitkiler!$C$9)),0,MAX(0,1-(Ayarlar!$B$2*ABS(Bitkiler!$D$9-Topraklar!$D$18)+Ayarlar!$B$3*ABS(Bitkiler!$E$9-Topraklar!$E$18)+Ayarlar!$B$4*ABS(Bitkiler!$F$9-Topraklar!$F$18)+Ayarlar!$B$5*ABS(Bitkiler!$G$9-Topraklar!$G$18)+Ayarlar!$B$6*IF(Bitkiler!$H$9=Topraklar!$H$18,0,1))/Ayarlar!$B$7)+IF(Topraklar!$K$18=Bitkiler!$C$9,0.002,IF(Topraklar!$L$18="Evet",0.001,0)))</f>
        <v/>
      </c>
      <c r="S10" s="16">
        <f>IF(OR(Topraklar!$J$19="Evet",AND(Topraklar!$L$19&lt;&gt;"Evet",Topraklar!$K$19&lt;&gt;Bitkiler!$C$9)),0,MAX(0,1-(Ayarlar!$B$2*ABS(Bitkiler!$D$9-Topraklar!$D$19)+Ayarlar!$B$3*ABS(Bitkiler!$E$9-Topraklar!$E$19)+Ayarlar!$B$4*ABS(Bitkiler!$F$9-Topraklar!$F$19)+Ayarlar!$B$5*ABS(Bitkiler!$G$9-Topraklar!$G$19)+Ayarlar!$B$6*IF(Bitkiler!$H$9=Topraklar!$H$19,0,1))/Ayarlar!$B$7)+IF(Topraklar!$K$19=Bitkiler!$C$9,0.002,IF(Topraklar!$L$19="Evet",0.001,0)))</f>
        <v/>
      </c>
      <c r="T10" s="16">
        <f>IF(OR(Topraklar!$J$20="Evet",AND(Topraklar!$L$20&lt;&gt;"Evet",Topraklar!$K$20&lt;&gt;Bitkiler!$C$9)),0,MAX(0,1-(Ayarlar!$B$2*ABS(Bitkiler!$D$9-Topraklar!$D$20)+Ayarlar!$B$3*ABS(Bitkiler!$E$9-Topraklar!$E$20)+Ayarlar!$B$4*ABS(Bitkiler!$F$9-Topraklar!$F$20)+Ayarlar!$B$5*ABS(Bitkiler!$G$9-Topraklar!$G$20)+Ayarlar!$B$6*IF(Bitkiler!$H$9=Topraklar!$H$20,0,1))/Ayarlar!$B$7)+IF(Topraklar!$K$20=Bitkiler!$C$9,0.002,IF(Topraklar!$L$20="Evet",0.001,0)))</f>
        <v/>
      </c>
      <c r="U10" s="16">
        <f>IF(OR(Topraklar!$J$21="Evet",AND(Topraklar!$L$21&lt;&gt;"Evet",Topraklar!$K$21&lt;&gt;Bitkiler!$C$9)),0,MAX(0,1-(Ayarlar!$B$2*ABS(Bitkiler!$D$9-Topraklar!$D$21)+Ayarlar!$B$3*ABS(Bitkiler!$E$9-Topraklar!$E$21)+Ayarlar!$B$4*ABS(Bitkiler!$F$9-Topraklar!$F$21)+Ayarlar!$B$5*ABS(Bitkiler!$G$9-Topraklar!$G$21)+Ayarlar!$B$6*IF(Bitkiler!$H$9=Topraklar!$H$21,0,1))/Ayarlar!$B$7)+IF(Topraklar!$K$21=Bitkiler!$C$9,0.002,IF(Topraklar!$L$21="Evet",0.001,0)))</f>
        <v/>
      </c>
      <c r="V10" s="16">
        <f>IF(OR(Topraklar!$J$22="Evet",AND(Topraklar!$L$22&lt;&gt;"Evet",Topraklar!$K$22&lt;&gt;Bitkiler!$C$9)),0,MAX(0,1-(Ayarlar!$B$2*ABS(Bitkiler!$D$9-Topraklar!$D$22)+Ayarlar!$B$3*ABS(Bitkiler!$E$9-Topraklar!$E$22)+Ayarlar!$B$4*ABS(Bitkiler!$F$9-Topraklar!$F$22)+Ayarlar!$B$5*ABS(Bitkiler!$G$9-Topraklar!$G$22)+Ayarlar!$B$6*IF(Bitkiler!$H$9=Topraklar!$H$22,0,1))/Ayarlar!$B$7)+IF(Topraklar!$K$22=Bitkiler!$C$9,0.002,IF(Topraklar!$L$22="Evet",0.001,0)))</f>
        <v/>
      </c>
      <c r="W10" s="16">
        <f>IF(OR(Topraklar!$J$23="Evet",AND(Topraklar!$L$23&lt;&gt;"Evet",Topraklar!$K$23&lt;&gt;Bitkiler!$C$9)),0,MAX(0,1-(Ayarlar!$B$2*ABS(Bitkiler!$D$9-Topraklar!$D$23)+Ayarlar!$B$3*ABS(Bitkiler!$E$9-Topraklar!$E$23)+Ayarlar!$B$4*ABS(Bitkiler!$F$9-Topraklar!$F$23)+Ayarlar!$B$5*ABS(Bitkiler!$G$9-Topraklar!$G$23)+Ayarlar!$B$6*IF(Bitkiler!$H$9=Topraklar!$H$23,0,1))/Ayarlar!$B$7)+IF(Topraklar!$K$23=Bitkiler!$C$9,0.002,IF(Topraklar!$L$23="Evet",0.001,0)))</f>
        <v/>
      </c>
      <c r="X10" s="16">
        <f>IF(OR(Topraklar!$J$24="Evet",AND(Topraklar!$L$24&lt;&gt;"Evet",Topraklar!$K$24&lt;&gt;Bitkiler!$C$9)),0,MAX(0,1-(Ayarlar!$B$2*ABS(Bitkiler!$D$9-Topraklar!$D$24)+Ayarlar!$B$3*ABS(Bitkiler!$E$9-Topraklar!$E$24)+Ayarlar!$B$4*ABS(Bitkiler!$F$9-Topraklar!$F$24)+Ayarlar!$B$5*ABS(Bitkiler!$G$9-Topraklar!$G$24)+Ayarlar!$B$6*IF(Bitkiler!$H$9=Topraklar!$H$24,0,1))/Ayarlar!$B$7)+IF(Topraklar!$K$24=Bitkiler!$C$9,0.002,IF(Topraklar!$L$24="Evet",0.001,0)))</f>
        <v/>
      </c>
      <c r="Y10" s="16">
        <f>IF(OR(Topraklar!$J$25="Evet",AND(Topraklar!$L$25&lt;&gt;"Evet",Topraklar!$K$25&lt;&gt;Bitkiler!$C$9)),0,MAX(0,1-(Ayarlar!$B$2*ABS(Bitkiler!$D$9-Topraklar!$D$25)+Ayarlar!$B$3*ABS(Bitkiler!$E$9-Topraklar!$E$25)+Ayarlar!$B$4*ABS(Bitkiler!$F$9-Topraklar!$F$25)+Ayarlar!$B$5*ABS(Bitkiler!$G$9-Topraklar!$G$25)+Ayarlar!$B$6*IF(Bitkiler!$H$9=Topraklar!$H$25,0,1))/Ayarlar!$B$7)+IF(Topraklar!$K$25=Bitkiler!$C$9,0.002,IF(Topraklar!$L$25="Evet",0.001,0)))</f>
        <v/>
      </c>
      <c r="Z10" s="16">
        <f>IF(OR(Topraklar!$J$26="Evet",AND(Topraklar!$L$26&lt;&gt;"Evet",Topraklar!$K$26&lt;&gt;Bitkiler!$C$9)),0,MAX(0,1-(Ayarlar!$B$2*ABS(Bitkiler!$D$9-Topraklar!$D$26)+Ayarlar!$B$3*ABS(Bitkiler!$E$9-Topraklar!$E$26)+Ayarlar!$B$4*ABS(Bitkiler!$F$9-Topraklar!$F$26)+Ayarlar!$B$5*ABS(Bitkiler!$G$9-Topraklar!$G$26)+Ayarlar!$B$6*IF(Bitkiler!$H$9=Topraklar!$H$26,0,1))/Ayarlar!$B$7)+IF(Topraklar!$K$26=Bitkiler!$C$9,0.002,IF(Topraklar!$L$26="Evet",0.001,0)))</f>
        <v/>
      </c>
      <c r="AA10" s="16">
        <f>IF(OR(Topraklar!$J$27="Evet",AND(Topraklar!$L$27&lt;&gt;"Evet",Topraklar!$K$27&lt;&gt;Bitkiler!$C$9)),0,MAX(0,1-(Ayarlar!$B$2*ABS(Bitkiler!$D$9-Topraklar!$D$27)+Ayarlar!$B$3*ABS(Bitkiler!$E$9-Topraklar!$E$27)+Ayarlar!$B$4*ABS(Bitkiler!$F$9-Topraklar!$F$27)+Ayarlar!$B$5*ABS(Bitkiler!$G$9-Topraklar!$G$27)+Ayarlar!$B$6*IF(Bitkiler!$H$9=Topraklar!$H$27,0,1))/Ayarlar!$B$7)+IF(Topraklar!$K$27=Bitkiler!$C$9,0.002,IF(Topraklar!$L$27="Evet",0.001,0)))</f>
        <v/>
      </c>
      <c r="AB10" s="16">
        <f>IF(OR(Topraklar!$J$28="Evet",AND(Topraklar!$L$28&lt;&gt;"Evet",Topraklar!$K$28&lt;&gt;Bitkiler!$C$9)),0,MAX(0,1-(Ayarlar!$B$2*ABS(Bitkiler!$D$9-Topraklar!$D$28)+Ayarlar!$B$3*ABS(Bitkiler!$E$9-Topraklar!$E$28)+Ayarlar!$B$4*ABS(Bitkiler!$F$9-Topraklar!$F$28)+Ayarlar!$B$5*ABS(Bitkiler!$G$9-Topraklar!$G$28)+Ayarlar!$B$6*IF(Bitkiler!$H$9=Topraklar!$H$28,0,1))/Ayarlar!$B$7)+IF(Topraklar!$K$28=Bitkiler!$C$9,0.002,IF(Topraklar!$L$28="Evet",0.001,0)))</f>
        <v/>
      </c>
      <c r="AC10" s="16">
        <f>IF(OR(Topraklar!$J$29="Evet",AND(Topraklar!$L$29&lt;&gt;"Evet",Topraklar!$K$29&lt;&gt;Bitkiler!$C$9)),0,MAX(0,1-(Ayarlar!$B$2*ABS(Bitkiler!$D$9-Topraklar!$D$29)+Ayarlar!$B$3*ABS(Bitkiler!$E$9-Topraklar!$E$29)+Ayarlar!$B$4*ABS(Bitkiler!$F$9-Topraklar!$F$29)+Ayarlar!$B$5*ABS(Bitkiler!$G$9-Topraklar!$G$29)+Ayarlar!$B$6*IF(Bitkiler!$H$9=Topraklar!$H$29,0,1))/Ayarlar!$B$7)+IF(Topraklar!$K$29=Bitkiler!$C$9,0.002,IF(Topraklar!$L$29="Evet",0.001,0)))</f>
        <v/>
      </c>
      <c r="AD10" s="16">
        <f>IF(OR(Topraklar!$J$30="Evet",AND(Topraklar!$L$30&lt;&gt;"Evet",Topraklar!$K$30&lt;&gt;Bitkiler!$C$9)),0,MAX(0,1-(Ayarlar!$B$2*ABS(Bitkiler!$D$9-Topraklar!$D$30)+Ayarlar!$B$3*ABS(Bitkiler!$E$9-Topraklar!$E$30)+Ayarlar!$B$4*ABS(Bitkiler!$F$9-Topraklar!$F$30)+Ayarlar!$B$5*ABS(Bitkiler!$G$9-Topraklar!$G$30)+Ayarlar!$B$6*IF(Bitkiler!$H$9=Topraklar!$H$30,0,1))/Ayarlar!$B$7)+IF(Topraklar!$K$30=Bitkiler!$C$9,0.002,IF(Topraklar!$L$30="Evet",0.001,0)))</f>
        <v/>
      </c>
      <c r="AE10" s="16">
        <f>IF(OR(Topraklar!$J$31="Evet",AND(Topraklar!$L$31&lt;&gt;"Evet",Topraklar!$K$31&lt;&gt;Bitkiler!$C$9)),0,MAX(0,1-(Ayarlar!$B$2*ABS(Bitkiler!$D$9-Topraklar!$D$31)+Ayarlar!$B$3*ABS(Bitkiler!$E$9-Topraklar!$E$31)+Ayarlar!$B$4*ABS(Bitkiler!$F$9-Topraklar!$F$31)+Ayarlar!$B$5*ABS(Bitkiler!$G$9-Topraklar!$G$31)+Ayarlar!$B$6*IF(Bitkiler!$H$9=Topraklar!$H$31,0,1))/Ayarlar!$B$7)+IF(Topraklar!$K$31=Bitkiler!$C$9,0.002,IF(Topraklar!$L$31="Evet",0.001,0)))</f>
        <v/>
      </c>
      <c r="AF10" s="16">
        <f>IF(OR(Topraklar!$J$32="Evet",AND(Topraklar!$L$32&lt;&gt;"Evet",Topraklar!$K$32&lt;&gt;Bitkiler!$C$9)),0,MAX(0,1-(Ayarlar!$B$2*ABS(Bitkiler!$D$9-Topraklar!$D$32)+Ayarlar!$B$3*ABS(Bitkiler!$E$9-Topraklar!$E$32)+Ayarlar!$B$4*ABS(Bitkiler!$F$9-Topraklar!$F$32)+Ayarlar!$B$5*ABS(Bitkiler!$G$9-Topraklar!$G$32)+Ayarlar!$B$6*IF(Bitkiler!$H$9=Topraklar!$H$32,0,1))/Ayarlar!$B$7)+IF(Topraklar!$K$32=Bitkiler!$C$9,0.002,IF(Topraklar!$L$32="Evet",0.001,0)))</f>
        <v/>
      </c>
      <c r="AG10" s="16">
        <f>IF(OR(Topraklar!$J$33="Evet",AND(Topraklar!$L$33&lt;&gt;"Evet",Topraklar!$K$33&lt;&gt;Bitkiler!$C$9)),0,MAX(0,1-(Ayarlar!$B$2*ABS(Bitkiler!$D$9-Topraklar!$D$33)+Ayarlar!$B$3*ABS(Bitkiler!$E$9-Topraklar!$E$33)+Ayarlar!$B$4*ABS(Bitkiler!$F$9-Topraklar!$F$33)+Ayarlar!$B$5*ABS(Bitkiler!$G$9-Topraklar!$G$33)+Ayarlar!$B$6*IF(Bitkiler!$H$9=Topraklar!$H$33,0,1))/Ayarlar!$B$7)+IF(Topraklar!$K$33=Bitkiler!$C$9,0.002,IF(Topraklar!$L$33="Evet",0.001,0)))</f>
        <v/>
      </c>
      <c r="AH10" s="16">
        <f>IF(OR(Topraklar!$J$34="Evet",AND(Topraklar!$L$34&lt;&gt;"Evet",Topraklar!$K$34&lt;&gt;Bitkiler!$C$9)),0,MAX(0,1-(Ayarlar!$B$2*ABS(Bitkiler!$D$9-Topraklar!$D$34)+Ayarlar!$B$3*ABS(Bitkiler!$E$9-Topraklar!$E$34)+Ayarlar!$B$4*ABS(Bitkiler!$F$9-Topraklar!$F$34)+Ayarlar!$B$5*ABS(Bitkiler!$G$9-Topraklar!$G$34)+Ayarlar!$B$6*IF(Bitkiler!$H$9=Topraklar!$H$34,0,1))/Ayarlar!$B$7)+IF(Topraklar!$K$34=Bitkiler!$C$9,0.002,IF(Topraklar!$L$34="Evet",0.001,0)))</f>
        <v/>
      </c>
      <c r="AI10" s="16">
        <f>IF(OR(Topraklar!$J$35="Evet",AND(Topraklar!$L$35&lt;&gt;"Evet",Topraklar!$K$35&lt;&gt;Bitkiler!$C$9)),0,MAX(0,1-(Ayarlar!$B$2*ABS(Bitkiler!$D$9-Topraklar!$D$35)+Ayarlar!$B$3*ABS(Bitkiler!$E$9-Topraklar!$E$35)+Ayarlar!$B$4*ABS(Bitkiler!$F$9-Topraklar!$F$35)+Ayarlar!$B$5*ABS(Bitkiler!$G$9-Topraklar!$G$35)+Ayarlar!$B$6*IF(Bitkiler!$H$9=Topraklar!$H$35,0,1))/Ayarlar!$B$7)+IF(Topraklar!$K$35=Bitkiler!$C$9,0.002,IF(Topraklar!$L$35="Evet",0.001,0)))</f>
        <v/>
      </c>
      <c r="AJ10" s="16">
        <f>IF(OR(Topraklar!$J$36="Evet",AND(Topraklar!$L$36&lt;&gt;"Evet",Topraklar!$K$36&lt;&gt;Bitkiler!$C$9)),0,MAX(0,1-(Ayarlar!$B$2*ABS(Bitkiler!$D$9-Topraklar!$D$36)+Ayarlar!$B$3*ABS(Bitkiler!$E$9-Topraklar!$E$36)+Ayarlar!$B$4*ABS(Bitkiler!$F$9-Topraklar!$F$36)+Ayarlar!$B$5*ABS(Bitkiler!$G$9-Topraklar!$G$36)+Ayarlar!$B$6*IF(Bitkiler!$H$9=Topraklar!$H$36,0,1))/Ayarlar!$B$7)+IF(Topraklar!$K$36=Bitkiler!$C$9,0.002,IF(Topraklar!$L$36="Evet",0.001,0)))</f>
        <v/>
      </c>
      <c r="AK10" s="16">
        <f>IF(OR(Topraklar!$J$37="Evet",AND(Topraklar!$L$37&lt;&gt;"Evet",Topraklar!$K$37&lt;&gt;Bitkiler!$C$9)),0,MAX(0,1-(Ayarlar!$B$2*ABS(Bitkiler!$D$9-Topraklar!$D$37)+Ayarlar!$B$3*ABS(Bitkiler!$E$9-Topraklar!$E$37)+Ayarlar!$B$4*ABS(Bitkiler!$F$9-Topraklar!$F$37)+Ayarlar!$B$5*ABS(Bitkiler!$G$9-Topraklar!$G$37)+Ayarlar!$B$6*IF(Bitkiler!$H$9=Topraklar!$H$37,0,1))/Ayarlar!$B$7)+IF(Topraklar!$K$37=Bitkiler!$C$9,0.002,IF(Topraklar!$L$37="Evet",0.001,0)))</f>
        <v/>
      </c>
      <c r="AL10" s="16">
        <f>IF(OR(Topraklar!$J$38="Evet",AND(Topraklar!$L$38&lt;&gt;"Evet",Topraklar!$K$38&lt;&gt;Bitkiler!$C$9)),0,MAX(0,1-(Ayarlar!$B$2*ABS(Bitkiler!$D$9-Topraklar!$D$38)+Ayarlar!$B$3*ABS(Bitkiler!$E$9-Topraklar!$E$38)+Ayarlar!$B$4*ABS(Bitkiler!$F$9-Topraklar!$F$38)+Ayarlar!$B$5*ABS(Bitkiler!$G$9-Topraklar!$G$38)+Ayarlar!$B$6*IF(Bitkiler!$H$9=Topraklar!$H$38,0,1))/Ayarlar!$B$7)+IF(Topraklar!$K$38=Bitkiler!$C$9,0.002,IF(Topraklar!$L$38="Evet",0.001,0)))</f>
        <v/>
      </c>
      <c r="AM10" s="16">
        <f>IF(OR(Topraklar!$J$39="Evet",AND(Topraklar!$L$39&lt;&gt;"Evet",Topraklar!$K$39&lt;&gt;Bitkiler!$C$9)),0,MAX(0,1-(Ayarlar!$B$2*ABS(Bitkiler!$D$9-Topraklar!$D$39)+Ayarlar!$B$3*ABS(Bitkiler!$E$9-Topraklar!$E$39)+Ayarlar!$B$4*ABS(Bitkiler!$F$9-Topraklar!$F$39)+Ayarlar!$B$5*ABS(Bitkiler!$G$9-Topraklar!$G$39)+Ayarlar!$B$6*IF(Bitkiler!$H$9=Topraklar!$H$39,0,1))/Ayarlar!$B$7)+IF(Topraklar!$K$39=Bitkiler!$C$9,0.002,IF(Topraklar!$L$39="Evet",0.001,0)))</f>
        <v/>
      </c>
      <c r="AN10" s="16">
        <f>IF(OR(Topraklar!$J$40="Evet",AND(Topraklar!$L$40&lt;&gt;"Evet",Topraklar!$K$40&lt;&gt;Bitkiler!$C$9)),0,MAX(0,1-(Ayarlar!$B$2*ABS(Bitkiler!$D$9-Topraklar!$D$40)+Ayarlar!$B$3*ABS(Bitkiler!$E$9-Topraklar!$E$40)+Ayarlar!$B$4*ABS(Bitkiler!$F$9-Topraklar!$F$40)+Ayarlar!$B$5*ABS(Bitkiler!$G$9-Topraklar!$G$40)+Ayarlar!$B$6*IF(Bitkiler!$H$9=Topraklar!$H$40,0,1))/Ayarlar!$B$7)+IF(Topraklar!$K$40=Bitkiler!$C$9,0.002,IF(Topraklar!$L$40="Evet",0.001,0)))</f>
        <v/>
      </c>
      <c r="AO10" s="16">
        <f>IF(OR(Topraklar!$J$41="Evet",AND(Topraklar!$L$41&lt;&gt;"Evet",Topraklar!$K$41&lt;&gt;Bitkiler!$C$9)),0,MAX(0,1-(Ayarlar!$B$2*ABS(Bitkiler!$D$9-Topraklar!$D$41)+Ayarlar!$B$3*ABS(Bitkiler!$E$9-Topraklar!$E$41)+Ayarlar!$B$4*ABS(Bitkiler!$F$9-Topraklar!$F$41)+Ayarlar!$B$5*ABS(Bitkiler!$G$9-Topraklar!$G$41)+Ayarlar!$B$6*IF(Bitkiler!$H$9=Topraklar!$H$41,0,1))/Ayarlar!$B$7)+IF(Topraklar!$K$41=Bitkiler!$C$9,0.002,IF(Topraklar!$L$41="Evet",0.001,0)))</f>
        <v/>
      </c>
      <c r="AP10" s="16">
        <f>IF(OR(Topraklar!$J$42="Evet",AND(Topraklar!$L$42&lt;&gt;"Evet",Topraklar!$K$42&lt;&gt;Bitkiler!$C$9)),0,MAX(0,1-(Ayarlar!$B$2*ABS(Bitkiler!$D$9-Topraklar!$D$42)+Ayarlar!$B$3*ABS(Bitkiler!$E$9-Topraklar!$E$42)+Ayarlar!$B$4*ABS(Bitkiler!$F$9-Topraklar!$F$42)+Ayarlar!$B$5*ABS(Bitkiler!$G$9-Topraklar!$G$42)+Ayarlar!$B$6*IF(Bitkiler!$H$9=Topraklar!$H$42,0,1))/Ayarlar!$B$7)+IF(Topraklar!$K$42=Bitkiler!$C$9,0.002,IF(Topraklar!$L$42="Evet",0.001,0)))</f>
        <v/>
      </c>
      <c r="AQ10" s="16">
        <f>IF(OR(Topraklar!$J$43="Evet",AND(Topraklar!$L$43&lt;&gt;"Evet",Topraklar!$K$43&lt;&gt;Bitkiler!$C$9)),0,MAX(0,1-(Ayarlar!$B$2*ABS(Bitkiler!$D$9-Topraklar!$D$43)+Ayarlar!$B$3*ABS(Bitkiler!$E$9-Topraklar!$E$43)+Ayarlar!$B$4*ABS(Bitkiler!$F$9-Topraklar!$F$43)+Ayarlar!$B$5*ABS(Bitkiler!$G$9-Topraklar!$G$43)+Ayarlar!$B$6*IF(Bitkiler!$H$9=Topraklar!$H$43,0,1))/Ayarlar!$B$7)+IF(Topraklar!$K$43=Bitkiler!$C$9,0.002,IF(Topraklar!$L$43="Evet",0.001,0)))</f>
        <v/>
      </c>
      <c r="AR10" s="16">
        <f>IF(OR(Topraklar!$J$44="Evet",AND(Topraklar!$L$44&lt;&gt;"Evet",Topraklar!$K$44&lt;&gt;Bitkiler!$C$9)),0,MAX(0,1-(Ayarlar!$B$2*ABS(Bitkiler!$D$9-Topraklar!$D$44)+Ayarlar!$B$3*ABS(Bitkiler!$E$9-Topraklar!$E$44)+Ayarlar!$B$4*ABS(Bitkiler!$F$9-Topraklar!$F$44)+Ayarlar!$B$5*ABS(Bitkiler!$G$9-Topraklar!$G$44)+Ayarlar!$B$6*IF(Bitkiler!$H$9=Topraklar!$H$44,0,1))/Ayarlar!$B$7)+IF(Topraklar!$K$44=Bitkiler!$C$9,0.002,IF(Topraklar!$L$44="Evet",0.001,0)))</f>
        <v/>
      </c>
      <c r="AS10" s="16">
        <f>IF(OR(Topraklar!$J$45="Evet",AND(Topraklar!$L$45&lt;&gt;"Evet",Topraklar!$K$45&lt;&gt;Bitkiler!$C$9)),0,MAX(0,1-(Ayarlar!$B$2*ABS(Bitkiler!$D$9-Topraklar!$D$45)+Ayarlar!$B$3*ABS(Bitkiler!$E$9-Topraklar!$E$45)+Ayarlar!$B$4*ABS(Bitkiler!$F$9-Topraklar!$F$45)+Ayarlar!$B$5*ABS(Bitkiler!$G$9-Topraklar!$G$45)+Ayarlar!$B$6*IF(Bitkiler!$H$9=Topraklar!$H$45,0,1))/Ayarlar!$B$7)+IF(Topraklar!$K$45=Bitkiler!$C$9,0.002,IF(Topraklar!$L$45="Evet",0.001,0)))</f>
        <v/>
      </c>
      <c r="AT10" s="16">
        <f>IF(OR(Topraklar!$J$46="Evet",AND(Topraklar!$L$46&lt;&gt;"Evet",Topraklar!$K$46&lt;&gt;Bitkiler!$C$9)),0,MAX(0,1-(Ayarlar!$B$2*ABS(Bitkiler!$D$9-Topraklar!$D$46)+Ayarlar!$B$3*ABS(Bitkiler!$E$9-Topraklar!$E$46)+Ayarlar!$B$4*ABS(Bitkiler!$F$9-Topraklar!$F$46)+Ayarlar!$B$5*ABS(Bitkiler!$G$9-Topraklar!$G$46)+Ayarlar!$B$6*IF(Bitkiler!$H$9=Topraklar!$H$46,0,1))/Ayarlar!$B$7)+IF(Topraklar!$K$46=Bitkiler!$C$9,0.002,IF(Topraklar!$L$46="Evet",0.001,0)))</f>
        <v/>
      </c>
      <c r="AU10" s="16">
        <f>IF(OR(Topraklar!$J$47="Evet",AND(Topraklar!$L$47&lt;&gt;"Evet",Topraklar!$K$47&lt;&gt;Bitkiler!$C$9)),0,MAX(0,1-(Ayarlar!$B$2*ABS(Bitkiler!$D$9-Topraklar!$D$47)+Ayarlar!$B$3*ABS(Bitkiler!$E$9-Topraklar!$E$47)+Ayarlar!$B$4*ABS(Bitkiler!$F$9-Topraklar!$F$47)+Ayarlar!$B$5*ABS(Bitkiler!$G$9-Topraklar!$G$47)+Ayarlar!$B$6*IF(Bitkiler!$H$9=Topraklar!$H$47,0,1))/Ayarlar!$B$7)+IF(Topraklar!$K$47=Bitkiler!$C$9,0.002,IF(Topraklar!$L$47="Evet",0.001,0)))</f>
        <v/>
      </c>
      <c r="AV10" s="16">
        <f>IF(OR(Topraklar!$J$48="Evet",AND(Topraklar!$L$48&lt;&gt;"Evet",Topraklar!$K$48&lt;&gt;Bitkiler!$C$9)),0,MAX(0,1-(Ayarlar!$B$2*ABS(Bitkiler!$D$9-Topraklar!$D$48)+Ayarlar!$B$3*ABS(Bitkiler!$E$9-Topraklar!$E$48)+Ayarlar!$B$4*ABS(Bitkiler!$F$9-Topraklar!$F$48)+Ayarlar!$B$5*ABS(Bitkiler!$G$9-Topraklar!$G$48)+Ayarlar!$B$6*IF(Bitkiler!$H$9=Topraklar!$H$48,0,1))/Ayarlar!$B$7)+IF(Topraklar!$K$48=Bitkiler!$C$9,0.002,IF(Topraklar!$L$48="Evet",0.001,0)))</f>
        <v/>
      </c>
      <c r="AW10" s="16">
        <f>IF(OR(Topraklar!$J$49="Evet",AND(Topraklar!$L$49&lt;&gt;"Evet",Topraklar!$K$49&lt;&gt;Bitkiler!$C$9)),0,MAX(0,1-(Ayarlar!$B$2*ABS(Bitkiler!$D$9-Topraklar!$D$49)+Ayarlar!$B$3*ABS(Bitkiler!$E$9-Topraklar!$E$49)+Ayarlar!$B$4*ABS(Bitkiler!$F$9-Topraklar!$F$49)+Ayarlar!$B$5*ABS(Bitkiler!$G$9-Topraklar!$G$49)+Ayarlar!$B$6*IF(Bitkiler!$H$9=Topraklar!$H$49,0,1))/Ayarlar!$B$7)+IF(Topraklar!$K$49=Bitkiler!$C$9,0.002,IF(Topraklar!$L$49="Evet",0.001,0)))</f>
        <v/>
      </c>
      <c r="AX10" s="16">
        <f>IF(OR(Topraklar!$J$50="Evet",AND(Topraklar!$L$50&lt;&gt;"Evet",Topraklar!$K$50&lt;&gt;Bitkiler!$C$9)),0,MAX(0,1-(Ayarlar!$B$2*ABS(Bitkiler!$D$9-Topraklar!$D$50)+Ayarlar!$B$3*ABS(Bitkiler!$E$9-Topraklar!$E$50)+Ayarlar!$B$4*ABS(Bitkiler!$F$9-Topraklar!$F$50)+Ayarlar!$B$5*ABS(Bitkiler!$G$9-Topraklar!$G$50)+Ayarlar!$B$6*IF(Bitkiler!$H$9=Topraklar!$H$50,0,1))/Ayarlar!$B$7)+IF(Topraklar!$K$50=Bitkiler!$C$9,0.002,IF(Topraklar!$L$50="Evet",0.001,0)))</f>
        <v/>
      </c>
      <c r="AY10" s="16">
        <f>IF(OR(Topraklar!$J$51="Evet",AND(Topraklar!$L$51&lt;&gt;"Evet",Topraklar!$K$51&lt;&gt;Bitkiler!$C$9)),0,MAX(0,1-(Ayarlar!$B$2*ABS(Bitkiler!$D$9-Topraklar!$D$51)+Ayarlar!$B$3*ABS(Bitkiler!$E$9-Topraklar!$E$51)+Ayarlar!$B$4*ABS(Bitkiler!$F$9-Topraklar!$F$51)+Ayarlar!$B$5*ABS(Bitkiler!$G$9-Topraklar!$G$51)+Ayarlar!$B$6*IF(Bitkiler!$H$9=Topraklar!$H$51,0,1))/Ayarlar!$B$7)+IF(Topraklar!$K$51=Bitkiler!$C$9,0.002,IF(Topraklar!$L$51="Evet",0.001,0)))</f>
        <v/>
      </c>
    </row>
    <row r="11">
      <c r="A11" s="15">
        <f>Bitkiler!A10</f>
        <v/>
      </c>
      <c r="B11" s="16">
        <f>IF(OR(Topraklar!$J$2="Evet",AND(Topraklar!$L$2&lt;&gt;"Evet",Topraklar!$K$2&lt;&gt;Bitkiler!$C$10)),0,MAX(0,1-(Ayarlar!$B$2*ABS(Bitkiler!$D$10-Topraklar!$D$2)+Ayarlar!$B$3*ABS(Bitkiler!$E$10-Topraklar!$E$2)+Ayarlar!$B$4*ABS(Bitkiler!$F$10-Topraklar!$F$2)+Ayarlar!$B$5*ABS(Bitkiler!$G$10-Topraklar!$G$2)+Ayarlar!$B$6*IF(Bitkiler!$H$10=Topraklar!$H$2,0,1))/Ayarlar!$B$7)+IF(Topraklar!$K$2=Bitkiler!$C$10,0.002,IF(Topraklar!$L$2="Evet",0.001,0)))</f>
        <v/>
      </c>
      <c r="C11" s="16">
        <f>IF(OR(Topraklar!$J$3="Evet",AND(Topraklar!$L$3&lt;&gt;"Evet",Topraklar!$K$3&lt;&gt;Bitkiler!$C$10)),0,MAX(0,1-(Ayarlar!$B$2*ABS(Bitkiler!$D$10-Topraklar!$D$3)+Ayarlar!$B$3*ABS(Bitkiler!$E$10-Topraklar!$E$3)+Ayarlar!$B$4*ABS(Bitkiler!$F$10-Topraklar!$F$3)+Ayarlar!$B$5*ABS(Bitkiler!$G$10-Topraklar!$G$3)+Ayarlar!$B$6*IF(Bitkiler!$H$10=Topraklar!$H$3,0,1))/Ayarlar!$B$7)+IF(Topraklar!$K$3=Bitkiler!$C$10,0.002,IF(Topraklar!$L$3="Evet",0.001,0)))</f>
        <v/>
      </c>
      <c r="D11" s="16">
        <f>IF(OR(Topraklar!$J$4="Evet",AND(Topraklar!$L$4&lt;&gt;"Evet",Topraklar!$K$4&lt;&gt;Bitkiler!$C$10)),0,MAX(0,1-(Ayarlar!$B$2*ABS(Bitkiler!$D$10-Topraklar!$D$4)+Ayarlar!$B$3*ABS(Bitkiler!$E$10-Topraklar!$E$4)+Ayarlar!$B$4*ABS(Bitkiler!$F$10-Topraklar!$F$4)+Ayarlar!$B$5*ABS(Bitkiler!$G$10-Topraklar!$G$4)+Ayarlar!$B$6*IF(Bitkiler!$H$10=Topraklar!$H$4,0,1))/Ayarlar!$B$7)+IF(Topraklar!$K$4=Bitkiler!$C$10,0.002,IF(Topraklar!$L$4="Evet",0.001,0)))</f>
        <v/>
      </c>
      <c r="E11" s="16">
        <f>IF(OR(Topraklar!$J$5="Evet",AND(Topraklar!$L$5&lt;&gt;"Evet",Topraklar!$K$5&lt;&gt;Bitkiler!$C$10)),0,MAX(0,1-(Ayarlar!$B$2*ABS(Bitkiler!$D$10-Topraklar!$D$5)+Ayarlar!$B$3*ABS(Bitkiler!$E$10-Topraklar!$E$5)+Ayarlar!$B$4*ABS(Bitkiler!$F$10-Topraklar!$F$5)+Ayarlar!$B$5*ABS(Bitkiler!$G$10-Topraklar!$G$5)+Ayarlar!$B$6*IF(Bitkiler!$H$10=Topraklar!$H$5,0,1))/Ayarlar!$B$7)+IF(Topraklar!$K$5=Bitkiler!$C$10,0.002,IF(Topraklar!$L$5="Evet",0.001,0)))</f>
        <v/>
      </c>
      <c r="F11" s="16">
        <f>IF(OR(Topraklar!$J$6="Evet",AND(Topraklar!$L$6&lt;&gt;"Evet",Topraklar!$K$6&lt;&gt;Bitkiler!$C$10)),0,MAX(0,1-(Ayarlar!$B$2*ABS(Bitkiler!$D$10-Topraklar!$D$6)+Ayarlar!$B$3*ABS(Bitkiler!$E$10-Topraklar!$E$6)+Ayarlar!$B$4*ABS(Bitkiler!$F$10-Topraklar!$F$6)+Ayarlar!$B$5*ABS(Bitkiler!$G$10-Topraklar!$G$6)+Ayarlar!$B$6*IF(Bitkiler!$H$10=Topraklar!$H$6,0,1))/Ayarlar!$B$7)+IF(Topraklar!$K$6=Bitkiler!$C$10,0.002,IF(Topraklar!$L$6="Evet",0.001,0)))</f>
        <v/>
      </c>
      <c r="G11" s="16">
        <f>IF(OR(Topraklar!$J$7="Evet",AND(Topraklar!$L$7&lt;&gt;"Evet",Topraklar!$K$7&lt;&gt;Bitkiler!$C$10)),0,MAX(0,1-(Ayarlar!$B$2*ABS(Bitkiler!$D$10-Topraklar!$D$7)+Ayarlar!$B$3*ABS(Bitkiler!$E$10-Topraklar!$E$7)+Ayarlar!$B$4*ABS(Bitkiler!$F$10-Topraklar!$F$7)+Ayarlar!$B$5*ABS(Bitkiler!$G$10-Topraklar!$G$7)+Ayarlar!$B$6*IF(Bitkiler!$H$10=Topraklar!$H$7,0,1))/Ayarlar!$B$7)+IF(Topraklar!$K$7=Bitkiler!$C$10,0.002,IF(Topraklar!$L$7="Evet",0.001,0)))</f>
        <v/>
      </c>
      <c r="H11" s="16">
        <f>IF(OR(Topraklar!$J$8="Evet",AND(Topraklar!$L$8&lt;&gt;"Evet",Topraklar!$K$8&lt;&gt;Bitkiler!$C$10)),0,MAX(0,1-(Ayarlar!$B$2*ABS(Bitkiler!$D$10-Topraklar!$D$8)+Ayarlar!$B$3*ABS(Bitkiler!$E$10-Topraklar!$E$8)+Ayarlar!$B$4*ABS(Bitkiler!$F$10-Topraklar!$F$8)+Ayarlar!$B$5*ABS(Bitkiler!$G$10-Topraklar!$G$8)+Ayarlar!$B$6*IF(Bitkiler!$H$10=Topraklar!$H$8,0,1))/Ayarlar!$B$7)+IF(Topraklar!$K$8=Bitkiler!$C$10,0.002,IF(Topraklar!$L$8="Evet",0.001,0)))</f>
        <v/>
      </c>
      <c r="I11" s="16">
        <f>IF(OR(Topraklar!$J$9="Evet",AND(Topraklar!$L$9&lt;&gt;"Evet",Topraklar!$K$9&lt;&gt;Bitkiler!$C$10)),0,MAX(0,1-(Ayarlar!$B$2*ABS(Bitkiler!$D$10-Topraklar!$D$9)+Ayarlar!$B$3*ABS(Bitkiler!$E$10-Topraklar!$E$9)+Ayarlar!$B$4*ABS(Bitkiler!$F$10-Topraklar!$F$9)+Ayarlar!$B$5*ABS(Bitkiler!$G$10-Topraklar!$G$9)+Ayarlar!$B$6*IF(Bitkiler!$H$10=Topraklar!$H$9,0,1))/Ayarlar!$B$7)+IF(Topraklar!$K$9=Bitkiler!$C$10,0.002,IF(Topraklar!$L$9="Evet",0.001,0)))</f>
        <v/>
      </c>
      <c r="J11" s="16">
        <f>IF(OR(Topraklar!$J$10="Evet",AND(Topraklar!$L$10&lt;&gt;"Evet",Topraklar!$K$10&lt;&gt;Bitkiler!$C$10)),0,MAX(0,1-(Ayarlar!$B$2*ABS(Bitkiler!$D$10-Topraklar!$D$10)+Ayarlar!$B$3*ABS(Bitkiler!$E$10-Topraklar!$E$10)+Ayarlar!$B$4*ABS(Bitkiler!$F$10-Topraklar!$F$10)+Ayarlar!$B$5*ABS(Bitkiler!$G$10-Topraklar!$G$10)+Ayarlar!$B$6*IF(Bitkiler!$H$10=Topraklar!$H$10,0,1))/Ayarlar!$B$7)+IF(Topraklar!$K$10=Bitkiler!$C$10,0.002,IF(Topraklar!$L$10="Evet",0.001,0)))</f>
        <v/>
      </c>
      <c r="K11" s="16">
        <f>IF(OR(Topraklar!$J$11="Evet",AND(Topraklar!$L$11&lt;&gt;"Evet",Topraklar!$K$11&lt;&gt;Bitkiler!$C$10)),0,MAX(0,1-(Ayarlar!$B$2*ABS(Bitkiler!$D$10-Topraklar!$D$11)+Ayarlar!$B$3*ABS(Bitkiler!$E$10-Topraklar!$E$11)+Ayarlar!$B$4*ABS(Bitkiler!$F$10-Topraklar!$F$11)+Ayarlar!$B$5*ABS(Bitkiler!$G$10-Topraklar!$G$11)+Ayarlar!$B$6*IF(Bitkiler!$H$10=Topraklar!$H$11,0,1))/Ayarlar!$B$7)+IF(Topraklar!$K$11=Bitkiler!$C$10,0.002,IF(Topraklar!$L$11="Evet",0.001,0)))</f>
        <v/>
      </c>
      <c r="L11" s="16">
        <f>IF(OR(Topraklar!$J$12="Evet",AND(Topraklar!$L$12&lt;&gt;"Evet",Topraklar!$K$12&lt;&gt;Bitkiler!$C$10)),0,MAX(0,1-(Ayarlar!$B$2*ABS(Bitkiler!$D$10-Topraklar!$D$12)+Ayarlar!$B$3*ABS(Bitkiler!$E$10-Topraklar!$E$12)+Ayarlar!$B$4*ABS(Bitkiler!$F$10-Topraklar!$F$12)+Ayarlar!$B$5*ABS(Bitkiler!$G$10-Topraklar!$G$12)+Ayarlar!$B$6*IF(Bitkiler!$H$10=Topraklar!$H$12,0,1))/Ayarlar!$B$7)+IF(Topraklar!$K$12=Bitkiler!$C$10,0.002,IF(Topraklar!$L$12="Evet",0.001,0)))</f>
        <v/>
      </c>
      <c r="M11" s="16">
        <f>IF(OR(Topraklar!$J$13="Evet",AND(Topraklar!$L$13&lt;&gt;"Evet",Topraklar!$K$13&lt;&gt;Bitkiler!$C$10)),0,MAX(0,1-(Ayarlar!$B$2*ABS(Bitkiler!$D$10-Topraklar!$D$13)+Ayarlar!$B$3*ABS(Bitkiler!$E$10-Topraklar!$E$13)+Ayarlar!$B$4*ABS(Bitkiler!$F$10-Topraklar!$F$13)+Ayarlar!$B$5*ABS(Bitkiler!$G$10-Topraklar!$G$13)+Ayarlar!$B$6*IF(Bitkiler!$H$10=Topraklar!$H$13,0,1))/Ayarlar!$B$7)+IF(Topraklar!$K$13=Bitkiler!$C$10,0.002,IF(Topraklar!$L$13="Evet",0.001,0)))</f>
        <v/>
      </c>
      <c r="N11" s="16">
        <f>IF(OR(Topraklar!$J$14="Evet",AND(Topraklar!$L$14&lt;&gt;"Evet",Topraklar!$K$14&lt;&gt;Bitkiler!$C$10)),0,MAX(0,1-(Ayarlar!$B$2*ABS(Bitkiler!$D$10-Topraklar!$D$14)+Ayarlar!$B$3*ABS(Bitkiler!$E$10-Topraklar!$E$14)+Ayarlar!$B$4*ABS(Bitkiler!$F$10-Topraklar!$F$14)+Ayarlar!$B$5*ABS(Bitkiler!$G$10-Topraklar!$G$14)+Ayarlar!$B$6*IF(Bitkiler!$H$10=Topraklar!$H$14,0,1))/Ayarlar!$B$7)+IF(Topraklar!$K$14=Bitkiler!$C$10,0.002,IF(Topraklar!$L$14="Evet",0.001,0)))</f>
        <v/>
      </c>
      <c r="O11" s="16">
        <f>IF(OR(Topraklar!$J$15="Evet",AND(Topraklar!$L$15&lt;&gt;"Evet",Topraklar!$K$15&lt;&gt;Bitkiler!$C$10)),0,MAX(0,1-(Ayarlar!$B$2*ABS(Bitkiler!$D$10-Topraklar!$D$15)+Ayarlar!$B$3*ABS(Bitkiler!$E$10-Topraklar!$E$15)+Ayarlar!$B$4*ABS(Bitkiler!$F$10-Topraklar!$F$15)+Ayarlar!$B$5*ABS(Bitkiler!$G$10-Topraklar!$G$15)+Ayarlar!$B$6*IF(Bitkiler!$H$10=Topraklar!$H$15,0,1))/Ayarlar!$B$7)+IF(Topraklar!$K$15=Bitkiler!$C$10,0.002,IF(Topraklar!$L$15="Evet",0.001,0)))</f>
        <v/>
      </c>
      <c r="P11" s="16">
        <f>IF(OR(Topraklar!$J$16="Evet",AND(Topraklar!$L$16&lt;&gt;"Evet",Topraklar!$K$16&lt;&gt;Bitkiler!$C$10)),0,MAX(0,1-(Ayarlar!$B$2*ABS(Bitkiler!$D$10-Topraklar!$D$16)+Ayarlar!$B$3*ABS(Bitkiler!$E$10-Topraklar!$E$16)+Ayarlar!$B$4*ABS(Bitkiler!$F$10-Topraklar!$F$16)+Ayarlar!$B$5*ABS(Bitkiler!$G$10-Topraklar!$G$16)+Ayarlar!$B$6*IF(Bitkiler!$H$10=Topraklar!$H$16,0,1))/Ayarlar!$B$7)+IF(Topraklar!$K$16=Bitkiler!$C$10,0.002,IF(Topraklar!$L$16="Evet",0.001,0)))</f>
        <v/>
      </c>
      <c r="Q11" s="16">
        <f>IF(OR(Topraklar!$J$17="Evet",AND(Topraklar!$L$17&lt;&gt;"Evet",Topraklar!$K$17&lt;&gt;Bitkiler!$C$10)),0,MAX(0,1-(Ayarlar!$B$2*ABS(Bitkiler!$D$10-Topraklar!$D$17)+Ayarlar!$B$3*ABS(Bitkiler!$E$10-Topraklar!$E$17)+Ayarlar!$B$4*ABS(Bitkiler!$F$10-Topraklar!$F$17)+Ayarlar!$B$5*ABS(Bitkiler!$G$10-Topraklar!$G$17)+Ayarlar!$B$6*IF(Bitkiler!$H$10=Topraklar!$H$17,0,1))/Ayarlar!$B$7)+IF(Topraklar!$K$17=Bitkiler!$C$10,0.002,IF(Topraklar!$L$17="Evet",0.001,0)))</f>
        <v/>
      </c>
      <c r="R11" s="16">
        <f>IF(OR(Topraklar!$J$18="Evet",AND(Topraklar!$L$18&lt;&gt;"Evet",Topraklar!$K$18&lt;&gt;Bitkiler!$C$10)),0,MAX(0,1-(Ayarlar!$B$2*ABS(Bitkiler!$D$10-Topraklar!$D$18)+Ayarlar!$B$3*ABS(Bitkiler!$E$10-Topraklar!$E$18)+Ayarlar!$B$4*ABS(Bitkiler!$F$10-Topraklar!$F$18)+Ayarlar!$B$5*ABS(Bitkiler!$G$10-Topraklar!$G$18)+Ayarlar!$B$6*IF(Bitkiler!$H$10=Topraklar!$H$18,0,1))/Ayarlar!$B$7)+IF(Topraklar!$K$18=Bitkiler!$C$10,0.002,IF(Topraklar!$L$18="Evet",0.001,0)))</f>
        <v/>
      </c>
      <c r="S11" s="16">
        <f>IF(OR(Topraklar!$J$19="Evet",AND(Topraklar!$L$19&lt;&gt;"Evet",Topraklar!$K$19&lt;&gt;Bitkiler!$C$10)),0,MAX(0,1-(Ayarlar!$B$2*ABS(Bitkiler!$D$10-Topraklar!$D$19)+Ayarlar!$B$3*ABS(Bitkiler!$E$10-Topraklar!$E$19)+Ayarlar!$B$4*ABS(Bitkiler!$F$10-Topraklar!$F$19)+Ayarlar!$B$5*ABS(Bitkiler!$G$10-Topraklar!$G$19)+Ayarlar!$B$6*IF(Bitkiler!$H$10=Topraklar!$H$19,0,1))/Ayarlar!$B$7)+IF(Topraklar!$K$19=Bitkiler!$C$10,0.002,IF(Topraklar!$L$19="Evet",0.001,0)))</f>
        <v/>
      </c>
      <c r="T11" s="16">
        <f>IF(OR(Topraklar!$J$20="Evet",AND(Topraklar!$L$20&lt;&gt;"Evet",Topraklar!$K$20&lt;&gt;Bitkiler!$C$10)),0,MAX(0,1-(Ayarlar!$B$2*ABS(Bitkiler!$D$10-Topraklar!$D$20)+Ayarlar!$B$3*ABS(Bitkiler!$E$10-Topraklar!$E$20)+Ayarlar!$B$4*ABS(Bitkiler!$F$10-Topraklar!$F$20)+Ayarlar!$B$5*ABS(Bitkiler!$G$10-Topraklar!$G$20)+Ayarlar!$B$6*IF(Bitkiler!$H$10=Topraklar!$H$20,0,1))/Ayarlar!$B$7)+IF(Topraklar!$K$20=Bitkiler!$C$10,0.002,IF(Topraklar!$L$20="Evet",0.001,0)))</f>
        <v/>
      </c>
      <c r="U11" s="16">
        <f>IF(OR(Topraklar!$J$21="Evet",AND(Topraklar!$L$21&lt;&gt;"Evet",Topraklar!$K$21&lt;&gt;Bitkiler!$C$10)),0,MAX(0,1-(Ayarlar!$B$2*ABS(Bitkiler!$D$10-Topraklar!$D$21)+Ayarlar!$B$3*ABS(Bitkiler!$E$10-Topraklar!$E$21)+Ayarlar!$B$4*ABS(Bitkiler!$F$10-Topraklar!$F$21)+Ayarlar!$B$5*ABS(Bitkiler!$G$10-Topraklar!$G$21)+Ayarlar!$B$6*IF(Bitkiler!$H$10=Topraklar!$H$21,0,1))/Ayarlar!$B$7)+IF(Topraklar!$K$21=Bitkiler!$C$10,0.002,IF(Topraklar!$L$21="Evet",0.001,0)))</f>
        <v/>
      </c>
      <c r="V11" s="16">
        <f>IF(OR(Topraklar!$J$22="Evet",AND(Topraklar!$L$22&lt;&gt;"Evet",Topraklar!$K$22&lt;&gt;Bitkiler!$C$10)),0,MAX(0,1-(Ayarlar!$B$2*ABS(Bitkiler!$D$10-Topraklar!$D$22)+Ayarlar!$B$3*ABS(Bitkiler!$E$10-Topraklar!$E$22)+Ayarlar!$B$4*ABS(Bitkiler!$F$10-Topraklar!$F$22)+Ayarlar!$B$5*ABS(Bitkiler!$G$10-Topraklar!$G$22)+Ayarlar!$B$6*IF(Bitkiler!$H$10=Topraklar!$H$22,0,1))/Ayarlar!$B$7)+IF(Topraklar!$K$22=Bitkiler!$C$10,0.002,IF(Topraklar!$L$22="Evet",0.001,0)))</f>
        <v/>
      </c>
      <c r="W11" s="16">
        <f>IF(OR(Topraklar!$J$23="Evet",AND(Topraklar!$L$23&lt;&gt;"Evet",Topraklar!$K$23&lt;&gt;Bitkiler!$C$10)),0,MAX(0,1-(Ayarlar!$B$2*ABS(Bitkiler!$D$10-Topraklar!$D$23)+Ayarlar!$B$3*ABS(Bitkiler!$E$10-Topraklar!$E$23)+Ayarlar!$B$4*ABS(Bitkiler!$F$10-Topraklar!$F$23)+Ayarlar!$B$5*ABS(Bitkiler!$G$10-Topraklar!$G$23)+Ayarlar!$B$6*IF(Bitkiler!$H$10=Topraklar!$H$23,0,1))/Ayarlar!$B$7)+IF(Topraklar!$K$23=Bitkiler!$C$10,0.002,IF(Topraklar!$L$23="Evet",0.001,0)))</f>
        <v/>
      </c>
      <c r="X11" s="16">
        <f>IF(OR(Topraklar!$J$24="Evet",AND(Topraklar!$L$24&lt;&gt;"Evet",Topraklar!$K$24&lt;&gt;Bitkiler!$C$10)),0,MAX(0,1-(Ayarlar!$B$2*ABS(Bitkiler!$D$10-Topraklar!$D$24)+Ayarlar!$B$3*ABS(Bitkiler!$E$10-Topraklar!$E$24)+Ayarlar!$B$4*ABS(Bitkiler!$F$10-Topraklar!$F$24)+Ayarlar!$B$5*ABS(Bitkiler!$G$10-Topraklar!$G$24)+Ayarlar!$B$6*IF(Bitkiler!$H$10=Topraklar!$H$24,0,1))/Ayarlar!$B$7)+IF(Topraklar!$K$24=Bitkiler!$C$10,0.002,IF(Topraklar!$L$24="Evet",0.001,0)))</f>
        <v/>
      </c>
      <c r="Y11" s="16">
        <f>IF(OR(Topraklar!$J$25="Evet",AND(Topraklar!$L$25&lt;&gt;"Evet",Topraklar!$K$25&lt;&gt;Bitkiler!$C$10)),0,MAX(0,1-(Ayarlar!$B$2*ABS(Bitkiler!$D$10-Topraklar!$D$25)+Ayarlar!$B$3*ABS(Bitkiler!$E$10-Topraklar!$E$25)+Ayarlar!$B$4*ABS(Bitkiler!$F$10-Topraklar!$F$25)+Ayarlar!$B$5*ABS(Bitkiler!$G$10-Topraklar!$G$25)+Ayarlar!$B$6*IF(Bitkiler!$H$10=Topraklar!$H$25,0,1))/Ayarlar!$B$7)+IF(Topraklar!$K$25=Bitkiler!$C$10,0.002,IF(Topraklar!$L$25="Evet",0.001,0)))</f>
        <v/>
      </c>
      <c r="Z11" s="16">
        <f>IF(OR(Topraklar!$J$26="Evet",AND(Topraklar!$L$26&lt;&gt;"Evet",Topraklar!$K$26&lt;&gt;Bitkiler!$C$10)),0,MAX(0,1-(Ayarlar!$B$2*ABS(Bitkiler!$D$10-Topraklar!$D$26)+Ayarlar!$B$3*ABS(Bitkiler!$E$10-Topraklar!$E$26)+Ayarlar!$B$4*ABS(Bitkiler!$F$10-Topraklar!$F$26)+Ayarlar!$B$5*ABS(Bitkiler!$G$10-Topraklar!$G$26)+Ayarlar!$B$6*IF(Bitkiler!$H$10=Topraklar!$H$26,0,1))/Ayarlar!$B$7)+IF(Topraklar!$K$26=Bitkiler!$C$10,0.002,IF(Topraklar!$L$26="Evet",0.001,0)))</f>
        <v/>
      </c>
      <c r="AA11" s="16">
        <f>IF(OR(Topraklar!$J$27="Evet",AND(Topraklar!$L$27&lt;&gt;"Evet",Topraklar!$K$27&lt;&gt;Bitkiler!$C$10)),0,MAX(0,1-(Ayarlar!$B$2*ABS(Bitkiler!$D$10-Topraklar!$D$27)+Ayarlar!$B$3*ABS(Bitkiler!$E$10-Topraklar!$E$27)+Ayarlar!$B$4*ABS(Bitkiler!$F$10-Topraklar!$F$27)+Ayarlar!$B$5*ABS(Bitkiler!$G$10-Topraklar!$G$27)+Ayarlar!$B$6*IF(Bitkiler!$H$10=Topraklar!$H$27,0,1))/Ayarlar!$B$7)+IF(Topraklar!$K$27=Bitkiler!$C$10,0.002,IF(Topraklar!$L$27="Evet",0.001,0)))</f>
        <v/>
      </c>
      <c r="AB11" s="16">
        <f>IF(OR(Topraklar!$J$28="Evet",AND(Topraklar!$L$28&lt;&gt;"Evet",Topraklar!$K$28&lt;&gt;Bitkiler!$C$10)),0,MAX(0,1-(Ayarlar!$B$2*ABS(Bitkiler!$D$10-Topraklar!$D$28)+Ayarlar!$B$3*ABS(Bitkiler!$E$10-Topraklar!$E$28)+Ayarlar!$B$4*ABS(Bitkiler!$F$10-Topraklar!$F$28)+Ayarlar!$B$5*ABS(Bitkiler!$G$10-Topraklar!$G$28)+Ayarlar!$B$6*IF(Bitkiler!$H$10=Topraklar!$H$28,0,1))/Ayarlar!$B$7)+IF(Topraklar!$K$28=Bitkiler!$C$10,0.002,IF(Topraklar!$L$28="Evet",0.001,0)))</f>
        <v/>
      </c>
      <c r="AC11" s="16">
        <f>IF(OR(Topraklar!$J$29="Evet",AND(Topraklar!$L$29&lt;&gt;"Evet",Topraklar!$K$29&lt;&gt;Bitkiler!$C$10)),0,MAX(0,1-(Ayarlar!$B$2*ABS(Bitkiler!$D$10-Topraklar!$D$29)+Ayarlar!$B$3*ABS(Bitkiler!$E$10-Topraklar!$E$29)+Ayarlar!$B$4*ABS(Bitkiler!$F$10-Topraklar!$F$29)+Ayarlar!$B$5*ABS(Bitkiler!$G$10-Topraklar!$G$29)+Ayarlar!$B$6*IF(Bitkiler!$H$10=Topraklar!$H$29,0,1))/Ayarlar!$B$7)+IF(Topraklar!$K$29=Bitkiler!$C$10,0.002,IF(Topraklar!$L$29="Evet",0.001,0)))</f>
        <v/>
      </c>
      <c r="AD11" s="16">
        <f>IF(OR(Topraklar!$J$30="Evet",AND(Topraklar!$L$30&lt;&gt;"Evet",Topraklar!$K$30&lt;&gt;Bitkiler!$C$10)),0,MAX(0,1-(Ayarlar!$B$2*ABS(Bitkiler!$D$10-Topraklar!$D$30)+Ayarlar!$B$3*ABS(Bitkiler!$E$10-Topraklar!$E$30)+Ayarlar!$B$4*ABS(Bitkiler!$F$10-Topraklar!$F$30)+Ayarlar!$B$5*ABS(Bitkiler!$G$10-Topraklar!$G$30)+Ayarlar!$B$6*IF(Bitkiler!$H$10=Topraklar!$H$30,0,1))/Ayarlar!$B$7)+IF(Topraklar!$K$30=Bitkiler!$C$10,0.002,IF(Topraklar!$L$30="Evet",0.001,0)))</f>
        <v/>
      </c>
      <c r="AE11" s="16">
        <f>IF(OR(Topraklar!$J$31="Evet",AND(Topraklar!$L$31&lt;&gt;"Evet",Topraklar!$K$31&lt;&gt;Bitkiler!$C$10)),0,MAX(0,1-(Ayarlar!$B$2*ABS(Bitkiler!$D$10-Topraklar!$D$31)+Ayarlar!$B$3*ABS(Bitkiler!$E$10-Topraklar!$E$31)+Ayarlar!$B$4*ABS(Bitkiler!$F$10-Topraklar!$F$31)+Ayarlar!$B$5*ABS(Bitkiler!$G$10-Topraklar!$G$31)+Ayarlar!$B$6*IF(Bitkiler!$H$10=Topraklar!$H$31,0,1))/Ayarlar!$B$7)+IF(Topraklar!$K$31=Bitkiler!$C$10,0.002,IF(Topraklar!$L$31="Evet",0.001,0)))</f>
        <v/>
      </c>
      <c r="AF11" s="16">
        <f>IF(OR(Topraklar!$J$32="Evet",AND(Topraklar!$L$32&lt;&gt;"Evet",Topraklar!$K$32&lt;&gt;Bitkiler!$C$10)),0,MAX(0,1-(Ayarlar!$B$2*ABS(Bitkiler!$D$10-Topraklar!$D$32)+Ayarlar!$B$3*ABS(Bitkiler!$E$10-Topraklar!$E$32)+Ayarlar!$B$4*ABS(Bitkiler!$F$10-Topraklar!$F$32)+Ayarlar!$B$5*ABS(Bitkiler!$G$10-Topraklar!$G$32)+Ayarlar!$B$6*IF(Bitkiler!$H$10=Topraklar!$H$32,0,1))/Ayarlar!$B$7)+IF(Topraklar!$K$32=Bitkiler!$C$10,0.002,IF(Topraklar!$L$32="Evet",0.001,0)))</f>
        <v/>
      </c>
      <c r="AG11" s="16">
        <f>IF(OR(Topraklar!$J$33="Evet",AND(Topraklar!$L$33&lt;&gt;"Evet",Topraklar!$K$33&lt;&gt;Bitkiler!$C$10)),0,MAX(0,1-(Ayarlar!$B$2*ABS(Bitkiler!$D$10-Topraklar!$D$33)+Ayarlar!$B$3*ABS(Bitkiler!$E$10-Topraklar!$E$33)+Ayarlar!$B$4*ABS(Bitkiler!$F$10-Topraklar!$F$33)+Ayarlar!$B$5*ABS(Bitkiler!$G$10-Topraklar!$G$33)+Ayarlar!$B$6*IF(Bitkiler!$H$10=Topraklar!$H$33,0,1))/Ayarlar!$B$7)+IF(Topraklar!$K$33=Bitkiler!$C$10,0.002,IF(Topraklar!$L$33="Evet",0.001,0)))</f>
        <v/>
      </c>
      <c r="AH11" s="16">
        <f>IF(OR(Topraklar!$J$34="Evet",AND(Topraklar!$L$34&lt;&gt;"Evet",Topraklar!$K$34&lt;&gt;Bitkiler!$C$10)),0,MAX(0,1-(Ayarlar!$B$2*ABS(Bitkiler!$D$10-Topraklar!$D$34)+Ayarlar!$B$3*ABS(Bitkiler!$E$10-Topraklar!$E$34)+Ayarlar!$B$4*ABS(Bitkiler!$F$10-Topraklar!$F$34)+Ayarlar!$B$5*ABS(Bitkiler!$G$10-Topraklar!$G$34)+Ayarlar!$B$6*IF(Bitkiler!$H$10=Topraklar!$H$34,0,1))/Ayarlar!$B$7)+IF(Topraklar!$K$34=Bitkiler!$C$10,0.002,IF(Topraklar!$L$34="Evet",0.001,0)))</f>
        <v/>
      </c>
      <c r="AI11" s="16">
        <f>IF(OR(Topraklar!$J$35="Evet",AND(Topraklar!$L$35&lt;&gt;"Evet",Topraklar!$K$35&lt;&gt;Bitkiler!$C$10)),0,MAX(0,1-(Ayarlar!$B$2*ABS(Bitkiler!$D$10-Topraklar!$D$35)+Ayarlar!$B$3*ABS(Bitkiler!$E$10-Topraklar!$E$35)+Ayarlar!$B$4*ABS(Bitkiler!$F$10-Topraklar!$F$35)+Ayarlar!$B$5*ABS(Bitkiler!$G$10-Topraklar!$G$35)+Ayarlar!$B$6*IF(Bitkiler!$H$10=Topraklar!$H$35,0,1))/Ayarlar!$B$7)+IF(Topraklar!$K$35=Bitkiler!$C$10,0.002,IF(Topraklar!$L$35="Evet",0.001,0)))</f>
        <v/>
      </c>
      <c r="AJ11" s="16">
        <f>IF(OR(Topraklar!$J$36="Evet",AND(Topraklar!$L$36&lt;&gt;"Evet",Topraklar!$K$36&lt;&gt;Bitkiler!$C$10)),0,MAX(0,1-(Ayarlar!$B$2*ABS(Bitkiler!$D$10-Topraklar!$D$36)+Ayarlar!$B$3*ABS(Bitkiler!$E$10-Topraklar!$E$36)+Ayarlar!$B$4*ABS(Bitkiler!$F$10-Topraklar!$F$36)+Ayarlar!$B$5*ABS(Bitkiler!$G$10-Topraklar!$G$36)+Ayarlar!$B$6*IF(Bitkiler!$H$10=Topraklar!$H$36,0,1))/Ayarlar!$B$7)+IF(Topraklar!$K$36=Bitkiler!$C$10,0.002,IF(Topraklar!$L$36="Evet",0.001,0)))</f>
        <v/>
      </c>
      <c r="AK11" s="16">
        <f>IF(OR(Topraklar!$J$37="Evet",AND(Topraklar!$L$37&lt;&gt;"Evet",Topraklar!$K$37&lt;&gt;Bitkiler!$C$10)),0,MAX(0,1-(Ayarlar!$B$2*ABS(Bitkiler!$D$10-Topraklar!$D$37)+Ayarlar!$B$3*ABS(Bitkiler!$E$10-Topraklar!$E$37)+Ayarlar!$B$4*ABS(Bitkiler!$F$10-Topraklar!$F$37)+Ayarlar!$B$5*ABS(Bitkiler!$G$10-Topraklar!$G$37)+Ayarlar!$B$6*IF(Bitkiler!$H$10=Topraklar!$H$37,0,1))/Ayarlar!$B$7)+IF(Topraklar!$K$37=Bitkiler!$C$10,0.002,IF(Topraklar!$L$37="Evet",0.001,0)))</f>
        <v/>
      </c>
      <c r="AL11" s="16">
        <f>IF(OR(Topraklar!$J$38="Evet",AND(Topraklar!$L$38&lt;&gt;"Evet",Topraklar!$K$38&lt;&gt;Bitkiler!$C$10)),0,MAX(0,1-(Ayarlar!$B$2*ABS(Bitkiler!$D$10-Topraklar!$D$38)+Ayarlar!$B$3*ABS(Bitkiler!$E$10-Topraklar!$E$38)+Ayarlar!$B$4*ABS(Bitkiler!$F$10-Topraklar!$F$38)+Ayarlar!$B$5*ABS(Bitkiler!$G$10-Topraklar!$G$38)+Ayarlar!$B$6*IF(Bitkiler!$H$10=Topraklar!$H$38,0,1))/Ayarlar!$B$7)+IF(Topraklar!$K$38=Bitkiler!$C$10,0.002,IF(Topraklar!$L$38="Evet",0.001,0)))</f>
        <v/>
      </c>
      <c r="AM11" s="16">
        <f>IF(OR(Topraklar!$J$39="Evet",AND(Topraklar!$L$39&lt;&gt;"Evet",Topraklar!$K$39&lt;&gt;Bitkiler!$C$10)),0,MAX(0,1-(Ayarlar!$B$2*ABS(Bitkiler!$D$10-Topraklar!$D$39)+Ayarlar!$B$3*ABS(Bitkiler!$E$10-Topraklar!$E$39)+Ayarlar!$B$4*ABS(Bitkiler!$F$10-Topraklar!$F$39)+Ayarlar!$B$5*ABS(Bitkiler!$G$10-Topraklar!$G$39)+Ayarlar!$B$6*IF(Bitkiler!$H$10=Topraklar!$H$39,0,1))/Ayarlar!$B$7)+IF(Topraklar!$K$39=Bitkiler!$C$10,0.002,IF(Topraklar!$L$39="Evet",0.001,0)))</f>
        <v/>
      </c>
      <c r="AN11" s="16">
        <f>IF(OR(Topraklar!$J$40="Evet",AND(Topraklar!$L$40&lt;&gt;"Evet",Topraklar!$K$40&lt;&gt;Bitkiler!$C$10)),0,MAX(0,1-(Ayarlar!$B$2*ABS(Bitkiler!$D$10-Topraklar!$D$40)+Ayarlar!$B$3*ABS(Bitkiler!$E$10-Topraklar!$E$40)+Ayarlar!$B$4*ABS(Bitkiler!$F$10-Topraklar!$F$40)+Ayarlar!$B$5*ABS(Bitkiler!$G$10-Topraklar!$G$40)+Ayarlar!$B$6*IF(Bitkiler!$H$10=Topraklar!$H$40,0,1))/Ayarlar!$B$7)+IF(Topraklar!$K$40=Bitkiler!$C$10,0.002,IF(Topraklar!$L$40="Evet",0.001,0)))</f>
        <v/>
      </c>
      <c r="AO11" s="16">
        <f>IF(OR(Topraklar!$J$41="Evet",AND(Topraklar!$L$41&lt;&gt;"Evet",Topraklar!$K$41&lt;&gt;Bitkiler!$C$10)),0,MAX(0,1-(Ayarlar!$B$2*ABS(Bitkiler!$D$10-Topraklar!$D$41)+Ayarlar!$B$3*ABS(Bitkiler!$E$10-Topraklar!$E$41)+Ayarlar!$B$4*ABS(Bitkiler!$F$10-Topraklar!$F$41)+Ayarlar!$B$5*ABS(Bitkiler!$G$10-Topraklar!$G$41)+Ayarlar!$B$6*IF(Bitkiler!$H$10=Topraklar!$H$41,0,1))/Ayarlar!$B$7)+IF(Topraklar!$K$41=Bitkiler!$C$10,0.002,IF(Topraklar!$L$41="Evet",0.001,0)))</f>
        <v/>
      </c>
      <c r="AP11" s="16">
        <f>IF(OR(Topraklar!$J$42="Evet",AND(Topraklar!$L$42&lt;&gt;"Evet",Topraklar!$K$42&lt;&gt;Bitkiler!$C$10)),0,MAX(0,1-(Ayarlar!$B$2*ABS(Bitkiler!$D$10-Topraklar!$D$42)+Ayarlar!$B$3*ABS(Bitkiler!$E$10-Topraklar!$E$42)+Ayarlar!$B$4*ABS(Bitkiler!$F$10-Topraklar!$F$42)+Ayarlar!$B$5*ABS(Bitkiler!$G$10-Topraklar!$G$42)+Ayarlar!$B$6*IF(Bitkiler!$H$10=Topraklar!$H$42,0,1))/Ayarlar!$B$7)+IF(Topraklar!$K$42=Bitkiler!$C$10,0.002,IF(Topraklar!$L$42="Evet",0.001,0)))</f>
        <v/>
      </c>
      <c r="AQ11" s="16">
        <f>IF(OR(Topraklar!$J$43="Evet",AND(Topraklar!$L$43&lt;&gt;"Evet",Topraklar!$K$43&lt;&gt;Bitkiler!$C$10)),0,MAX(0,1-(Ayarlar!$B$2*ABS(Bitkiler!$D$10-Topraklar!$D$43)+Ayarlar!$B$3*ABS(Bitkiler!$E$10-Topraklar!$E$43)+Ayarlar!$B$4*ABS(Bitkiler!$F$10-Topraklar!$F$43)+Ayarlar!$B$5*ABS(Bitkiler!$G$10-Topraklar!$G$43)+Ayarlar!$B$6*IF(Bitkiler!$H$10=Topraklar!$H$43,0,1))/Ayarlar!$B$7)+IF(Topraklar!$K$43=Bitkiler!$C$10,0.002,IF(Topraklar!$L$43="Evet",0.001,0)))</f>
        <v/>
      </c>
      <c r="AR11" s="16">
        <f>IF(OR(Topraklar!$J$44="Evet",AND(Topraklar!$L$44&lt;&gt;"Evet",Topraklar!$K$44&lt;&gt;Bitkiler!$C$10)),0,MAX(0,1-(Ayarlar!$B$2*ABS(Bitkiler!$D$10-Topraklar!$D$44)+Ayarlar!$B$3*ABS(Bitkiler!$E$10-Topraklar!$E$44)+Ayarlar!$B$4*ABS(Bitkiler!$F$10-Topraklar!$F$44)+Ayarlar!$B$5*ABS(Bitkiler!$G$10-Topraklar!$G$44)+Ayarlar!$B$6*IF(Bitkiler!$H$10=Topraklar!$H$44,0,1))/Ayarlar!$B$7)+IF(Topraklar!$K$44=Bitkiler!$C$10,0.002,IF(Topraklar!$L$44="Evet",0.001,0)))</f>
        <v/>
      </c>
      <c r="AS11" s="16">
        <f>IF(OR(Topraklar!$J$45="Evet",AND(Topraklar!$L$45&lt;&gt;"Evet",Topraklar!$K$45&lt;&gt;Bitkiler!$C$10)),0,MAX(0,1-(Ayarlar!$B$2*ABS(Bitkiler!$D$10-Topraklar!$D$45)+Ayarlar!$B$3*ABS(Bitkiler!$E$10-Topraklar!$E$45)+Ayarlar!$B$4*ABS(Bitkiler!$F$10-Topraklar!$F$45)+Ayarlar!$B$5*ABS(Bitkiler!$G$10-Topraklar!$G$45)+Ayarlar!$B$6*IF(Bitkiler!$H$10=Topraklar!$H$45,0,1))/Ayarlar!$B$7)+IF(Topraklar!$K$45=Bitkiler!$C$10,0.002,IF(Topraklar!$L$45="Evet",0.001,0)))</f>
        <v/>
      </c>
      <c r="AT11" s="16">
        <f>IF(OR(Topraklar!$J$46="Evet",AND(Topraklar!$L$46&lt;&gt;"Evet",Topraklar!$K$46&lt;&gt;Bitkiler!$C$10)),0,MAX(0,1-(Ayarlar!$B$2*ABS(Bitkiler!$D$10-Topraklar!$D$46)+Ayarlar!$B$3*ABS(Bitkiler!$E$10-Topraklar!$E$46)+Ayarlar!$B$4*ABS(Bitkiler!$F$10-Topraklar!$F$46)+Ayarlar!$B$5*ABS(Bitkiler!$G$10-Topraklar!$G$46)+Ayarlar!$B$6*IF(Bitkiler!$H$10=Topraklar!$H$46,0,1))/Ayarlar!$B$7)+IF(Topraklar!$K$46=Bitkiler!$C$10,0.002,IF(Topraklar!$L$46="Evet",0.001,0)))</f>
        <v/>
      </c>
      <c r="AU11" s="16">
        <f>IF(OR(Topraklar!$J$47="Evet",AND(Topraklar!$L$47&lt;&gt;"Evet",Topraklar!$K$47&lt;&gt;Bitkiler!$C$10)),0,MAX(0,1-(Ayarlar!$B$2*ABS(Bitkiler!$D$10-Topraklar!$D$47)+Ayarlar!$B$3*ABS(Bitkiler!$E$10-Topraklar!$E$47)+Ayarlar!$B$4*ABS(Bitkiler!$F$10-Topraklar!$F$47)+Ayarlar!$B$5*ABS(Bitkiler!$G$10-Topraklar!$G$47)+Ayarlar!$B$6*IF(Bitkiler!$H$10=Topraklar!$H$47,0,1))/Ayarlar!$B$7)+IF(Topraklar!$K$47=Bitkiler!$C$10,0.002,IF(Topraklar!$L$47="Evet",0.001,0)))</f>
        <v/>
      </c>
      <c r="AV11" s="16">
        <f>IF(OR(Topraklar!$J$48="Evet",AND(Topraklar!$L$48&lt;&gt;"Evet",Topraklar!$K$48&lt;&gt;Bitkiler!$C$10)),0,MAX(0,1-(Ayarlar!$B$2*ABS(Bitkiler!$D$10-Topraklar!$D$48)+Ayarlar!$B$3*ABS(Bitkiler!$E$10-Topraklar!$E$48)+Ayarlar!$B$4*ABS(Bitkiler!$F$10-Topraklar!$F$48)+Ayarlar!$B$5*ABS(Bitkiler!$G$10-Topraklar!$G$48)+Ayarlar!$B$6*IF(Bitkiler!$H$10=Topraklar!$H$48,0,1))/Ayarlar!$B$7)+IF(Topraklar!$K$48=Bitkiler!$C$10,0.002,IF(Topraklar!$L$48="Evet",0.001,0)))</f>
        <v/>
      </c>
      <c r="AW11" s="16">
        <f>IF(OR(Topraklar!$J$49="Evet",AND(Topraklar!$L$49&lt;&gt;"Evet",Topraklar!$K$49&lt;&gt;Bitkiler!$C$10)),0,MAX(0,1-(Ayarlar!$B$2*ABS(Bitkiler!$D$10-Topraklar!$D$49)+Ayarlar!$B$3*ABS(Bitkiler!$E$10-Topraklar!$E$49)+Ayarlar!$B$4*ABS(Bitkiler!$F$10-Topraklar!$F$49)+Ayarlar!$B$5*ABS(Bitkiler!$G$10-Topraklar!$G$49)+Ayarlar!$B$6*IF(Bitkiler!$H$10=Topraklar!$H$49,0,1))/Ayarlar!$B$7)+IF(Topraklar!$K$49=Bitkiler!$C$10,0.002,IF(Topraklar!$L$49="Evet",0.001,0)))</f>
        <v/>
      </c>
      <c r="AX11" s="16">
        <f>IF(OR(Topraklar!$J$50="Evet",AND(Topraklar!$L$50&lt;&gt;"Evet",Topraklar!$K$50&lt;&gt;Bitkiler!$C$10)),0,MAX(0,1-(Ayarlar!$B$2*ABS(Bitkiler!$D$10-Topraklar!$D$50)+Ayarlar!$B$3*ABS(Bitkiler!$E$10-Topraklar!$E$50)+Ayarlar!$B$4*ABS(Bitkiler!$F$10-Topraklar!$F$50)+Ayarlar!$B$5*ABS(Bitkiler!$G$10-Topraklar!$G$50)+Ayarlar!$B$6*IF(Bitkiler!$H$10=Topraklar!$H$50,0,1))/Ayarlar!$B$7)+IF(Topraklar!$K$50=Bitkiler!$C$10,0.002,IF(Topraklar!$L$50="Evet",0.001,0)))</f>
        <v/>
      </c>
      <c r="AY11" s="16">
        <f>IF(OR(Topraklar!$J$51="Evet",AND(Topraklar!$L$51&lt;&gt;"Evet",Topraklar!$K$51&lt;&gt;Bitkiler!$C$10)),0,MAX(0,1-(Ayarlar!$B$2*ABS(Bitkiler!$D$10-Topraklar!$D$51)+Ayarlar!$B$3*ABS(Bitkiler!$E$10-Topraklar!$E$51)+Ayarlar!$B$4*ABS(Bitkiler!$F$10-Topraklar!$F$51)+Ayarlar!$B$5*ABS(Bitkiler!$G$10-Topraklar!$G$51)+Ayarlar!$B$6*IF(Bitkiler!$H$10=Topraklar!$H$51,0,1))/Ayarlar!$B$7)+IF(Topraklar!$K$51=Bitkiler!$C$10,0.002,IF(Topraklar!$L$51="Evet",0.001,0)))</f>
        <v/>
      </c>
    </row>
    <row r="12">
      <c r="A12" s="15">
        <f>Bitkiler!A11</f>
        <v/>
      </c>
      <c r="B12" s="16">
        <f>IF(OR(Topraklar!$J$2="Evet",AND(Topraklar!$L$2&lt;&gt;"Evet",Topraklar!$K$2&lt;&gt;Bitkiler!$C$11)),0,MAX(0,1-(Ayarlar!$B$2*ABS(Bitkiler!$D$11-Topraklar!$D$2)+Ayarlar!$B$3*ABS(Bitkiler!$E$11-Topraklar!$E$2)+Ayarlar!$B$4*ABS(Bitkiler!$F$11-Topraklar!$F$2)+Ayarlar!$B$5*ABS(Bitkiler!$G$11-Topraklar!$G$2)+Ayarlar!$B$6*IF(Bitkiler!$H$11=Topraklar!$H$2,0,1))/Ayarlar!$B$7)+IF(Topraklar!$K$2=Bitkiler!$C$11,0.002,IF(Topraklar!$L$2="Evet",0.001,0)))</f>
        <v/>
      </c>
      <c r="C12" s="16">
        <f>IF(OR(Topraklar!$J$3="Evet",AND(Topraklar!$L$3&lt;&gt;"Evet",Topraklar!$K$3&lt;&gt;Bitkiler!$C$11)),0,MAX(0,1-(Ayarlar!$B$2*ABS(Bitkiler!$D$11-Topraklar!$D$3)+Ayarlar!$B$3*ABS(Bitkiler!$E$11-Topraklar!$E$3)+Ayarlar!$B$4*ABS(Bitkiler!$F$11-Topraklar!$F$3)+Ayarlar!$B$5*ABS(Bitkiler!$G$11-Topraklar!$G$3)+Ayarlar!$B$6*IF(Bitkiler!$H$11=Topraklar!$H$3,0,1))/Ayarlar!$B$7)+IF(Topraklar!$K$3=Bitkiler!$C$11,0.002,IF(Topraklar!$L$3="Evet",0.001,0)))</f>
        <v/>
      </c>
      <c r="D12" s="16">
        <f>IF(OR(Topraklar!$J$4="Evet",AND(Topraklar!$L$4&lt;&gt;"Evet",Topraklar!$K$4&lt;&gt;Bitkiler!$C$11)),0,MAX(0,1-(Ayarlar!$B$2*ABS(Bitkiler!$D$11-Topraklar!$D$4)+Ayarlar!$B$3*ABS(Bitkiler!$E$11-Topraklar!$E$4)+Ayarlar!$B$4*ABS(Bitkiler!$F$11-Topraklar!$F$4)+Ayarlar!$B$5*ABS(Bitkiler!$G$11-Topraklar!$G$4)+Ayarlar!$B$6*IF(Bitkiler!$H$11=Topraklar!$H$4,0,1))/Ayarlar!$B$7)+IF(Topraklar!$K$4=Bitkiler!$C$11,0.002,IF(Topraklar!$L$4="Evet",0.001,0)))</f>
        <v/>
      </c>
      <c r="E12" s="16">
        <f>IF(OR(Topraklar!$J$5="Evet",AND(Topraklar!$L$5&lt;&gt;"Evet",Topraklar!$K$5&lt;&gt;Bitkiler!$C$11)),0,MAX(0,1-(Ayarlar!$B$2*ABS(Bitkiler!$D$11-Topraklar!$D$5)+Ayarlar!$B$3*ABS(Bitkiler!$E$11-Topraklar!$E$5)+Ayarlar!$B$4*ABS(Bitkiler!$F$11-Topraklar!$F$5)+Ayarlar!$B$5*ABS(Bitkiler!$G$11-Topraklar!$G$5)+Ayarlar!$B$6*IF(Bitkiler!$H$11=Topraklar!$H$5,0,1))/Ayarlar!$B$7)+IF(Topraklar!$K$5=Bitkiler!$C$11,0.002,IF(Topraklar!$L$5="Evet",0.001,0)))</f>
        <v/>
      </c>
      <c r="F12" s="16">
        <f>IF(OR(Topraklar!$J$6="Evet",AND(Topraklar!$L$6&lt;&gt;"Evet",Topraklar!$K$6&lt;&gt;Bitkiler!$C$11)),0,MAX(0,1-(Ayarlar!$B$2*ABS(Bitkiler!$D$11-Topraklar!$D$6)+Ayarlar!$B$3*ABS(Bitkiler!$E$11-Topraklar!$E$6)+Ayarlar!$B$4*ABS(Bitkiler!$F$11-Topraklar!$F$6)+Ayarlar!$B$5*ABS(Bitkiler!$G$11-Topraklar!$G$6)+Ayarlar!$B$6*IF(Bitkiler!$H$11=Topraklar!$H$6,0,1))/Ayarlar!$B$7)+IF(Topraklar!$K$6=Bitkiler!$C$11,0.002,IF(Topraklar!$L$6="Evet",0.001,0)))</f>
        <v/>
      </c>
      <c r="G12" s="16">
        <f>IF(OR(Topraklar!$J$7="Evet",AND(Topraklar!$L$7&lt;&gt;"Evet",Topraklar!$K$7&lt;&gt;Bitkiler!$C$11)),0,MAX(0,1-(Ayarlar!$B$2*ABS(Bitkiler!$D$11-Topraklar!$D$7)+Ayarlar!$B$3*ABS(Bitkiler!$E$11-Topraklar!$E$7)+Ayarlar!$B$4*ABS(Bitkiler!$F$11-Topraklar!$F$7)+Ayarlar!$B$5*ABS(Bitkiler!$G$11-Topraklar!$G$7)+Ayarlar!$B$6*IF(Bitkiler!$H$11=Topraklar!$H$7,0,1))/Ayarlar!$B$7)+IF(Topraklar!$K$7=Bitkiler!$C$11,0.002,IF(Topraklar!$L$7="Evet",0.001,0)))</f>
        <v/>
      </c>
      <c r="H12" s="16">
        <f>IF(OR(Topraklar!$J$8="Evet",AND(Topraklar!$L$8&lt;&gt;"Evet",Topraklar!$K$8&lt;&gt;Bitkiler!$C$11)),0,MAX(0,1-(Ayarlar!$B$2*ABS(Bitkiler!$D$11-Topraklar!$D$8)+Ayarlar!$B$3*ABS(Bitkiler!$E$11-Topraklar!$E$8)+Ayarlar!$B$4*ABS(Bitkiler!$F$11-Topraklar!$F$8)+Ayarlar!$B$5*ABS(Bitkiler!$G$11-Topraklar!$G$8)+Ayarlar!$B$6*IF(Bitkiler!$H$11=Topraklar!$H$8,0,1))/Ayarlar!$B$7)+IF(Topraklar!$K$8=Bitkiler!$C$11,0.002,IF(Topraklar!$L$8="Evet",0.001,0)))</f>
        <v/>
      </c>
      <c r="I12" s="16">
        <f>IF(OR(Topraklar!$J$9="Evet",AND(Topraklar!$L$9&lt;&gt;"Evet",Topraklar!$K$9&lt;&gt;Bitkiler!$C$11)),0,MAX(0,1-(Ayarlar!$B$2*ABS(Bitkiler!$D$11-Topraklar!$D$9)+Ayarlar!$B$3*ABS(Bitkiler!$E$11-Topraklar!$E$9)+Ayarlar!$B$4*ABS(Bitkiler!$F$11-Topraklar!$F$9)+Ayarlar!$B$5*ABS(Bitkiler!$G$11-Topraklar!$G$9)+Ayarlar!$B$6*IF(Bitkiler!$H$11=Topraklar!$H$9,0,1))/Ayarlar!$B$7)+IF(Topraklar!$K$9=Bitkiler!$C$11,0.002,IF(Topraklar!$L$9="Evet",0.001,0)))</f>
        <v/>
      </c>
      <c r="J12" s="16">
        <f>IF(OR(Topraklar!$J$10="Evet",AND(Topraklar!$L$10&lt;&gt;"Evet",Topraklar!$K$10&lt;&gt;Bitkiler!$C$11)),0,MAX(0,1-(Ayarlar!$B$2*ABS(Bitkiler!$D$11-Topraklar!$D$10)+Ayarlar!$B$3*ABS(Bitkiler!$E$11-Topraklar!$E$10)+Ayarlar!$B$4*ABS(Bitkiler!$F$11-Topraklar!$F$10)+Ayarlar!$B$5*ABS(Bitkiler!$G$11-Topraklar!$G$10)+Ayarlar!$B$6*IF(Bitkiler!$H$11=Topraklar!$H$10,0,1))/Ayarlar!$B$7)+IF(Topraklar!$K$10=Bitkiler!$C$11,0.002,IF(Topraklar!$L$10="Evet",0.001,0)))</f>
        <v/>
      </c>
      <c r="K12" s="16">
        <f>IF(OR(Topraklar!$J$11="Evet",AND(Topraklar!$L$11&lt;&gt;"Evet",Topraklar!$K$11&lt;&gt;Bitkiler!$C$11)),0,MAX(0,1-(Ayarlar!$B$2*ABS(Bitkiler!$D$11-Topraklar!$D$11)+Ayarlar!$B$3*ABS(Bitkiler!$E$11-Topraklar!$E$11)+Ayarlar!$B$4*ABS(Bitkiler!$F$11-Topraklar!$F$11)+Ayarlar!$B$5*ABS(Bitkiler!$G$11-Topraklar!$G$11)+Ayarlar!$B$6*IF(Bitkiler!$H$11=Topraklar!$H$11,0,1))/Ayarlar!$B$7)+IF(Topraklar!$K$11=Bitkiler!$C$11,0.002,IF(Topraklar!$L$11="Evet",0.001,0)))</f>
        <v/>
      </c>
      <c r="L12" s="16">
        <f>IF(OR(Topraklar!$J$12="Evet",AND(Topraklar!$L$12&lt;&gt;"Evet",Topraklar!$K$12&lt;&gt;Bitkiler!$C$11)),0,MAX(0,1-(Ayarlar!$B$2*ABS(Bitkiler!$D$11-Topraklar!$D$12)+Ayarlar!$B$3*ABS(Bitkiler!$E$11-Topraklar!$E$12)+Ayarlar!$B$4*ABS(Bitkiler!$F$11-Topraklar!$F$12)+Ayarlar!$B$5*ABS(Bitkiler!$G$11-Topraklar!$G$12)+Ayarlar!$B$6*IF(Bitkiler!$H$11=Topraklar!$H$12,0,1))/Ayarlar!$B$7)+IF(Topraklar!$K$12=Bitkiler!$C$11,0.002,IF(Topraklar!$L$12="Evet",0.001,0)))</f>
        <v/>
      </c>
      <c r="M12" s="16">
        <f>IF(OR(Topraklar!$J$13="Evet",AND(Topraklar!$L$13&lt;&gt;"Evet",Topraklar!$K$13&lt;&gt;Bitkiler!$C$11)),0,MAX(0,1-(Ayarlar!$B$2*ABS(Bitkiler!$D$11-Topraklar!$D$13)+Ayarlar!$B$3*ABS(Bitkiler!$E$11-Topraklar!$E$13)+Ayarlar!$B$4*ABS(Bitkiler!$F$11-Topraklar!$F$13)+Ayarlar!$B$5*ABS(Bitkiler!$G$11-Topraklar!$G$13)+Ayarlar!$B$6*IF(Bitkiler!$H$11=Topraklar!$H$13,0,1))/Ayarlar!$B$7)+IF(Topraklar!$K$13=Bitkiler!$C$11,0.002,IF(Topraklar!$L$13="Evet",0.001,0)))</f>
        <v/>
      </c>
      <c r="N12" s="16">
        <f>IF(OR(Topraklar!$J$14="Evet",AND(Topraklar!$L$14&lt;&gt;"Evet",Topraklar!$K$14&lt;&gt;Bitkiler!$C$11)),0,MAX(0,1-(Ayarlar!$B$2*ABS(Bitkiler!$D$11-Topraklar!$D$14)+Ayarlar!$B$3*ABS(Bitkiler!$E$11-Topraklar!$E$14)+Ayarlar!$B$4*ABS(Bitkiler!$F$11-Topraklar!$F$14)+Ayarlar!$B$5*ABS(Bitkiler!$G$11-Topraklar!$G$14)+Ayarlar!$B$6*IF(Bitkiler!$H$11=Topraklar!$H$14,0,1))/Ayarlar!$B$7)+IF(Topraklar!$K$14=Bitkiler!$C$11,0.002,IF(Topraklar!$L$14="Evet",0.001,0)))</f>
        <v/>
      </c>
      <c r="O12" s="16">
        <f>IF(OR(Topraklar!$J$15="Evet",AND(Topraklar!$L$15&lt;&gt;"Evet",Topraklar!$K$15&lt;&gt;Bitkiler!$C$11)),0,MAX(0,1-(Ayarlar!$B$2*ABS(Bitkiler!$D$11-Topraklar!$D$15)+Ayarlar!$B$3*ABS(Bitkiler!$E$11-Topraklar!$E$15)+Ayarlar!$B$4*ABS(Bitkiler!$F$11-Topraklar!$F$15)+Ayarlar!$B$5*ABS(Bitkiler!$G$11-Topraklar!$G$15)+Ayarlar!$B$6*IF(Bitkiler!$H$11=Topraklar!$H$15,0,1))/Ayarlar!$B$7)+IF(Topraklar!$K$15=Bitkiler!$C$11,0.002,IF(Topraklar!$L$15="Evet",0.001,0)))</f>
        <v/>
      </c>
      <c r="P12" s="16">
        <f>IF(OR(Topraklar!$J$16="Evet",AND(Topraklar!$L$16&lt;&gt;"Evet",Topraklar!$K$16&lt;&gt;Bitkiler!$C$11)),0,MAX(0,1-(Ayarlar!$B$2*ABS(Bitkiler!$D$11-Topraklar!$D$16)+Ayarlar!$B$3*ABS(Bitkiler!$E$11-Topraklar!$E$16)+Ayarlar!$B$4*ABS(Bitkiler!$F$11-Topraklar!$F$16)+Ayarlar!$B$5*ABS(Bitkiler!$G$11-Topraklar!$G$16)+Ayarlar!$B$6*IF(Bitkiler!$H$11=Topraklar!$H$16,0,1))/Ayarlar!$B$7)+IF(Topraklar!$K$16=Bitkiler!$C$11,0.002,IF(Topraklar!$L$16="Evet",0.001,0)))</f>
        <v/>
      </c>
      <c r="Q12" s="16">
        <f>IF(OR(Topraklar!$J$17="Evet",AND(Topraklar!$L$17&lt;&gt;"Evet",Topraklar!$K$17&lt;&gt;Bitkiler!$C$11)),0,MAX(0,1-(Ayarlar!$B$2*ABS(Bitkiler!$D$11-Topraklar!$D$17)+Ayarlar!$B$3*ABS(Bitkiler!$E$11-Topraklar!$E$17)+Ayarlar!$B$4*ABS(Bitkiler!$F$11-Topraklar!$F$17)+Ayarlar!$B$5*ABS(Bitkiler!$G$11-Topraklar!$G$17)+Ayarlar!$B$6*IF(Bitkiler!$H$11=Topraklar!$H$17,0,1))/Ayarlar!$B$7)+IF(Topraklar!$K$17=Bitkiler!$C$11,0.002,IF(Topraklar!$L$17="Evet",0.001,0)))</f>
        <v/>
      </c>
      <c r="R12" s="16">
        <f>IF(OR(Topraklar!$J$18="Evet",AND(Topraklar!$L$18&lt;&gt;"Evet",Topraklar!$K$18&lt;&gt;Bitkiler!$C$11)),0,MAX(0,1-(Ayarlar!$B$2*ABS(Bitkiler!$D$11-Topraklar!$D$18)+Ayarlar!$B$3*ABS(Bitkiler!$E$11-Topraklar!$E$18)+Ayarlar!$B$4*ABS(Bitkiler!$F$11-Topraklar!$F$18)+Ayarlar!$B$5*ABS(Bitkiler!$G$11-Topraklar!$G$18)+Ayarlar!$B$6*IF(Bitkiler!$H$11=Topraklar!$H$18,0,1))/Ayarlar!$B$7)+IF(Topraklar!$K$18=Bitkiler!$C$11,0.002,IF(Topraklar!$L$18="Evet",0.001,0)))</f>
        <v/>
      </c>
      <c r="S12" s="16">
        <f>IF(OR(Topraklar!$J$19="Evet",AND(Topraklar!$L$19&lt;&gt;"Evet",Topraklar!$K$19&lt;&gt;Bitkiler!$C$11)),0,MAX(0,1-(Ayarlar!$B$2*ABS(Bitkiler!$D$11-Topraklar!$D$19)+Ayarlar!$B$3*ABS(Bitkiler!$E$11-Topraklar!$E$19)+Ayarlar!$B$4*ABS(Bitkiler!$F$11-Topraklar!$F$19)+Ayarlar!$B$5*ABS(Bitkiler!$G$11-Topraklar!$G$19)+Ayarlar!$B$6*IF(Bitkiler!$H$11=Topraklar!$H$19,0,1))/Ayarlar!$B$7)+IF(Topraklar!$K$19=Bitkiler!$C$11,0.002,IF(Topraklar!$L$19="Evet",0.001,0)))</f>
        <v/>
      </c>
      <c r="T12" s="16">
        <f>IF(OR(Topraklar!$J$20="Evet",AND(Topraklar!$L$20&lt;&gt;"Evet",Topraklar!$K$20&lt;&gt;Bitkiler!$C$11)),0,MAX(0,1-(Ayarlar!$B$2*ABS(Bitkiler!$D$11-Topraklar!$D$20)+Ayarlar!$B$3*ABS(Bitkiler!$E$11-Topraklar!$E$20)+Ayarlar!$B$4*ABS(Bitkiler!$F$11-Topraklar!$F$20)+Ayarlar!$B$5*ABS(Bitkiler!$G$11-Topraklar!$G$20)+Ayarlar!$B$6*IF(Bitkiler!$H$11=Topraklar!$H$20,0,1))/Ayarlar!$B$7)+IF(Topraklar!$K$20=Bitkiler!$C$11,0.002,IF(Topraklar!$L$20="Evet",0.001,0)))</f>
        <v/>
      </c>
      <c r="U12" s="16">
        <f>IF(OR(Topraklar!$J$21="Evet",AND(Topraklar!$L$21&lt;&gt;"Evet",Topraklar!$K$21&lt;&gt;Bitkiler!$C$11)),0,MAX(0,1-(Ayarlar!$B$2*ABS(Bitkiler!$D$11-Topraklar!$D$21)+Ayarlar!$B$3*ABS(Bitkiler!$E$11-Topraklar!$E$21)+Ayarlar!$B$4*ABS(Bitkiler!$F$11-Topraklar!$F$21)+Ayarlar!$B$5*ABS(Bitkiler!$G$11-Topraklar!$G$21)+Ayarlar!$B$6*IF(Bitkiler!$H$11=Topraklar!$H$21,0,1))/Ayarlar!$B$7)+IF(Topraklar!$K$21=Bitkiler!$C$11,0.002,IF(Topraklar!$L$21="Evet",0.001,0)))</f>
        <v/>
      </c>
      <c r="V12" s="16">
        <f>IF(OR(Topraklar!$J$22="Evet",AND(Topraklar!$L$22&lt;&gt;"Evet",Topraklar!$K$22&lt;&gt;Bitkiler!$C$11)),0,MAX(0,1-(Ayarlar!$B$2*ABS(Bitkiler!$D$11-Topraklar!$D$22)+Ayarlar!$B$3*ABS(Bitkiler!$E$11-Topraklar!$E$22)+Ayarlar!$B$4*ABS(Bitkiler!$F$11-Topraklar!$F$22)+Ayarlar!$B$5*ABS(Bitkiler!$G$11-Topraklar!$G$22)+Ayarlar!$B$6*IF(Bitkiler!$H$11=Topraklar!$H$22,0,1))/Ayarlar!$B$7)+IF(Topraklar!$K$22=Bitkiler!$C$11,0.002,IF(Topraklar!$L$22="Evet",0.001,0)))</f>
        <v/>
      </c>
      <c r="W12" s="16">
        <f>IF(OR(Topraklar!$J$23="Evet",AND(Topraklar!$L$23&lt;&gt;"Evet",Topraklar!$K$23&lt;&gt;Bitkiler!$C$11)),0,MAX(0,1-(Ayarlar!$B$2*ABS(Bitkiler!$D$11-Topraklar!$D$23)+Ayarlar!$B$3*ABS(Bitkiler!$E$11-Topraklar!$E$23)+Ayarlar!$B$4*ABS(Bitkiler!$F$11-Topraklar!$F$23)+Ayarlar!$B$5*ABS(Bitkiler!$G$11-Topraklar!$G$23)+Ayarlar!$B$6*IF(Bitkiler!$H$11=Topraklar!$H$23,0,1))/Ayarlar!$B$7)+IF(Topraklar!$K$23=Bitkiler!$C$11,0.002,IF(Topraklar!$L$23="Evet",0.001,0)))</f>
        <v/>
      </c>
      <c r="X12" s="16">
        <f>IF(OR(Topraklar!$J$24="Evet",AND(Topraklar!$L$24&lt;&gt;"Evet",Topraklar!$K$24&lt;&gt;Bitkiler!$C$11)),0,MAX(0,1-(Ayarlar!$B$2*ABS(Bitkiler!$D$11-Topraklar!$D$24)+Ayarlar!$B$3*ABS(Bitkiler!$E$11-Topraklar!$E$24)+Ayarlar!$B$4*ABS(Bitkiler!$F$11-Topraklar!$F$24)+Ayarlar!$B$5*ABS(Bitkiler!$G$11-Topraklar!$G$24)+Ayarlar!$B$6*IF(Bitkiler!$H$11=Topraklar!$H$24,0,1))/Ayarlar!$B$7)+IF(Topraklar!$K$24=Bitkiler!$C$11,0.002,IF(Topraklar!$L$24="Evet",0.001,0)))</f>
        <v/>
      </c>
      <c r="Y12" s="16">
        <f>IF(OR(Topraklar!$J$25="Evet",AND(Topraklar!$L$25&lt;&gt;"Evet",Topraklar!$K$25&lt;&gt;Bitkiler!$C$11)),0,MAX(0,1-(Ayarlar!$B$2*ABS(Bitkiler!$D$11-Topraklar!$D$25)+Ayarlar!$B$3*ABS(Bitkiler!$E$11-Topraklar!$E$25)+Ayarlar!$B$4*ABS(Bitkiler!$F$11-Topraklar!$F$25)+Ayarlar!$B$5*ABS(Bitkiler!$G$11-Topraklar!$G$25)+Ayarlar!$B$6*IF(Bitkiler!$H$11=Topraklar!$H$25,0,1))/Ayarlar!$B$7)+IF(Topraklar!$K$25=Bitkiler!$C$11,0.002,IF(Topraklar!$L$25="Evet",0.001,0)))</f>
        <v/>
      </c>
      <c r="Z12" s="16">
        <f>IF(OR(Topraklar!$J$26="Evet",AND(Topraklar!$L$26&lt;&gt;"Evet",Topraklar!$K$26&lt;&gt;Bitkiler!$C$11)),0,MAX(0,1-(Ayarlar!$B$2*ABS(Bitkiler!$D$11-Topraklar!$D$26)+Ayarlar!$B$3*ABS(Bitkiler!$E$11-Topraklar!$E$26)+Ayarlar!$B$4*ABS(Bitkiler!$F$11-Topraklar!$F$26)+Ayarlar!$B$5*ABS(Bitkiler!$G$11-Topraklar!$G$26)+Ayarlar!$B$6*IF(Bitkiler!$H$11=Topraklar!$H$26,0,1))/Ayarlar!$B$7)+IF(Topraklar!$K$26=Bitkiler!$C$11,0.002,IF(Topraklar!$L$26="Evet",0.001,0)))</f>
        <v/>
      </c>
      <c r="AA12" s="16">
        <f>IF(OR(Topraklar!$J$27="Evet",AND(Topraklar!$L$27&lt;&gt;"Evet",Topraklar!$K$27&lt;&gt;Bitkiler!$C$11)),0,MAX(0,1-(Ayarlar!$B$2*ABS(Bitkiler!$D$11-Topraklar!$D$27)+Ayarlar!$B$3*ABS(Bitkiler!$E$11-Topraklar!$E$27)+Ayarlar!$B$4*ABS(Bitkiler!$F$11-Topraklar!$F$27)+Ayarlar!$B$5*ABS(Bitkiler!$G$11-Topraklar!$G$27)+Ayarlar!$B$6*IF(Bitkiler!$H$11=Topraklar!$H$27,0,1))/Ayarlar!$B$7)+IF(Topraklar!$K$27=Bitkiler!$C$11,0.002,IF(Topraklar!$L$27="Evet",0.001,0)))</f>
        <v/>
      </c>
      <c r="AB12" s="16">
        <f>IF(OR(Topraklar!$J$28="Evet",AND(Topraklar!$L$28&lt;&gt;"Evet",Topraklar!$K$28&lt;&gt;Bitkiler!$C$11)),0,MAX(0,1-(Ayarlar!$B$2*ABS(Bitkiler!$D$11-Topraklar!$D$28)+Ayarlar!$B$3*ABS(Bitkiler!$E$11-Topraklar!$E$28)+Ayarlar!$B$4*ABS(Bitkiler!$F$11-Topraklar!$F$28)+Ayarlar!$B$5*ABS(Bitkiler!$G$11-Topraklar!$G$28)+Ayarlar!$B$6*IF(Bitkiler!$H$11=Topraklar!$H$28,0,1))/Ayarlar!$B$7)+IF(Topraklar!$K$28=Bitkiler!$C$11,0.002,IF(Topraklar!$L$28="Evet",0.001,0)))</f>
        <v/>
      </c>
      <c r="AC12" s="16">
        <f>IF(OR(Topraklar!$J$29="Evet",AND(Topraklar!$L$29&lt;&gt;"Evet",Topraklar!$K$29&lt;&gt;Bitkiler!$C$11)),0,MAX(0,1-(Ayarlar!$B$2*ABS(Bitkiler!$D$11-Topraklar!$D$29)+Ayarlar!$B$3*ABS(Bitkiler!$E$11-Topraklar!$E$29)+Ayarlar!$B$4*ABS(Bitkiler!$F$11-Topraklar!$F$29)+Ayarlar!$B$5*ABS(Bitkiler!$G$11-Topraklar!$G$29)+Ayarlar!$B$6*IF(Bitkiler!$H$11=Topraklar!$H$29,0,1))/Ayarlar!$B$7)+IF(Topraklar!$K$29=Bitkiler!$C$11,0.002,IF(Topraklar!$L$29="Evet",0.001,0)))</f>
        <v/>
      </c>
      <c r="AD12" s="16">
        <f>IF(OR(Topraklar!$J$30="Evet",AND(Topraklar!$L$30&lt;&gt;"Evet",Topraklar!$K$30&lt;&gt;Bitkiler!$C$11)),0,MAX(0,1-(Ayarlar!$B$2*ABS(Bitkiler!$D$11-Topraklar!$D$30)+Ayarlar!$B$3*ABS(Bitkiler!$E$11-Topraklar!$E$30)+Ayarlar!$B$4*ABS(Bitkiler!$F$11-Topraklar!$F$30)+Ayarlar!$B$5*ABS(Bitkiler!$G$11-Topraklar!$G$30)+Ayarlar!$B$6*IF(Bitkiler!$H$11=Topraklar!$H$30,0,1))/Ayarlar!$B$7)+IF(Topraklar!$K$30=Bitkiler!$C$11,0.002,IF(Topraklar!$L$30="Evet",0.001,0)))</f>
        <v/>
      </c>
      <c r="AE12" s="16">
        <f>IF(OR(Topraklar!$J$31="Evet",AND(Topraklar!$L$31&lt;&gt;"Evet",Topraklar!$K$31&lt;&gt;Bitkiler!$C$11)),0,MAX(0,1-(Ayarlar!$B$2*ABS(Bitkiler!$D$11-Topraklar!$D$31)+Ayarlar!$B$3*ABS(Bitkiler!$E$11-Topraklar!$E$31)+Ayarlar!$B$4*ABS(Bitkiler!$F$11-Topraklar!$F$31)+Ayarlar!$B$5*ABS(Bitkiler!$G$11-Topraklar!$G$31)+Ayarlar!$B$6*IF(Bitkiler!$H$11=Topraklar!$H$31,0,1))/Ayarlar!$B$7)+IF(Topraklar!$K$31=Bitkiler!$C$11,0.002,IF(Topraklar!$L$31="Evet",0.001,0)))</f>
        <v/>
      </c>
      <c r="AF12" s="16">
        <f>IF(OR(Topraklar!$J$32="Evet",AND(Topraklar!$L$32&lt;&gt;"Evet",Topraklar!$K$32&lt;&gt;Bitkiler!$C$11)),0,MAX(0,1-(Ayarlar!$B$2*ABS(Bitkiler!$D$11-Topraklar!$D$32)+Ayarlar!$B$3*ABS(Bitkiler!$E$11-Topraklar!$E$32)+Ayarlar!$B$4*ABS(Bitkiler!$F$11-Topraklar!$F$32)+Ayarlar!$B$5*ABS(Bitkiler!$G$11-Topraklar!$G$32)+Ayarlar!$B$6*IF(Bitkiler!$H$11=Topraklar!$H$32,0,1))/Ayarlar!$B$7)+IF(Topraklar!$K$32=Bitkiler!$C$11,0.002,IF(Topraklar!$L$32="Evet",0.001,0)))</f>
        <v/>
      </c>
      <c r="AG12" s="16">
        <f>IF(OR(Topraklar!$J$33="Evet",AND(Topraklar!$L$33&lt;&gt;"Evet",Topraklar!$K$33&lt;&gt;Bitkiler!$C$11)),0,MAX(0,1-(Ayarlar!$B$2*ABS(Bitkiler!$D$11-Topraklar!$D$33)+Ayarlar!$B$3*ABS(Bitkiler!$E$11-Topraklar!$E$33)+Ayarlar!$B$4*ABS(Bitkiler!$F$11-Topraklar!$F$33)+Ayarlar!$B$5*ABS(Bitkiler!$G$11-Topraklar!$G$33)+Ayarlar!$B$6*IF(Bitkiler!$H$11=Topraklar!$H$33,0,1))/Ayarlar!$B$7)+IF(Topraklar!$K$33=Bitkiler!$C$11,0.002,IF(Topraklar!$L$33="Evet",0.001,0)))</f>
        <v/>
      </c>
      <c r="AH12" s="16">
        <f>IF(OR(Topraklar!$J$34="Evet",AND(Topraklar!$L$34&lt;&gt;"Evet",Topraklar!$K$34&lt;&gt;Bitkiler!$C$11)),0,MAX(0,1-(Ayarlar!$B$2*ABS(Bitkiler!$D$11-Topraklar!$D$34)+Ayarlar!$B$3*ABS(Bitkiler!$E$11-Topraklar!$E$34)+Ayarlar!$B$4*ABS(Bitkiler!$F$11-Topraklar!$F$34)+Ayarlar!$B$5*ABS(Bitkiler!$G$11-Topraklar!$G$34)+Ayarlar!$B$6*IF(Bitkiler!$H$11=Topraklar!$H$34,0,1))/Ayarlar!$B$7)+IF(Topraklar!$K$34=Bitkiler!$C$11,0.002,IF(Topraklar!$L$34="Evet",0.001,0)))</f>
        <v/>
      </c>
      <c r="AI12" s="16">
        <f>IF(OR(Topraklar!$J$35="Evet",AND(Topraklar!$L$35&lt;&gt;"Evet",Topraklar!$K$35&lt;&gt;Bitkiler!$C$11)),0,MAX(0,1-(Ayarlar!$B$2*ABS(Bitkiler!$D$11-Topraklar!$D$35)+Ayarlar!$B$3*ABS(Bitkiler!$E$11-Topraklar!$E$35)+Ayarlar!$B$4*ABS(Bitkiler!$F$11-Topraklar!$F$35)+Ayarlar!$B$5*ABS(Bitkiler!$G$11-Topraklar!$G$35)+Ayarlar!$B$6*IF(Bitkiler!$H$11=Topraklar!$H$35,0,1))/Ayarlar!$B$7)+IF(Topraklar!$K$35=Bitkiler!$C$11,0.002,IF(Topraklar!$L$35="Evet",0.001,0)))</f>
        <v/>
      </c>
      <c r="AJ12" s="16">
        <f>IF(OR(Topraklar!$J$36="Evet",AND(Topraklar!$L$36&lt;&gt;"Evet",Topraklar!$K$36&lt;&gt;Bitkiler!$C$11)),0,MAX(0,1-(Ayarlar!$B$2*ABS(Bitkiler!$D$11-Topraklar!$D$36)+Ayarlar!$B$3*ABS(Bitkiler!$E$11-Topraklar!$E$36)+Ayarlar!$B$4*ABS(Bitkiler!$F$11-Topraklar!$F$36)+Ayarlar!$B$5*ABS(Bitkiler!$G$11-Topraklar!$G$36)+Ayarlar!$B$6*IF(Bitkiler!$H$11=Topraklar!$H$36,0,1))/Ayarlar!$B$7)+IF(Topraklar!$K$36=Bitkiler!$C$11,0.002,IF(Topraklar!$L$36="Evet",0.001,0)))</f>
        <v/>
      </c>
      <c r="AK12" s="16">
        <f>IF(OR(Topraklar!$J$37="Evet",AND(Topraklar!$L$37&lt;&gt;"Evet",Topraklar!$K$37&lt;&gt;Bitkiler!$C$11)),0,MAX(0,1-(Ayarlar!$B$2*ABS(Bitkiler!$D$11-Topraklar!$D$37)+Ayarlar!$B$3*ABS(Bitkiler!$E$11-Topraklar!$E$37)+Ayarlar!$B$4*ABS(Bitkiler!$F$11-Topraklar!$F$37)+Ayarlar!$B$5*ABS(Bitkiler!$G$11-Topraklar!$G$37)+Ayarlar!$B$6*IF(Bitkiler!$H$11=Topraklar!$H$37,0,1))/Ayarlar!$B$7)+IF(Topraklar!$K$37=Bitkiler!$C$11,0.002,IF(Topraklar!$L$37="Evet",0.001,0)))</f>
        <v/>
      </c>
      <c r="AL12" s="16">
        <f>IF(OR(Topraklar!$J$38="Evet",AND(Topraklar!$L$38&lt;&gt;"Evet",Topraklar!$K$38&lt;&gt;Bitkiler!$C$11)),0,MAX(0,1-(Ayarlar!$B$2*ABS(Bitkiler!$D$11-Topraklar!$D$38)+Ayarlar!$B$3*ABS(Bitkiler!$E$11-Topraklar!$E$38)+Ayarlar!$B$4*ABS(Bitkiler!$F$11-Topraklar!$F$38)+Ayarlar!$B$5*ABS(Bitkiler!$G$11-Topraklar!$G$38)+Ayarlar!$B$6*IF(Bitkiler!$H$11=Topraklar!$H$38,0,1))/Ayarlar!$B$7)+IF(Topraklar!$K$38=Bitkiler!$C$11,0.002,IF(Topraklar!$L$38="Evet",0.001,0)))</f>
        <v/>
      </c>
      <c r="AM12" s="16">
        <f>IF(OR(Topraklar!$J$39="Evet",AND(Topraklar!$L$39&lt;&gt;"Evet",Topraklar!$K$39&lt;&gt;Bitkiler!$C$11)),0,MAX(0,1-(Ayarlar!$B$2*ABS(Bitkiler!$D$11-Topraklar!$D$39)+Ayarlar!$B$3*ABS(Bitkiler!$E$11-Topraklar!$E$39)+Ayarlar!$B$4*ABS(Bitkiler!$F$11-Topraklar!$F$39)+Ayarlar!$B$5*ABS(Bitkiler!$G$11-Topraklar!$G$39)+Ayarlar!$B$6*IF(Bitkiler!$H$11=Topraklar!$H$39,0,1))/Ayarlar!$B$7)+IF(Topraklar!$K$39=Bitkiler!$C$11,0.002,IF(Topraklar!$L$39="Evet",0.001,0)))</f>
        <v/>
      </c>
      <c r="AN12" s="16">
        <f>IF(OR(Topraklar!$J$40="Evet",AND(Topraklar!$L$40&lt;&gt;"Evet",Topraklar!$K$40&lt;&gt;Bitkiler!$C$11)),0,MAX(0,1-(Ayarlar!$B$2*ABS(Bitkiler!$D$11-Topraklar!$D$40)+Ayarlar!$B$3*ABS(Bitkiler!$E$11-Topraklar!$E$40)+Ayarlar!$B$4*ABS(Bitkiler!$F$11-Topraklar!$F$40)+Ayarlar!$B$5*ABS(Bitkiler!$G$11-Topraklar!$G$40)+Ayarlar!$B$6*IF(Bitkiler!$H$11=Topraklar!$H$40,0,1))/Ayarlar!$B$7)+IF(Topraklar!$K$40=Bitkiler!$C$11,0.002,IF(Topraklar!$L$40="Evet",0.001,0)))</f>
        <v/>
      </c>
      <c r="AO12" s="16">
        <f>IF(OR(Topraklar!$J$41="Evet",AND(Topraklar!$L$41&lt;&gt;"Evet",Topraklar!$K$41&lt;&gt;Bitkiler!$C$11)),0,MAX(0,1-(Ayarlar!$B$2*ABS(Bitkiler!$D$11-Topraklar!$D$41)+Ayarlar!$B$3*ABS(Bitkiler!$E$11-Topraklar!$E$41)+Ayarlar!$B$4*ABS(Bitkiler!$F$11-Topraklar!$F$41)+Ayarlar!$B$5*ABS(Bitkiler!$G$11-Topraklar!$G$41)+Ayarlar!$B$6*IF(Bitkiler!$H$11=Topraklar!$H$41,0,1))/Ayarlar!$B$7)+IF(Topraklar!$K$41=Bitkiler!$C$11,0.002,IF(Topraklar!$L$41="Evet",0.001,0)))</f>
        <v/>
      </c>
      <c r="AP12" s="16">
        <f>IF(OR(Topraklar!$J$42="Evet",AND(Topraklar!$L$42&lt;&gt;"Evet",Topraklar!$K$42&lt;&gt;Bitkiler!$C$11)),0,MAX(0,1-(Ayarlar!$B$2*ABS(Bitkiler!$D$11-Topraklar!$D$42)+Ayarlar!$B$3*ABS(Bitkiler!$E$11-Topraklar!$E$42)+Ayarlar!$B$4*ABS(Bitkiler!$F$11-Topraklar!$F$42)+Ayarlar!$B$5*ABS(Bitkiler!$G$11-Topraklar!$G$42)+Ayarlar!$B$6*IF(Bitkiler!$H$11=Topraklar!$H$42,0,1))/Ayarlar!$B$7)+IF(Topraklar!$K$42=Bitkiler!$C$11,0.002,IF(Topraklar!$L$42="Evet",0.001,0)))</f>
        <v/>
      </c>
      <c r="AQ12" s="16">
        <f>IF(OR(Topraklar!$J$43="Evet",AND(Topraklar!$L$43&lt;&gt;"Evet",Topraklar!$K$43&lt;&gt;Bitkiler!$C$11)),0,MAX(0,1-(Ayarlar!$B$2*ABS(Bitkiler!$D$11-Topraklar!$D$43)+Ayarlar!$B$3*ABS(Bitkiler!$E$11-Topraklar!$E$43)+Ayarlar!$B$4*ABS(Bitkiler!$F$11-Topraklar!$F$43)+Ayarlar!$B$5*ABS(Bitkiler!$G$11-Topraklar!$G$43)+Ayarlar!$B$6*IF(Bitkiler!$H$11=Topraklar!$H$43,0,1))/Ayarlar!$B$7)+IF(Topraklar!$K$43=Bitkiler!$C$11,0.002,IF(Topraklar!$L$43="Evet",0.001,0)))</f>
        <v/>
      </c>
      <c r="AR12" s="16">
        <f>IF(OR(Topraklar!$J$44="Evet",AND(Topraklar!$L$44&lt;&gt;"Evet",Topraklar!$K$44&lt;&gt;Bitkiler!$C$11)),0,MAX(0,1-(Ayarlar!$B$2*ABS(Bitkiler!$D$11-Topraklar!$D$44)+Ayarlar!$B$3*ABS(Bitkiler!$E$11-Topraklar!$E$44)+Ayarlar!$B$4*ABS(Bitkiler!$F$11-Topraklar!$F$44)+Ayarlar!$B$5*ABS(Bitkiler!$G$11-Topraklar!$G$44)+Ayarlar!$B$6*IF(Bitkiler!$H$11=Topraklar!$H$44,0,1))/Ayarlar!$B$7)+IF(Topraklar!$K$44=Bitkiler!$C$11,0.002,IF(Topraklar!$L$44="Evet",0.001,0)))</f>
        <v/>
      </c>
      <c r="AS12" s="16">
        <f>IF(OR(Topraklar!$J$45="Evet",AND(Topraklar!$L$45&lt;&gt;"Evet",Topraklar!$K$45&lt;&gt;Bitkiler!$C$11)),0,MAX(0,1-(Ayarlar!$B$2*ABS(Bitkiler!$D$11-Topraklar!$D$45)+Ayarlar!$B$3*ABS(Bitkiler!$E$11-Topraklar!$E$45)+Ayarlar!$B$4*ABS(Bitkiler!$F$11-Topraklar!$F$45)+Ayarlar!$B$5*ABS(Bitkiler!$G$11-Topraklar!$G$45)+Ayarlar!$B$6*IF(Bitkiler!$H$11=Topraklar!$H$45,0,1))/Ayarlar!$B$7)+IF(Topraklar!$K$45=Bitkiler!$C$11,0.002,IF(Topraklar!$L$45="Evet",0.001,0)))</f>
        <v/>
      </c>
      <c r="AT12" s="16">
        <f>IF(OR(Topraklar!$J$46="Evet",AND(Topraklar!$L$46&lt;&gt;"Evet",Topraklar!$K$46&lt;&gt;Bitkiler!$C$11)),0,MAX(0,1-(Ayarlar!$B$2*ABS(Bitkiler!$D$11-Topraklar!$D$46)+Ayarlar!$B$3*ABS(Bitkiler!$E$11-Topraklar!$E$46)+Ayarlar!$B$4*ABS(Bitkiler!$F$11-Topraklar!$F$46)+Ayarlar!$B$5*ABS(Bitkiler!$G$11-Topraklar!$G$46)+Ayarlar!$B$6*IF(Bitkiler!$H$11=Topraklar!$H$46,0,1))/Ayarlar!$B$7)+IF(Topraklar!$K$46=Bitkiler!$C$11,0.002,IF(Topraklar!$L$46="Evet",0.001,0)))</f>
        <v/>
      </c>
      <c r="AU12" s="16">
        <f>IF(OR(Topraklar!$J$47="Evet",AND(Topraklar!$L$47&lt;&gt;"Evet",Topraklar!$K$47&lt;&gt;Bitkiler!$C$11)),0,MAX(0,1-(Ayarlar!$B$2*ABS(Bitkiler!$D$11-Topraklar!$D$47)+Ayarlar!$B$3*ABS(Bitkiler!$E$11-Topraklar!$E$47)+Ayarlar!$B$4*ABS(Bitkiler!$F$11-Topraklar!$F$47)+Ayarlar!$B$5*ABS(Bitkiler!$G$11-Topraklar!$G$47)+Ayarlar!$B$6*IF(Bitkiler!$H$11=Topraklar!$H$47,0,1))/Ayarlar!$B$7)+IF(Topraklar!$K$47=Bitkiler!$C$11,0.002,IF(Topraklar!$L$47="Evet",0.001,0)))</f>
        <v/>
      </c>
      <c r="AV12" s="16">
        <f>IF(OR(Topraklar!$J$48="Evet",AND(Topraklar!$L$48&lt;&gt;"Evet",Topraklar!$K$48&lt;&gt;Bitkiler!$C$11)),0,MAX(0,1-(Ayarlar!$B$2*ABS(Bitkiler!$D$11-Topraklar!$D$48)+Ayarlar!$B$3*ABS(Bitkiler!$E$11-Topraklar!$E$48)+Ayarlar!$B$4*ABS(Bitkiler!$F$11-Topraklar!$F$48)+Ayarlar!$B$5*ABS(Bitkiler!$G$11-Topraklar!$G$48)+Ayarlar!$B$6*IF(Bitkiler!$H$11=Topraklar!$H$48,0,1))/Ayarlar!$B$7)+IF(Topraklar!$K$48=Bitkiler!$C$11,0.002,IF(Topraklar!$L$48="Evet",0.001,0)))</f>
        <v/>
      </c>
      <c r="AW12" s="16">
        <f>IF(OR(Topraklar!$J$49="Evet",AND(Topraklar!$L$49&lt;&gt;"Evet",Topraklar!$K$49&lt;&gt;Bitkiler!$C$11)),0,MAX(0,1-(Ayarlar!$B$2*ABS(Bitkiler!$D$11-Topraklar!$D$49)+Ayarlar!$B$3*ABS(Bitkiler!$E$11-Topraklar!$E$49)+Ayarlar!$B$4*ABS(Bitkiler!$F$11-Topraklar!$F$49)+Ayarlar!$B$5*ABS(Bitkiler!$G$11-Topraklar!$G$49)+Ayarlar!$B$6*IF(Bitkiler!$H$11=Topraklar!$H$49,0,1))/Ayarlar!$B$7)+IF(Topraklar!$K$49=Bitkiler!$C$11,0.002,IF(Topraklar!$L$49="Evet",0.001,0)))</f>
        <v/>
      </c>
      <c r="AX12" s="16">
        <f>IF(OR(Topraklar!$J$50="Evet",AND(Topraklar!$L$50&lt;&gt;"Evet",Topraklar!$K$50&lt;&gt;Bitkiler!$C$11)),0,MAX(0,1-(Ayarlar!$B$2*ABS(Bitkiler!$D$11-Topraklar!$D$50)+Ayarlar!$B$3*ABS(Bitkiler!$E$11-Topraklar!$E$50)+Ayarlar!$B$4*ABS(Bitkiler!$F$11-Topraklar!$F$50)+Ayarlar!$B$5*ABS(Bitkiler!$G$11-Topraklar!$G$50)+Ayarlar!$B$6*IF(Bitkiler!$H$11=Topraklar!$H$50,0,1))/Ayarlar!$B$7)+IF(Topraklar!$K$50=Bitkiler!$C$11,0.002,IF(Topraklar!$L$50="Evet",0.001,0)))</f>
        <v/>
      </c>
      <c r="AY12" s="16">
        <f>IF(OR(Topraklar!$J$51="Evet",AND(Topraklar!$L$51&lt;&gt;"Evet",Topraklar!$K$51&lt;&gt;Bitkiler!$C$11)),0,MAX(0,1-(Ayarlar!$B$2*ABS(Bitkiler!$D$11-Topraklar!$D$51)+Ayarlar!$B$3*ABS(Bitkiler!$E$11-Topraklar!$E$51)+Ayarlar!$B$4*ABS(Bitkiler!$F$11-Topraklar!$F$51)+Ayarlar!$B$5*ABS(Bitkiler!$G$11-Topraklar!$G$51)+Ayarlar!$B$6*IF(Bitkiler!$H$11=Topraklar!$H$51,0,1))/Ayarlar!$B$7)+IF(Topraklar!$K$51=Bitkiler!$C$11,0.002,IF(Topraklar!$L$51="Evet",0.001,0)))</f>
        <v/>
      </c>
    </row>
    <row r="13">
      <c r="A13" s="15">
        <f>Bitkiler!A12</f>
        <v/>
      </c>
      <c r="B13" s="16">
        <f>IF(OR(Topraklar!$J$2="Evet",AND(Topraklar!$L$2&lt;&gt;"Evet",Topraklar!$K$2&lt;&gt;Bitkiler!$C$12)),0,MAX(0,1-(Ayarlar!$B$2*ABS(Bitkiler!$D$12-Topraklar!$D$2)+Ayarlar!$B$3*ABS(Bitkiler!$E$12-Topraklar!$E$2)+Ayarlar!$B$4*ABS(Bitkiler!$F$12-Topraklar!$F$2)+Ayarlar!$B$5*ABS(Bitkiler!$G$12-Topraklar!$G$2)+Ayarlar!$B$6*IF(Bitkiler!$H$12=Topraklar!$H$2,0,1))/Ayarlar!$B$7)+IF(Topraklar!$K$2=Bitkiler!$C$12,0.002,IF(Topraklar!$L$2="Evet",0.001,0)))</f>
        <v/>
      </c>
      <c r="C13" s="16">
        <f>IF(OR(Topraklar!$J$3="Evet",AND(Topraklar!$L$3&lt;&gt;"Evet",Topraklar!$K$3&lt;&gt;Bitkiler!$C$12)),0,MAX(0,1-(Ayarlar!$B$2*ABS(Bitkiler!$D$12-Topraklar!$D$3)+Ayarlar!$B$3*ABS(Bitkiler!$E$12-Topraklar!$E$3)+Ayarlar!$B$4*ABS(Bitkiler!$F$12-Topraklar!$F$3)+Ayarlar!$B$5*ABS(Bitkiler!$G$12-Topraklar!$G$3)+Ayarlar!$B$6*IF(Bitkiler!$H$12=Topraklar!$H$3,0,1))/Ayarlar!$B$7)+IF(Topraklar!$K$3=Bitkiler!$C$12,0.002,IF(Topraklar!$L$3="Evet",0.001,0)))</f>
        <v/>
      </c>
      <c r="D13" s="16">
        <f>IF(OR(Topraklar!$J$4="Evet",AND(Topraklar!$L$4&lt;&gt;"Evet",Topraklar!$K$4&lt;&gt;Bitkiler!$C$12)),0,MAX(0,1-(Ayarlar!$B$2*ABS(Bitkiler!$D$12-Topraklar!$D$4)+Ayarlar!$B$3*ABS(Bitkiler!$E$12-Topraklar!$E$4)+Ayarlar!$B$4*ABS(Bitkiler!$F$12-Topraklar!$F$4)+Ayarlar!$B$5*ABS(Bitkiler!$G$12-Topraklar!$G$4)+Ayarlar!$B$6*IF(Bitkiler!$H$12=Topraklar!$H$4,0,1))/Ayarlar!$B$7)+IF(Topraklar!$K$4=Bitkiler!$C$12,0.002,IF(Topraklar!$L$4="Evet",0.001,0)))</f>
        <v/>
      </c>
      <c r="E13" s="16">
        <f>IF(OR(Topraklar!$J$5="Evet",AND(Topraklar!$L$5&lt;&gt;"Evet",Topraklar!$K$5&lt;&gt;Bitkiler!$C$12)),0,MAX(0,1-(Ayarlar!$B$2*ABS(Bitkiler!$D$12-Topraklar!$D$5)+Ayarlar!$B$3*ABS(Bitkiler!$E$12-Topraklar!$E$5)+Ayarlar!$B$4*ABS(Bitkiler!$F$12-Topraklar!$F$5)+Ayarlar!$B$5*ABS(Bitkiler!$G$12-Topraklar!$G$5)+Ayarlar!$B$6*IF(Bitkiler!$H$12=Topraklar!$H$5,0,1))/Ayarlar!$B$7)+IF(Topraklar!$K$5=Bitkiler!$C$12,0.002,IF(Topraklar!$L$5="Evet",0.001,0)))</f>
        <v/>
      </c>
      <c r="F13" s="16">
        <f>IF(OR(Topraklar!$J$6="Evet",AND(Topraklar!$L$6&lt;&gt;"Evet",Topraklar!$K$6&lt;&gt;Bitkiler!$C$12)),0,MAX(0,1-(Ayarlar!$B$2*ABS(Bitkiler!$D$12-Topraklar!$D$6)+Ayarlar!$B$3*ABS(Bitkiler!$E$12-Topraklar!$E$6)+Ayarlar!$B$4*ABS(Bitkiler!$F$12-Topraklar!$F$6)+Ayarlar!$B$5*ABS(Bitkiler!$G$12-Topraklar!$G$6)+Ayarlar!$B$6*IF(Bitkiler!$H$12=Topraklar!$H$6,0,1))/Ayarlar!$B$7)+IF(Topraklar!$K$6=Bitkiler!$C$12,0.002,IF(Topraklar!$L$6="Evet",0.001,0)))</f>
        <v/>
      </c>
      <c r="G13" s="16">
        <f>IF(OR(Topraklar!$J$7="Evet",AND(Topraklar!$L$7&lt;&gt;"Evet",Topraklar!$K$7&lt;&gt;Bitkiler!$C$12)),0,MAX(0,1-(Ayarlar!$B$2*ABS(Bitkiler!$D$12-Topraklar!$D$7)+Ayarlar!$B$3*ABS(Bitkiler!$E$12-Topraklar!$E$7)+Ayarlar!$B$4*ABS(Bitkiler!$F$12-Topraklar!$F$7)+Ayarlar!$B$5*ABS(Bitkiler!$G$12-Topraklar!$G$7)+Ayarlar!$B$6*IF(Bitkiler!$H$12=Topraklar!$H$7,0,1))/Ayarlar!$B$7)+IF(Topraklar!$K$7=Bitkiler!$C$12,0.002,IF(Topraklar!$L$7="Evet",0.001,0)))</f>
        <v/>
      </c>
      <c r="H13" s="16">
        <f>IF(OR(Topraklar!$J$8="Evet",AND(Topraklar!$L$8&lt;&gt;"Evet",Topraklar!$K$8&lt;&gt;Bitkiler!$C$12)),0,MAX(0,1-(Ayarlar!$B$2*ABS(Bitkiler!$D$12-Topraklar!$D$8)+Ayarlar!$B$3*ABS(Bitkiler!$E$12-Topraklar!$E$8)+Ayarlar!$B$4*ABS(Bitkiler!$F$12-Topraklar!$F$8)+Ayarlar!$B$5*ABS(Bitkiler!$G$12-Topraklar!$G$8)+Ayarlar!$B$6*IF(Bitkiler!$H$12=Topraklar!$H$8,0,1))/Ayarlar!$B$7)+IF(Topraklar!$K$8=Bitkiler!$C$12,0.002,IF(Topraklar!$L$8="Evet",0.001,0)))</f>
        <v/>
      </c>
      <c r="I13" s="16">
        <f>IF(OR(Topraklar!$J$9="Evet",AND(Topraklar!$L$9&lt;&gt;"Evet",Topraklar!$K$9&lt;&gt;Bitkiler!$C$12)),0,MAX(0,1-(Ayarlar!$B$2*ABS(Bitkiler!$D$12-Topraklar!$D$9)+Ayarlar!$B$3*ABS(Bitkiler!$E$12-Topraklar!$E$9)+Ayarlar!$B$4*ABS(Bitkiler!$F$12-Topraklar!$F$9)+Ayarlar!$B$5*ABS(Bitkiler!$G$12-Topraklar!$G$9)+Ayarlar!$B$6*IF(Bitkiler!$H$12=Topraklar!$H$9,0,1))/Ayarlar!$B$7)+IF(Topraklar!$K$9=Bitkiler!$C$12,0.002,IF(Topraklar!$L$9="Evet",0.001,0)))</f>
        <v/>
      </c>
      <c r="J13" s="16">
        <f>IF(OR(Topraklar!$J$10="Evet",AND(Topraklar!$L$10&lt;&gt;"Evet",Topraklar!$K$10&lt;&gt;Bitkiler!$C$12)),0,MAX(0,1-(Ayarlar!$B$2*ABS(Bitkiler!$D$12-Topraklar!$D$10)+Ayarlar!$B$3*ABS(Bitkiler!$E$12-Topraklar!$E$10)+Ayarlar!$B$4*ABS(Bitkiler!$F$12-Topraklar!$F$10)+Ayarlar!$B$5*ABS(Bitkiler!$G$12-Topraklar!$G$10)+Ayarlar!$B$6*IF(Bitkiler!$H$12=Topraklar!$H$10,0,1))/Ayarlar!$B$7)+IF(Topraklar!$K$10=Bitkiler!$C$12,0.002,IF(Topraklar!$L$10="Evet",0.001,0)))</f>
        <v/>
      </c>
      <c r="K13" s="16">
        <f>IF(OR(Topraklar!$J$11="Evet",AND(Topraklar!$L$11&lt;&gt;"Evet",Topraklar!$K$11&lt;&gt;Bitkiler!$C$12)),0,MAX(0,1-(Ayarlar!$B$2*ABS(Bitkiler!$D$12-Topraklar!$D$11)+Ayarlar!$B$3*ABS(Bitkiler!$E$12-Topraklar!$E$11)+Ayarlar!$B$4*ABS(Bitkiler!$F$12-Topraklar!$F$11)+Ayarlar!$B$5*ABS(Bitkiler!$G$12-Topraklar!$G$11)+Ayarlar!$B$6*IF(Bitkiler!$H$12=Topraklar!$H$11,0,1))/Ayarlar!$B$7)+IF(Topraklar!$K$11=Bitkiler!$C$12,0.002,IF(Topraklar!$L$11="Evet",0.001,0)))</f>
        <v/>
      </c>
      <c r="L13" s="16">
        <f>IF(OR(Topraklar!$J$12="Evet",AND(Topraklar!$L$12&lt;&gt;"Evet",Topraklar!$K$12&lt;&gt;Bitkiler!$C$12)),0,MAX(0,1-(Ayarlar!$B$2*ABS(Bitkiler!$D$12-Topraklar!$D$12)+Ayarlar!$B$3*ABS(Bitkiler!$E$12-Topraklar!$E$12)+Ayarlar!$B$4*ABS(Bitkiler!$F$12-Topraklar!$F$12)+Ayarlar!$B$5*ABS(Bitkiler!$G$12-Topraklar!$G$12)+Ayarlar!$B$6*IF(Bitkiler!$H$12=Topraklar!$H$12,0,1))/Ayarlar!$B$7)+IF(Topraklar!$K$12=Bitkiler!$C$12,0.002,IF(Topraklar!$L$12="Evet",0.001,0)))</f>
        <v/>
      </c>
      <c r="M13" s="16">
        <f>IF(OR(Topraklar!$J$13="Evet",AND(Topraklar!$L$13&lt;&gt;"Evet",Topraklar!$K$13&lt;&gt;Bitkiler!$C$12)),0,MAX(0,1-(Ayarlar!$B$2*ABS(Bitkiler!$D$12-Topraklar!$D$13)+Ayarlar!$B$3*ABS(Bitkiler!$E$12-Topraklar!$E$13)+Ayarlar!$B$4*ABS(Bitkiler!$F$12-Topraklar!$F$13)+Ayarlar!$B$5*ABS(Bitkiler!$G$12-Topraklar!$G$13)+Ayarlar!$B$6*IF(Bitkiler!$H$12=Topraklar!$H$13,0,1))/Ayarlar!$B$7)+IF(Topraklar!$K$13=Bitkiler!$C$12,0.002,IF(Topraklar!$L$13="Evet",0.001,0)))</f>
        <v/>
      </c>
      <c r="N13" s="16">
        <f>IF(OR(Topraklar!$J$14="Evet",AND(Topraklar!$L$14&lt;&gt;"Evet",Topraklar!$K$14&lt;&gt;Bitkiler!$C$12)),0,MAX(0,1-(Ayarlar!$B$2*ABS(Bitkiler!$D$12-Topraklar!$D$14)+Ayarlar!$B$3*ABS(Bitkiler!$E$12-Topraklar!$E$14)+Ayarlar!$B$4*ABS(Bitkiler!$F$12-Topraklar!$F$14)+Ayarlar!$B$5*ABS(Bitkiler!$G$12-Topraklar!$G$14)+Ayarlar!$B$6*IF(Bitkiler!$H$12=Topraklar!$H$14,0,1))/Ayarlar!$B$7)+IF(Topraklar!$K$14=Bitkiler!$C$12,0.002,IF(Topraklar!$L$14="Evet",0.001,0)))</f>
        <v/>
      </c>
      <c r="O13" s="16">
        <f>IF(OR(Topraklar!$J$15="Evet",AND(Topraklar!$L$15&lt;&gt;"Evet",Topraklar!$K$15&lt;&gt;Bitkiler!$C$12)),0,MAX(0,1-(Ayarlar!$B$2*ABS(Bitkiler!$D$12-Topraklar!$D$15)+Ayarlar!$B$3*ABS(Bitkiler!$E$12-Topraklar!$E$15)+Ayarlar!$B$4*ABS(Bitkiler!$F$12-Topraklar!$F$15)+Ayarlar!$B$5*ABS(Bitkiler!$G$12-Topraklar!$G$15)+Ayarlar!$B$6*IF(Bitkiler!$H$12=Topraklar!$H$15,0,1))/Ayarlar!$B$7)+IF(Topraklar!$K$15=Bitkiler!$C$12,0.002,IF(Topraklar!$L$15="Evet",0.001,0)))</f>
        <v/>
      </c>
      <c r="P13" s="16">
        <f>IF(OR(Topraklar!$J$16="Evet",AND(Topraklar!$L$16&lt;&gt;"Evet",Topraklar!$K$16&lt;&gt;Bitkiler!$C$12)),0,MAX(0,1-(Ayarlar!$B$2*ABS(Bitkiler!$D$12-Topraklar!$D$16)+Ayarlar!$B$3*ABS(Bitkiler!$E$12-Topraklar!$E$16)+Ayarlar!$B$4*ABS(Bitkiler!$F$12-Topraklar!$F$16)+Ayarlar!$B$5*ABS(Bitkiler!$G$12-Topraklar!$G$16)+Ayarlar!$B$6*IF(Bitkiler!$H$12=Topraklar!$H$16,0,1))/Ayarlar!$B$7)+IF(Topraklar!$K$16=Bitkiler!$C$12,0.002,IF(Topraklar!$L$16="Evet",0.001,0)))</f>
        <v/>
      </c>
      <c r="Q13" s="16">
        <f>IF(OR(Topraklar!$J$17="Evet",AND(Topraklar!$L$17&lt;&gt;"Evet",Topraklar!$K$17&lt;&gt;Bitkiler!$C$12)),0,MAX(0,1-(Ayarlar!$B$2*ABS(Bitkiler!$D$12-Topraklar!$D$17)+Ayarlar!$B$3*ABS(Bitkiler!$E$12-Topraklar!$E$17)+Ayarlar!$B$4*ABS(Bitkiler!$F$12-Topraklar!$F$17)+Ayarlar!$B$5*ABS(Bitkiler!$G$12-Topraklar!$G$17)+Ayarlar!$B$6*IF(Bitkiler!$H$12=Topraklar!$H$17,0,1))/Ayarlar!$B$7)+IF(Topraklar!$K$17=Bitkiler!$C$12,0.002,IF(Topraklar!$L$17="Evet",0.001,0)))</f>
        <v/>
      </c>
      <c r="R13" s="16">
        <f>IF(OR(Topraklar!$J$18="Evet",AND(Topraklar!$L$18&lt;&gt;"Evet",Topraklar!$K$18&lt;&gt;Bitkiler!$C$12)),0,MAX(0,1-(Ayarlar!$B$2*ABS(Bitkiler!$D$12-Topraklar!$D$18)+Ayarlar!$B$3*ABS(Bitkiler!$E$12-Topraklar!$E$18)+Ayarlar!$B$4*ABS(Bitkiler!$F$12-Topraklar!$F$18)+Ayarlar!$B$5*ABS(Bitkiler!$G$12-Topraklar!$G$18)+Ayarlar!$B$6*IF(Bitkiler!$H$12=Topraklar!$H$18,0,1))/Ayarlar!$B$7)+IF(Topraklar!$K$18=Bitkiler!$C$12,0.002,IF(Topraklar!$L$18="Evet",0.001,0)))</f>
        <v/>
      </c>
      <c r="S13" s="16">
        <f>IF(OR(Topraklar!$J$19="Evet",AND(Topraklar!$L$19&lt;&gt;"Evet",Topraklar!$K$19&lt;&gt;Bitkiler!$C$12)),0,MAX(0,1-(Ayarlar!$B$2*ABS(Bitkiler!$D$12-Topraklar!$D$19)+Ayarlar!$B$3*ABS(Bitkiler!$E$12-Topraklar!$E$19)+Ayarlar!$B$4*ABS(Bitkiler!$F$12-Topraklar!$F$19)+Ayarlar!$B$5*ABS(Bitkiler!$G$12-Topraklar!$G$19)+Ayarlar!$B$6*IF(Bitkiler!$H$12=Topraklar!$H$19,0,1))/Ayarlar!$B$7)+IF(Topraklar!$K$19=Bitkiler!$C$12,0.002,IF(Topraklar!$L$19="Evet",0.001,0)))</f>
        <v/>
      </c>
      <c r="T13" s="16">
        <f>IF(OR(Topraklar!$J$20="Evet",AND(Topraklar!$L$20&lt;&gt;"Evet",Topraklar!$K$20&lt;&gt;Bitkiler!$C$12)),0,MAX(0,1-(Ayarlar!$B$2*ABS(Bitkiler!$D$12-Topraklar!$D$20)+Ayarlar!$B$3*ABS(Bitkiler!$E$12-Topraklar!$E$20)+Ayarlar!$B$4*ABS(Bitkiler!$F$12-Topraklar!$F$20)+Ayarlar!$B$5*ABS(Bitkiler!$G$12-Topraklar!$G$20)+Ayarlar!$B$6*IF(Bitkiler!$H$12=Topraklar!$H$20,0,1))/Ayarlar!$B$7)+IF(Topraklar!$K$20=Bitkiler!$C$12,0.002,IF(Topraklar!$L$20="Evet",0.001,0)))</f>
        <v/>
      </c>
      <c r="U13" s="16">
        <f>IF(OR(Topraklar!$J$21="Evet",AND(Topraklar!$L$21&lt;&gt;"Evet",Topraklar!$K$21&lt;&gt;Bitkiler!$C$12)),0,MAX(0,1-(Ayarlar!$B$2*ABS(Bitkiler!$D$12-Topraklar!$D$21)+Ayarlar!$B$3*ABS(Bitkiler!$E$12-Topraklar!$E$21)+Ayarlar!$B$4*ABS(Bitkiler!$F$12-Topraklar!$F$21)+Ayarlar!$B$5*ABS(Bitkiler!$G$12-Topraklar!$G$21)+Ayarlar!$B$6*IF(Bitkiler!$H$12=Topraklar!$H$21,0,1))/Ayarlar!$B$7)+IF(Topraklar!$K$21=Bitkiler!$C$12,0.002,IF(Topraklar!$L$21="Evet",0.001,0)))</f>
        <v/>
      </c>
      <c r="V13" s="16">
        <f>IF(OR(Topraklar!$J$22="Evet",AND(Topraklar!$L$22&lt;&gt;"Evet",Topraklar!$K$22&lt;&gt;Bitkiler!$C$12)),0,MAX(0,1-(Ayarlar!$B$2*ABS(Bitkiler!$D$12-Topraklar!$D$22)+Ayarlar!$B$3*ABS(Bitkiler!$E$12-Topraklar!$E$22)+Ayarlar!$B$4*ABS(Bitkiler!$F$12-Topraklar!$F$22)+Ayarlar!$B$5*ABS(Bitkiler!$G$12-Topraklar!$G$22)+Ayarlar!$B$6*IF(Bitkiler!$H$12=Topraklar!$H$22,0,1))/Ayarlar!$B$7)+IF(Topraklar!$K$22=Bitkiler!$C$12,0.002,IF(Topraklar!$L$22="Evet",0.001,0)))</f>
        <v/>
      </c>
      <c r="W13" s="16">
        <f>IF(OR(Topraklar!$J$23="Evet",AND(Topraklar!$L$23&lt;&gt;"Evet",Topraklar!$K$23&lt;&gt;Bitkiler!$C$12)),0,MAX(0,1-(Ayarlar!$B$2*ABS(Bitkiler!$D$12-Topraklar!$D$23)+Ayarlar!$B$3*ABS(Bitkiler!$E$12-Topraklar!$E$23)+Ayarlar!$B$4*ABS(Bitkiler!$F$12-Topraklar!$F$23)+Ayarlar!$B$5*ABS(Bitkiler!$G$12-Topraklar!$G$23)+Ayarlar!$B$6*IF(Bitkiler!$H$12=Topraklar!$H$23,0,1))/Ayarlar!$B$7)+IF(Topraklar!$K$23=Bitkiler!$C$12,0.002,IF(Topraklar!$L$23="Evet",0.001,0)))</f>
        <v/>
      </c>
      <c r="X13" s="16">
        <f>IF(OR(Topraklar!$J$24="Evet",AND(Topraklar!$L$24&lt;&gt;"Evet",Topraklar!$K$24&lt;&gt;Bitkiler!$C$12)),0,MAX(0,1-(Ayarlar!$B$2*ABS(Bitkiler!$D$12-Topraklar!$D$24)+Ayarlar!$B$3*ABS(Bitkiler!$E$12-Topraklar!$E$24)+Ayarlar!$B$4*ABS(Bitkiler!$F$12-Topraklar!$F$24)+Ayarlar!$B$5*ABS(Bitkiler!$G$12-Topraklar!$G$24)+Ayarlar!$B$6*IF(Bitkiler!$H$12=Topraklar!$H$24,0,1))/Ayarlar!$B$7)+IF(Topraklar!$K$24=Bitkiler!$C$12,0.002,IF(Topraklar!$L$24="Evet",0.001,0)))</f>
        <v/>
      </c>
      <c r="Y13" s="16">
        <f>IF(OR(Topraklar!$J$25="Evet",AND(Topraklar!$L$25&lt;&gt;"Evet",Topraklar!$K$25&lt;&gt;Bitkiler!$C$12)),0,MAX(0,1-(Ayarlar!$B$2*ABS(Bitkiler!$D$12-Topraklar!$D$25)+Ayarlar!$B$3*ABS(Bitkiler!$E$12-Topraklar!$E$25)+Ayarlar!$B$4*ABS(Bitkiler!$F$12-Topraklar!$F$25)+Ayarlar!$B$5*ABS(Bitkiler!$G$12-Topraklar!$G$25)+Ayarlar!$B$6*IF(Bitkiler!$H$12=Topraklar!$H$25,0,1))/Ayarlar!$B$7)+IF(Topraklar!$K$25=Bitkiler!$C$12,0.002,IF(Topraklar!$L$25="Evet",0.001,0)))</f>
        <v/>
      </c>
      <c r="Z13" s="16">
        <f>IF(OR(Topraklar!$J$26="Evet",AND(Topraklar!$L$26&lt;&gt;"Evet",Topraklar!$K$26&lt;&gt;Bitkiler!$C$12)),0,MAX(0,1-(Ayarlar!$B$2*ABS(Bitkiler!$D$12-Topraklar!$D$26)+Ayarlar!$B$3*ABS(Bitkiler!$E$12-Topraklar!$E$26)+Ayarlar!$B$4*ABS(Bitkiler!$F$12-Topraklar!$F$26)+Ayarlar!$B$5*ABS(Bitkiler!$G$12-Topraklar!$G$26)+Ayarlar!$B$6*IF(Bitkiler!$H$12=Topraklar!$H$26,0,1))/Ayarlar!$B$7)+IF(Topraklar!$K$26=Bitkiler!$C$12,0.002,IF(Topraklar!$L$26="Evet",0.001,0)))</f>
        <v/>
      </c>
      <c r="AA13" s="16">
        <f>IF(OR(Topraklar!$J$27="Evet",AND(Topraklar!$L$27&lt;&gt;"Evet",Topraklar!$K$27&lt;&gt;Bitkiler!$C$12)),0,MAX(0,1-(Ayarlar!$B$2*ABS(Bitkiler!$D$12-Topraklar!$D$27)+Ayarlar!$B$3*ABS(Bitkiler!$E$12-Topraklar!$E$27)+Ayarlar!$B$4*ABS(Bitkiler!$F$12-Topraklar!$F$27)+Ayarlar!$B$5*ABS(Bitkiler!$G$12-Topraklar!$G$27)+Ayarlar!$B$6*IF(Bitkiler!$H$12=Topraklar!$H$27,0,1))/Ayarlar!$B$7)+IF(Topraklar!$K$27=Bitkiler!$C$12,0.002,IF(Topraklar!$L$27="Evet",0.001,0)))</f>
        <v/>
      </c>
      <c r="AB13" s="16">
        <f>IF(OR(Topraklar!$J$28="Evet",AND(Topraklar!$L$28&lt;&gt;"Evet",Topraklar!$K$28&lt;&gt;Bitkiler!$C$12)),0,MAX(0,1-(Ayarlar!$B$2*ABS(Bitkiler!$D$12-Topraklar!$D$28)+Ayarlar!$B$3*ABS(Bitkiler!$E$12-Topraklar!$E$28)+Ayarlar!$B$4*ABS(Bitkiler!$F$12-Topraklar!$F$28)+Ayarlar!$B$5*ABS(Bitkiler!$G$12-Topraklar!$G$28)+Ayarlar!$B$6*IF(Bitkiler!$H$12=Topraklar!$H$28,0,1))/Ayarlar!$B$7)+IF(Topraklar!$K$28=Bitkiler!$C$12,0.002,IF(Topraklar!$L$28="Evet",0.001,0)))</f>
        <v/>
      </c>
      <c r="AC13" s="16">
        <f>IF(OR(Topraklar!$J$29="Evet",AND(Topraklar!$L$29&lt;&gt;"Evet",Topraklar!$K$29&lt;&gt;Bitkiler!$C$12)),0,MAX(0,1-(Ayarlar!$B$2*ABS(Bitkiler!$D$12-Topraklar!$D$29)+Ayarlar!$B$3*ABS(Bitkiler!$E$12-Topraklar!$E$29)+Ayarlar!$B$4*ABS(Bitkiler!$F$12-Topraklar!$F$29)+Ayarlar!$B$5*ABS(Bitkiler!$G$12-Topraklar!$G$29)+Ayarlar!$B$6*IF(Bitkiler!$H$12=Topraklar!$H$29,0,1))/Ayarlar!$B$7)+IF(Topraklar!$K$29=Bitkiler!$C$12,0.002,IF(Topraklar!$L$29="Evet",0.001,0)))</f>
        <v/>
      </c>
      <c r="AD13" s="16">
        <f>IF(OR(Topraklar!$J$30="Evet",AND(Topraklar!$L$30&lt;&gt;"Evet",Topraklar!$K$30&lt;&gt;Bitkiler!$C$12)),0,MAX(0,1-(Ayarlar!$B$2*ABS(Bitkiler!$D$12-Topraklar!$D$30)+Ayarlar!$B$3*ABS(Bitkiler!$E$12-Topraklar!$E$30)+Ayarlar!$B$4*ABS(Bitkiler!$F$12-Topraklar!$F$30)+Ayarlar!$B$5*ABS(Bitkiler!$G$12-Topraklar!$G$30)+Ayarlar!$B$6*IF(Bitkiler!$H$12=Topraklar!$H$30,0,1))/Ayarlar!$B$7)+IF(Topraklar!$K$30=Bitkiler!$C$12,0.002,IF(Topraklar!$L$30="Evet",0.001,0)))</f>
        <v/>
      </c>
      <c r="AE13" s="16">
        <f>IF(OR(Topraklar!$J$31="Evet",AND(Topraklar!$L$31&lt;&gt;"Evet",Topraklar!$K$31&lt;&gt;Bitkiler!$C$12)),0,MAX(0,1-(Ayarlar!$B$2*ABS(Bitkiler!$D$12-Topraklar!$D$31)+Ayarlar!$B$3*ABS(Bitkiler!$E$12-Topraklar!$E$31)+Ayarlar!$B$4*ABS(Bitkiler!$F$12-Topraklar!$F$31)+Ayarlar!$B$5*ABS(Bitkiler!$G$12-Topraklar!$G$31)+Ayarlar!$B$6*IF(Bitkiler!$H$12=Topraklar!$H$31,0,1))/Ayarlar!$B$7)+IF(Topraklar!$K$31=Bitkiler!$C$12,0.002,IF(Topraklar!$L$31="Evet",0.001,0)))</f>
        <v/>
      </c>
      <c r="AF13" s="16">
        <f>IF(OR(Topraklar!$J$32="Evet",AND(Topraklar!$L$32&lt;&gt;"Evet",Topraklar!$K$32&lt;&gt;Bitkiler!$C$12)),0,MAX(0,1-(Ayarlar!$B$2*ABS(Bitkiler!$D$12-Topraklar!$D$32)+Ayarlar!$B$3*ABS(Bitkiler!$E$12-Topraklar!$E$32)+Ayarlar!$B$4*ABS(Bitkiler!$F$12-Topraklar!$F$32)+Ayarlar!$B$5*ABS(Bitkiler!$G$12-Topraklar!$G$32)+Ayarlar!$B$6*IF(Bitkiler!$H$12=Topraklar!$H$32,0,1))/Ayarlar!$B$7)+IF(Topraklar!$K$32=Bitkiler!$C$12,0.002,IF(Topraklar!$L$32="Evet",0.001,0)))</f>
        <v/>
      </c>
      <c r="AG13" s="16">
        <f>IF(OR(Topraklar!$J$33="Evet",AND(Topraklar!$L$33&lt;&gt;"Evet",Topraklar!$K$33&lt;&gt;Bitkiler!$C$12)),0,MAX(0,1-(Ayarlar!$B$2*ABS(Bitkiler!$D$12-Topraklar!$D$33)+Ayarlar!$B$3*ABS(Bitkiler!$E$12-Topraklar!$E$33)+Ayarlar!$B$4*ABS(Bitkiler!$F$12-Topraklar!$F$33)+Ayarlar!$B$5*ABS(Bitkiler!$G$12-Topraklar!$G$33)+Ayarlar!$B$6*IF(Bitkiler!$H$12=Topraklar!$H$33,0,1))/Ayarlar!$B$7)+IF(Topraklar!$K$33=Bitkiler!$C$12,0.002,IF(Topraklar!$L$33="Evet",0.001,0)))</f>
        <v/>
      </c>
      <c r="AH13" s="16">
        <f>IF(OR(Topraklar!$J$34="Evet",AND(Topraklar!$L$34&lt;&gt;"Evet",Topraklar!$K$34&lt;&gt;Bitkiler!$C$12)),0,MAX(0,1-(Ayarlar!$B$2*ABS(Bitkiler!$D$12-Topraklar!$D$34)+Ayarlar!$B$3*ABS(Bitkiler!$E$12-Topraklar!$E$34)+Ayarlar!$B$4*ABS(Bitkiler!$F$12-Topraklar!$F$34)+Ayarlar!$B$5*ABS(Bitkiler!$G$12-Topraklar!$G$34)+Ayarlar!$B$6*IF(Bitkiler!$H$12=Topraklar!$H$34,0,1))/Ayarlar!$B$7)+IF(Topraklar!$K$34=Bitkiler!$C$12,0.002,IF(Topraklar!$L$34="Evet",0.001,0)))</f>
        <v/>
      </c>
      <c r="AI13" s="16">
        <f>IF(OR(Topraklar!$J$35="Evet",AND(Topraklar!$L$35&lt;&gt;"Evet",Topraklar!$K$35&lt;&gt;Bitkiler!$C$12)),0,MAX(0,1-(Ayarlar!$B$2*ABS(Bitkiler!$D$12-Topraklar!$D$35)+Ayarlar!$B$3*ABS(Bitkiler!$E$12-Topraklar!$E$35)+Ayarlar!$B$4*ABS(Bitkiler!$F$12-Topraklar!$F$35)+Ayarlar!$B$5*ABS(Bitkiler!$G$12-Topraklar!$G$35)+Ayarlar!$B$6*IF(Bitkiler!$H$12=Topraklar!$H$35,0,1))/Ayarlar!$B$7)+IF(Topraklar!$K$35=Bitkiler!$C$12,0.002,IF(Topraklar!$L$35="Evet",0.001,0)))</f>
        <v/>
      </c>
      <c r="AJ13" s="16">
        <f>IF(OR(Topraklar!$J$36="Evet",AND(Topraklar!$L$36&lt;&gt;"Evet",Topraklar!$K$36&lt;&gt;Bitkiler!$C$12)),0,MAX(0,1-(Ayarlar!$B$2*ABS(Bitkiler!$D$12-Topraklar!$D$36)+Ayarlar!$B$3*ABS(Bitkiler!$E$12-Topraklar!$E$36)+Ayarlar!$B$4*ABS(Bitkiler!$F$12-Topraklar!$F$36)+Ayarlar!$B$5*ABS(Bitkiler!$G$12-Topraklar!$G$36)+Ayarlar!$B$6*IF(Bitkiler!$H$12=Topraklar!$H$36,0,1))/Ayarlar!$B$7)+IF(Topraklar!$K$36=Bitkiler!$C$12,0.002,IF(Topraklar!$L$36="Evet",0.001,0)))</f>
        <v/>
      </c>
      <c r="AK13" s="16">
        <f>IF(OR(Topraklar!$J$37="Evet",AND(Topraklar!$L$37&lt;&gt;"Evet",Topraklar!$K$37&lt;&gt;Bitkiler!$C$12)),0,MAX(0,1-(Ayarlar!$B$2*ABS(Bitkiler!$D$12-Topraklar!$D$37)+Ayarlar!$B$3*ABS(Bitkiler!$E$12-Topraklar!$E$37)+Ayarlar!$B$4*ABS(Bitkiler!$F$12-Topraklar!$F$37)+Ayarlar!$B$5*ABS(Bitkiler!$G$12-Topraklar!$G$37)+Ayarlar!$B$6*IF(Bitkiler!$H$12=Topraklar!$H$37,0,1))/Ayarlar!$B$7)+IF(Topraklar!$K$37=Bitkiler!$C$12,0.002,IF(Topraklar!$L$37="Evet",0.001,0)))</f>
        <v/>
      </c>
      <c r="AL13" s="16">
        <f>IF(OR(Topraklar!$J$38="Evet",AND(Topraklar!$L$38&lt;&gt;"Evet",Topraklar!$K$38&lt;&gt;Bitkiler!$C$12)),0,MAX(0,1-(Ayarlar!$B$2*ABS(Bitkiler!$D$12-Topraklar!$D$38)+Ayarlar!$B$3*ABS(Bitkiler!$E$12-Topraklar!$E$38)+Ayarlar!$B$4*ABS(Bitkiler!$F$12-Topraklar!$F$38)+Ayarlar!$B$5*ABS(Bitkiler!$G$12-Topraklar!$G$38)+Ayarlar!$B$6*IF(Bitkiler!$H$12=Topraklar!$H$38,0,1))/Ayarlar!$B$7)+IF(Topraklar!$K$38=Bitkiler!$C$12,0.002,IF(Topraklar!$L$38="Evet",0.001,0)))</f>
        <v/>
      </c>
      <c r="AM13" s="16">
        <f>IF(OR(Topraklar!$J$39="Evet",AND(Topraklar!$L$39&lt;&gt;"Evet",Topraklar!$K$39&lt;&gt;Bitkiler!$C$12)),0,MAX(0,1-(Ayarlar!$B$2*ABS(Bitkiler!$D$12-Topraklar!$D$39)+Ayarlar!$B$3*ABS(Bitkiler!$E$12-Topraklar!$E$39)+Ayarlar!$B$4*ABS(Bitkiler!$F$12-Topraklar!$F$39)+Ayarlar!$B$5*ABS(Bitkiler!$G$12-Topraklar!$G$39)+Ayarlar!$B$6*IF(Bitkiler!$H$12=Topraklar!$H$39,0,1))/Ayarlar!$B$7)+IF(Topraklar!$K$39=Bitkiler!$C$12,0.002,IF(Topraklar!$L$39="Evet",0.001,0)))</f>
        <v/>
      </c>
      <c r="AN13" s="16">
        <f>IF(OR(Topraklar!$J$40="Evet",AND(Topraklar!$L$40&lt;&gt;"Evet",Topraklar!$K$40&lt;&gt;Bitkiler!$C$12)),0,MAX(0,1-(Ayarlar!$B$2*ABS(Bitkiler!$D$12-Topraklar!$D$40)+Ayarlar!$B$3*ABS(Bitkiler!$E$12-Topraklar!$E$40)+Ayarlar!$B$4*ABS(Bitkiler!$F$12-Topraklar!$F$40)+Ayarlar!$B$5*ABS(Bitkiler!$G$12-Topraklar!$G$40)+Ayarlar!$B$6*IF(Bitkiler!$H$12=Topraklar!$H$40,0,1))/Ayarlar!$B$7)+IF(Topraklar!$K$40=Bitkiler!$C$12,0.002,IF(Topraklar!$L$40="Evet",0.001,0)))</f>
        <v/>
      </c>
      <c r="AO13" s="16">
        <f>IF(OR(Topraklar!$J$41="Evet",AND(Topraklar!$L$41&lt;&gt;"Evet",Topraklar!$K$41&lt;&gt;Bitkiler!$C$12)),0,MAX(0,1-(Ayarlar!$B$2*ABS(Bitkiler!$D$12-Topraklar!$D$41)+Ayarlar!$B$3*ABS(Bitkiler!$E$12-Topraklar!$E$41)+Ayarlar!$B$4*ABS(Bitkiler!$F$12-Topraklar!$F$41)+Ayarlar!$B$5*ABS(Bitkiler!$G$12-Topraklar!$G$41)+Ayarlar!$B$6*IF(Bitkiler!$H$12=Topraklar!$H$41,0,1))/Ayarlar!$B$7)+IF(Topraklar!$K$41=Bitkiler!$C$12,0.002,IF(Topraklar!$L$41="Evet",0.001,0)))</f>
        <v/>
      </c>
      <c r="AP13" s="16">
        <f>IF(OR(Topraklar!$J$42="Evet",AND(Topraklar!$L$42&lt;&gt;"Evet",Topraklar!$K$42&lt;&gt;Bitkiler!$C$12)),0,MAX(0,1-(Ayarlar!$B$2*ABS(Bitkiler!$D$12-Topraklar!$D$42)+Ayarlar!$B$3*ABS(Bitkiler!$E$12-Topraklar!$E$42)+Ayarlar!$B$4*ABS(Bitkiler!$F$12-Topraklar!$F$42)+Ayarlar!$B$5*ABS(Bitkiler!$G$12-Topraklar!$G$42)+Ayarlar!$B$6*IF(Bitkiler!$H$12=Topraklar!$H$42,0,1))/Ayarlar!$B$7)+IF(Topraklar!$K$42=Bitkiler!$C$12,0.002,IF(Topraklar!$L$42="Evet",0.001,0)))</f>
        <v/>
      </c>
      <c r="AQ13" s="16">
        <f>IF(OR(Topraklar!$J$43="Evet",AND(Topraklar!$L$43&lt;&gt;"Evet",Topraklar!$K$43&lt;&gt;Bitkiler!$C$12)),0,MAX(0,1-(Ayarlar!$B$2*ABS(Bitkiler!$D$12-Topraklar!$D$43)+Ayarlar!$B$3*ABS(Bitkiler!$E$12-Topraklar!$E$43)+Ayarlar!$B$4*ABS(Bitkiler!$F$12-Topraklar!$F$43)+Ayarlar!$B$5*ABS(Bitkiler!$G$12-Topraklar!$G$43)+Ayarlar!$B$6*IF(Bitkiler!$H$12=Topraklar!$H$43,0,1))/Ayarlar!$B$7)+IF(Topraklar!$K$43=Bitkiler!$C$12,0.002,IF(Topraklar!$L$43="Evet",0.001,0)))</f>
        <v/>
      </c>
      <c r="AR13" s="16">
        <f>IF(OR(Topraklar!$J$44="Evet",AND(Topraklar!$L$44&lt;&gt;"Evet",Topraklar!$K$44&lt;&gt;Bitkiler!$C$12)),0,MAX(0,1-(Ayarlar!$B$2*ABS(Bitkiler!$D$12-Topraklar!$D$44)+Ayarlar!$B$3*ABS(Bitkiler!$E$12-Topraklar!$E$44)+Ayarlar!$B$4*ABS(Bitkiler!$F$12-Topraklar!$F$44)+Ayarlar!$B$5*ABS(Bitkiler!$G$12-Topraklar!$G$44)+Ayarlar!$B$6*IF(Bitkiler!$H$12=Topraklar!$H$44,0,1))/Ayarlar!$B$7)+IF(Topraklar!$K$44=Bitkiler!$C$12,0.002,IF(Topraklar!$L$44="Evet",0.001,0)))</f>
        <v/>
      </c>
      <c r="AS13" s="16">
        <f>IF(OR(Topraklar!$J$45="Evet",AND(Topraklar!$L$45&lt;&gt;"Evet",Topraklar!$K$45&lt;&gt;Bitkiler!$C$12)),0,MAX(0,1-(Ayarlar!$B$2*ABS(Bitkiler!$D$12-Topraklar!$D$45)+Ayarlar!$B$3*ABS(Bitkiler!$E$12-Topraklar!$E$45)+Ayarlar!$B$4*ABS(Bitkiler!$F$12-Topraklar!$F$45)+Ayarlar!$B$5*ABS(Bitkiler!$G$12-Topraklar!$G$45)+Ayarlar!$B$6*IF(Bitkiler!$H$12=Topraklar!$H$45,0,1))/Ayarlar!$B$7)+IF(Topraklar!$K$45=Bitkiler!$C$12,0.002,IF(Topraklar!$L$45="Evet",0.001,0)))</f>
        <v/>
      </c>
      <c r="AT13" s="16">
        <f>IF(OR(Topraklar!$J$46="Evet",AND(Topraklar!$L$46&lt;&gt;"Evet",Topraklar!$K$46&lt;&gt;Bitkiler!$C$12)),0,MAX(0,1-(Ayarlar!$B$2*ABS(Bitkiler!$D$12-Topraklar!$D$46)+Ayarlar!$B$3*ABS(Bitkiler!$E$12-Topraklar!$E$46)+Ayarlar!$B$4*ABS(Bitkiler!$F$12-Topraklar!$F$46)+Ayarlar!$B$5*ABS(Bitkiler!$G$12-Topraklar!$G$46)+Ayarlar!$B$6*IF(Bitkiler!$H$12=Topraklar!$H$46,0,1))/Ayarlar!$B$7)+IF(Topraklar!$K$46=Bitkiler!$C$12,0.002,IF(Topraklar!$L$46="Evet",0.001,0)))</f>
        <v/>
      </c>
      <c r="AU13" s="16">
        <f>IF(OR(Topraklar!$J$47="Evet",AND(Topraklar!$L$47&lt;&gt;"Evet",Topraklar!$K$47&lt;&gt;Bitkiler!$C$12)),0,MAX(0,1-(Ayarlar!$B$2*ABS(Bitkiler!$D$12-Topraklar!$D$47)+Ayarlar!$B$3*ABS(Bitkiler!$E$12-Topraklar!$E$47)+Ayarlar!$B$4*ABS(Bitkiler!$F$12-Topraklar!$F$47)+Ayarlar!$B$5*ABS(Bitkiler!$G$12-Topraklar!$G$47)+Ayarlar!$B$6*IF(Bitkiler!$H$12=Topraklar!$H$47,0,1))/Ayarlar!$B$7)+IF(Topraklar!$K$47=Bitkiler!$C$12,0.002,IF(Topraklar!$L$47="Evet",0.001,0)))</f>
        <v/>
      </c>
      <c r="AV13" s="16">
        <f>IF(OR(Topraklar!$J$48="Evet",AND(Topraklar!$L$48&lt;&gt;"Evet",Topraklar!$K$48&lt;&gt;Bitkiler!$C$12)),0,MAX(0,1-(Ayarlar!$B$2*ABS(Bitkiler!$D$12-Topraklar!$D$48)+Ayarlar!$B$3*ABS(Bitkiler!$E$12-Topraklar!$E$48)+Ayarlar!$B$4*ABS(Bitkiler!$F$12-Topraklar!$F$48)+Ayarlar!$B$5*ABS(Bitkiler!$G$12-Topraklar!$G$48)+Ayarlar!$B$6*IF(Bitkiler!$H$12=Topraklar!$H$48,0,1))/Ayarlar!$B$7)+IF(Topraklar!$K$48=Bitkiler!$C$12,0.002,IF(Topraklar!$L$48="Evet",0.001,0)))</f>
        <v/>
      </c>
      <c r="AW13" s="16">
        <f>IF(OR(Topraklar!$J$49="Evet",AND(Topraklar!$L$49&lt;&gt;"Evet",Topraklar!$K$49&lt;&gt;Bitkiler!$C$12)),0,MAX(0,1-(Ayarlar!$B$2*ABS(Bitkiler!$D$12-Topraklar!$D$49)+Ayarlar!$B$3*ABS(Bitkiler!$E$12-Topraklar!$E$49)+Ayarlar!$B$4*ABS(Bitkiler!$F$12-Topraklar!$F$49)+Ayarlar!$B$5*ABS(Bitkiler!$G$12-Topraklar!$G$49)+Ayarlar!$B$6*IF(Bitkiler!$H$12=Topraklar!$H$49,0,1))/Ayarlar!$B$7)+IF(Topraklar!$K$49=Bitkiler!$C$12,0.002,IF(Topraklar!$L$49="Evet",0.001,0)))</f>
        <v/>
      </c>
      <c r="AX13" s="16">
        <f>IF(OR(Topraklar!$J$50="Evet",AND(Topraklar!$L$50&lt;&gt;"Evet",Topraklar!$K$50&lt;&gt;Bitkiler!$C$12)),0,MAX(0,1-(Ayarlar!$B$2*ABS(Bitkiler!$D$12-Topraklar!$D$50)+Ayarlar!$B$3*ABS(Bitkiler!$E$12-Topraklar!$E$50)+Ayarlar!$B$4*ABS(Bitkiler!$F$12-Topraklar!$F$50)+Ayarlar!$B$5*ABS(Bitkiler!$G$12-Topraklar!$G$50)+Ayarlar!$B$6*IF(Bitkiler!$H$12=Topraklar!$H$50,0,1))/Ayarlar!$B$7)+IF(Topraklar!$K$50=Bitkiler!$C$12,0.002,IF(Topraklar!$L$50="Evet",0.001,0)))</f>
        <v/>
      </c>
      <c r="AY13" s="16">
        <f>IF(OR(Topraklar!$J$51="Evet",AND(Topraklar!$L$51&lt;&gt;"Evet",Topraklar!$K$51&lt;&gt;Bitkiler!$C$12)),0,MAX(0,1-(Ayarlar!$B$2*ABS(Bitkiler!$D$12-Topraklar!$D$51)+Ayarlar!$B$3*ABS(Bitkiler!$E$12-Topraklar!$E$51)+Ayarlar!$B$4*ABS(Bitkiler!$F$12-Topraklar!$F$51)+Ayarlar!$B$5*ABS(Bitkiler!$G$12-Topraklar!$G$51)+Ayarlar!$B$6*IF(Bitkiler!$H$12=Topraklar!$H$51,0,1))/Ayarlar!$B$7)+IF(Topraklar!$K$51=Bitkiler!$C$12,0.002,IF(Topraklar!$L$51="Evet",0.001,0)))</f>
        <v/>
      </c>
    </row>
    <row r="14">
      <c r="A14" s="15">
        <f>Bitkiler!A13</f>
        <v/>
      </c>
      <c r="B14" s="16">
        <f>IF(OR(Topraklar!$J$2="Evet",AND(Topraklar!$L$2&lt;&gt;"Evet",Topraklar!$K$2&lt;&gt;Bitkiler!$C$13)),0,MAX(0,1-(Ayarlar!$B$2*ABS(Bitkiler!$D$13-Topraklar!$D$2)+Ayarlar!$B$3*ABS(Bitkiler!$E$13-Topraklar!$E$2)+Ayarlar!$B$4*ABS(Bitkiler!$F$13-Topraklar!$F$2)+Ayarlar!$B$5*ABS(Bitkiler!$G$13-Topraklar!$G$2)+Ayarlar!$B$6*IF(Bitkiler!$H$13=Topraklar!$H$2,0,1))/Ayarlar!$B$7)+IF(Topraklar!$K$2=Bitkiler!$C$13,0.002,IF(Topraklar!$L$2="Evet",0.001,0)))</f>
        <v/>
      </c>
      <c r="C14" s="16">
        <f>IF(OR(Topraklar!$J$3="Evet",AND(Topraklar!$L$3&lt;&gt;"Evet",Topraklar!$K$3&lt;&gt;Bitkiler!$C$13)),0,MAX(0,1-(Ayarlar!$B$2*ABS(Bitkiler!$D$13-Topraklar!$D$3)+Ayarlar!$B$3*ABS(Bitkiler!$E$13-Topraklar!$E$3)+Ayarlar!$B$4*ABS(Bitkiler!$F$13-Topraklar!$F$3)+Ayarlar!$B$5*ABS(Bitkiler!$G$13-Topraklar!$G$3)+Ayarlar!$B$6*IF(Bitkiler!$H$13=Topraklar!$H$3,0,1))/Ayarlar!$B$7)+IF(Topraklar!$K$3=Bitkiler!$C$13,0.002,IF(Topraklar!$L$3="Evet",0.001,0)))</f>
        <v/>
      </c>
      <c r="D14" s="16">
        <f>IF(OR(Topraklar!$J$4="Evet",AND(Topraklar!$L$4&lt;&gt;"Evet",Topraklar!$K$4&lt;&gt;Bitkiler!$C$13)),0,MAX(0,1-(Ayarlar!$B$2*ABS(Bitkiler!$D$13-Topraklar!$D$4)+Ayarlar!$B$3*ABS(Bitkiler!$E$13-Topraklar!$E$4)+Ayarlar!$B$4*ABS(Bitkiler!$F$13-Topraklar!$F$4)+Ayarlar!$B$5*ABS(Bitkiler!$G$13-Topraklar!$G$4)+Ayarlar!$B$6*IF(Bitkiler!$H$13=Topraklar!$H$4,0,1))/Ayarlar!$B$7)+IF(Topraklar!$K$4=Bitkiler!$C$13,0.002,IF(Topraklar!$L$4="Evet",0.001,0)))</f>
        <v/>
      </c>
      <c r="E14" s="16">
        <f>IF(OR(Topraklar!$J$5="Evet",AND(Topraklar!$L$5&lt;&gt;"Evet",Topraklar!$K$5&lt;&gt;Bitkiler!$C$13)),0,MAX(0,1-(Ayarlar!$B$2*ABS(Bitkiler!$D$13-Topraklar!$D$5)+Ayarlar!$B$3*ABS(Bitkiler!$E$13-Topraklar!$E$5)+Ayarlar!$B$4*ABS(Bitkiler!$F$13-Topraklar!$F$5)+Ayarlar!$B$5*ABS(Bitkiler!$G$13-Topraklar!$G$5)+Ayarlar!$B$6*IF(Bitkiler!$H$13=Topraklar!$H$5,0,1))/Ayarlar!$B$7)+IF(Topraklar!$K$5=Bitkiler!$C$13,0.002,IF(Topraklar!$L$5="Evet",0.001,0)))</f>
        <v/>
      </c>
      <c r="F14" s="16">
        <f>IF(OR(Topraklar!$J$6="Evet",AND(Topraklar!$L$6&lt;&gt;"Evet",Topraklar!$K$6&lt;&gt;Bitkiler!$C$13)),0,MAX(0,1-(Ayarlar!$B$2*ABS(Bitkiler!$D$13-Topraklar!$D$6)+Ayarlar!$B$3*ABS(Bitkiler!$E$13-Topraklar!$E$6)+Ayarlar!$B$4*ABS(Bitkiler!$F$13-Topraklar!$F$6)+Ayarlar!$B$5*ABS(Bitkiler!$G$13-Topraklar!$G$6)+Ayarlar!$B$6*IF(Bitkiler!$H$13=Topraklar!$H$6,0,1))/Ayarlar!$B$7)+IF(Topraklar!$K$6=Bitkiler!$C$13,0.002,IF(Topraklar!$L$6="Evet",0.001,0)))</f>
        <v/>
      </c>
      <c r="G14" s="16">
        <f>IF(OR(Topraklar!$J$7="Evet",AND(Topraklar!$L$7&lt;&gt;"Evet",Topraklar!$K$7&lt;&gt;Bitkiler!$C$13)),0,MAX(0,1-(Ayarlar!$B$2*ABS(Bitkiler!$D$13-Topraklar!$D$7)+Ayarlar!$B$3*ABS(Bitkiler!$E$13-Topraklar!$E$7)+Ayarlar!$B$4*ABS(Bitkiler!$F$13-Topraklar!$F$7)+Ayarlar!$B$5*ABS(Bitkiler!$G$13-Topraklar!$G$7)+Ayarlar!$B$6*IF(Bitkiler!$H$13=Topraklar!$H$7,0,1))/Ayarlar!$B$7)+IF(Topraklar!$K$7=Bitkiler!$C$13,0.002,IF(Topraklar!$L$7="Evet",0.001,0)))</f>
        <v/>
      </c>
      <c r="H14" s="16">
        <f>IF(OR(Topraklar!$J$8="Evet",AND(Topraklar!$L$8&lt;&gt;"Evet",Topraklar!$K$8&lt;&gt;Bitkiler!$C$13)),0,MAX(0,1-(Ayarlar!$B$2*ABS(Bitkiler!$D$13-Topraklar!$D$8)+Ayarlar!$B$3*ABS(Bitkiler!$E$13-Topraklar!$E$8)+Ayarlar!$B$4*ABS(Bitkiler!$F$13-Topraklar!$F$8)+Ayarlar!$B$5*ABS(Bitkiler!$G$13-Topraklar!$G$8)+Ayarlar!$B$6*IF(Bitkiler!$H$13=Topraklar!$H$8,0,1))/Ayarlar!$B$7)+IF(Topraklar!$K$8=Bitkiler!$C$13,0.002,IF(Topraklar!$L$8="Evet",0.001,0)))</f>
        <v/>
      </c>
      <c r="I14" s="16">
        <f>IF(OR(Topraklar!$J$9="Evet",AND(Topraklar!$L$9&lt;&gt;"Evet",Topraklar!$K$9&lt;&gt;Bitkiler!$C$13)),0,MAX(0,1-(Ayarlar!$B$2*ABS(Bitkiler!$D$13-Topraklar!$D$9)+Ayarlar!$B$3*ABS(Bitkiler!$E$13-Topraklar!$E$9)+Ayarlar!$B$4*ABS(Bitkiler!$F$13-Topraklar!$F$9)+Ayarlar!$B$5*ABS(Bitkiler!$G$13-Topraklar!$G$9)+Ayarlar!$B$6*IF(Bitkiler!$H$13=Topraklar!$H$9,0,1))/Ayarlar!$B$7)+IF(Topraklar!$K$9=Bitkiler!$C$13,0.002,IF(Topraklar!$L$9="Evet",0.001,0)))</f>
        <v/>
      </c>
      <c r="J14" s="16">
        <f>IF(OR(Topraklar!$J$10="Evet",AND(Topraklar!$L$10&lt;&gt;"Evet",Topraklar!$K$10&lt;&gt;Bitkiler!$C$13)),0,MAX(0,1-(Ayarlar!$B$2*ABS(Bitkiler!$D$13-Topraklar!$D$10)+Ayarlar!$B$3*ABS(Bitkiler!$E$13-Topraklar!$E$10)+Ayarlar!$B$4*ABS(Bitkiler!$F$13-Topraklar!$F$10)+Ayarlar!$B$5*ABS(Bitkiler!$G$13-Topraklar!$G$10)+Ayarlar!$B$6*IF(Bitkiler!$H$13=Topraklar!$H$10,0,1))/Ayarlar!$B$7)+IF(Topraklar!$K$10=Bitkiler!$C$13,0.002,IF(Topraklar!$L$10="Evet",0.001,0)))</f>
        <v/>
      </c>
      <c r="K14" s="16">
        <f>IF(OR(Topraklar!$J$11="Evet",AND(Topraklar!$L$11&lt;&gt;"Evet",Topraklar!$K$11&lt;&gt;Bitkiler!$C$13)),0,MAX(0,1-(Ayarlar!$B$2*ABS(Bitkiler!$D$13-Topraklar!$D$11)+Ayarlar!$B$3*ABS(Bitkiler!$E$13-Topraklar!$E$11)+Ayarlar!$B$4*ABS(Bitkiler!$F$13-Topraklar!$F$11)+Ayarlar!$B$5*ABS(Bitkiler!$G$13-Topraklar!$G$11)+Ayarlar!$B$6*IF(Bitkiler!$H$13=Topraklar!$H$11,0,1))/Ayarlar!$B$7)+IF(Topraklar!$K$11=Bitkiler!$C$13,0.002,IF(Topraklar!$L$11="Evet",0.001,0)))</f>
        <v/>
      </c>
      <c r="L14" s="16">
        <f>IF(OR(Topraklar!$J$12="Evet",AND(Topraklar!$L$12&lt;&gt;"Evet",Topraklar!$K$12&lt;&gt;Bitkiler!$C$13)),0,MAX(0,1-(Ayarlar!$B$2*ABS(Bitkiler!$D$13-Topraklar!$D$12)+Ayarlar!$B$3*ABS(Bitkiler!$E$13-Topraklar!$E$12)+Ayarlar!$B$4*ABS(Bitkiler!$F$13-Topraklar!$F$12)+Ayarlar!$B$5*ABS(Bitkiler!$G$13-Topraklar!$G$12)+Ayarlar!$B$6*IF(Bitkiler!$H$13=Topraklar!$H$12,0,1))/Ayarlar!$B$7)+IF(Topraklar!$K$12=Bitkiler!$C$13,0.002,IF(Topraklar!$L$12="Evet",0.001,0)))</f>
        <v/>
      </c>
      <c r="M14" s="16">
        <f>IF(OR(Topraklar!$J$13="Evet",AND(Topraklar!$L$13&lt;&gt;"Evet",Topraklar!$K$13&lt;&gt;Bitkiler!$C$13)),0,MAX(0,1-(Ayarlar!$B$2*ABS(Bitkiler!$D$13-Topraklar!$D$13)+Ayarlar!$B$3*ABS(Bitkiler!$E$13-Topraklar!$E$13)+Ayarlar!$B$4*ABS(Bitkiler!$F$13-Topraklar!$F$13)+Ayarlar!$B$5*ABS(Bitkiler!$G$13-Topraklar!$G$13)+Ayarlar!$B$6*IF(Bitkiler!$H$13=Topraklar!$H$13,0,1))/Ayarlar!$B$7)+IF(Topraklar!$K$13=Bitkiler!$C$13,0.002,IF(Topraklar!$L$13="Evet",0.001,0)))</f>
        <v/>
      </c>
      <c r="N14" s="16">
        <f>IF(OR(Topraklar!$J$14="Evet",AND(Topraklar!$L$14&lt;&gt;"Evet",Topraklar!$K$14&lt;&gt;Bitkiler!$C$13)),0,MAX(0,1-(Ayarlar!$B$2*ABS(Bitkiler!$D$13-Topraklar!$D$14)+Ayarlar!$B$3*ABS(Bitkiler!$E$13-Topraklar!$E$14)+Ayarlar!$B$4*ABS(Bitkiler!$F$13-Topraklar!$F$14)+Ayarlar!$B$5*ABS(Bitkiler!$G$13-Topraklar!$G$14)+Ayarlar!$B$6*IF(Bitkiler!$H$13=Topraklar!$H$14,0,1))/Ayarlar!$B$7)+IF(Topraklar!$K$14=Bitkiler!$C$13,0.002,IF(Topraklar!$L$14="Evet",0.001,0)))</f>
        <v/>
      </c>
      <c r="O14" s="16">
        <f>IF(OR(Topraklar!$J$15="Evet",AND(Topraklar!$L$15&lt;&gt;"Evet",Topraklar!$K$15&lt;&gt;Bitkiler!$C$13)),0,MAX(0,1-(Ayarlar!$B$2*ABS(Bitkiler!$D$13-Topraklar!$D$15)+Ayarlar!$B$3*ABS(Bitkiler!$E$13-Topraklar!$E$15)+Ayarlar!$B$4*ABS(Bitkiler!$F$13-Topraklar!$F$15)+Ayarlar!$B$5*ABS(Bitkiler!$G$13-Topraklar!$G$15)+Ayarlar!$B$6*IF(Bitkiler!$H$13=Topraklar!$H$15,0,1))/Ayarlar!$B$7)+IF(Topraklar!$K$15=Bitkiler!$C$13,0.002,IF(Topraklar!$L$15="Evet",0.001,0)))</f>
        <v/>
      </c>
      <c r="P14" s="16">
        <f>IF(OR(Topraklar!$J$16="Evet",AND(Topraklar!$L$16&lt;&gt;"Evet",Topraklar!$K$16&lt;&gt;Bitkiler!$C$13)),0,MAX(0,1-(Ayarlar!$B$2*ABS(Bitkiler!$D$13-Topraklar!$D$16)+Ayarlar!$B$3*ABS(Bitkiler!$E$13-Topraklar!$E$16)+Ayarlar!$B$4*ABS(Bitkiler!$F$13-Topraklar!$F$16)+Ayarlar!$B$5*ABS(Bitkiler!$G$13-Topraklar!$G$16)+Ayarlar!$B$6*IF(Bitkiler!$H$13=Topraklar!$H$16,0,1))/Ayarlar!$B$7)+IF(Topraklar!$K$16=Bitkiler!$C$13,0.002,IF(Topraklar!$L$16="Evet",0.001,0)))</f>
        <v/>
      </c>
      <c r="Q14" s="16">
        <f>IF(OR(Topraklar!$J$17="Evet",AND(Topraklar!$L$17&lt;&gt;"Evet",Topraklar!$K$17&lt;&gt;Bitkiler!$C$13)),0,MAX(0,1-(Ayarlar!$B$2*ABS(Bitkiler!$D$13-Topraklar!$D$17)+Ayarlar!$B$3*ABS(Bitkiler!$E$13-Topraklar!$E$17)+Ayarlar!$B$4*ABS(Bitkiler!$F$13-Topraklar!$F$17)+Ayarlar!$B$5*ABS(Bitkiler!$G$13-Topraklar!$G$17)+Ayarlar!$B$6*IF(Bitkiler!$H$13=Topraklar!$H$17,0,1))/Ayarlar!$B$7)+IF(Topraklar!$K$17=Bitkiler!$C$13,0.002,IF(Topraklar!$L$17="Evet",0.001,0)))</f>
        <v/>
      </c>
      <c r="R14" s="16">
        <f>IF(OR(Topraklar!$J$18="Evet",AND(Topraklar!$L$18&lt;&gt;"Evet",Topraklar!$K$18&lt;&gt;Bitkiler!$C$13)),0,MAX(0,1-(Ayarlar!$B$2*ABS(Bitkiler!$D$13-Topraklar!$D$18)+Ayarlar!$B$3*ABS(Bitkiler!$E$13-Topraklar!$E$18)+Ayarlar!$B$4*ABS(Bitkiler!$F$13-Topraklar!$F$18)+Ayarlar!$B$5*ABS(Bitkiler!$G$13-Topraklar!$G$18)+Ayarlar!$B$6*IF(Bitkiler!$H$13=Topraklar!$H$18,0,1))/Ayarlar!$B$7)+IF(Topraklar!$K$18=Bitkiler!$C$13,0.002,IF(Topraklar!$L$18="Evet",0.001,0)))</f>
        <v/>
      </c>
      <c r="S14" s="16">
        <f>IF(OR(Topraklar!$J$19="Evet",AND(Topraklar!$L$19&lt;&gt;"Evet",Topraklar!$K$19&lt;&gt;Bitkiler!$C$13)),0,MAX(0,1-(Ayarlar!$B$2*ABS(Bitkiler!$D$13-Topraklar!$D$19)+Ayarlar!$B$3*ABS(Bitkiler!$E$13-Topraklar!$E$19)+Ayarlar!$B$4*ABS(Bitkiler!$F$13-Topraklar!$F$19)+Ayarlar!$B$5*ABS(Bitkiler!$G$13-Topraklar!$G$19)+Ayarlar!$B$6*IF(Bitkiler!$H$13=Topraklar!$H$19,0,1))/Ayarlar!$B$7)+IF(Topraklar!$K$19=Bitkiler!$C$13,0.002,IF(Topraklar!$L$19="Evet",0.001,0)))</f>
        <v/>
      </c>
      <c r="T14" s="16">
        <f>IF(OR(Topraklar!$J$20="Evet",AND(Topraklar!$L$20&lt;&gt;"Evet",Topraklar!$K$20&lt;&gt;Bitkiler!$C$13)),0,MAX(0,1-(Ayarlar!$B$2*ABS(Bitkiler!$D$13-Topraklar!$D$20)+Ayarlar!$B$3*ABS(Bitkiler!$E$13-Topraklar!$E$20)+Ayarlar!$B$4*ABS(Bitkiler!$F$13-Topraklar!$F$20)+Ayarlar!$B$5*ABS(Bitkiler!$G$13-Topraklar!$G$20)+Ayarlar!$B$6*IF(Bitkiler!$H$13=Topraklar!$H$20,0,1))/Ayarlar!$B$7)+IF(Topraklar!$K$20=Bitkiler!$C$13,0.002,IF(Topraklar!$L$20="Evet",0.001,0)))</f>
        <v/>
      </c>
      <c r="U14" s="16">
        <f>IF(OR(Topraklar!$J$21="Evet",AND(Topraklar!$L$21&lt;&gt;"Evet",Topraklar!$K$21&lt;&gt;Bitkiler!$C$13)),0,MAX(0,1-(Ayarlar!$B$2*ABS(Bitkiler!$D$13-Topraklar!$D$21)+Ayarlar!$B$3*ABS(Bitkiler!$E$13-Topraklar!$E$21)+Ayarlar!$B$4*ABS(Bitkiler!$F$13-Topraklar!$F$21)+Ayarlar!$B$5*ABS(Bitkiler!$G$13-Topraklar!$G$21)+Ayarlar!$B$6*IF(Bitkiler!$H$13=Topraklar!$H$21,0,1))/Ayarlar!$B$7)+IF(Topraklar!$K$21=Bitkiler!$C$13,0.002,IF(Topraklar!$L$21="Evet",0.001,0)))</f>
        <v/>
      </c>
      <c r="V14" s="16">
        <f>IF(OR(Topraklar!$J$22="Evet",AND(Topraklar!$L$22&lt;&gt;"Evet",Topraklar!$K$22&lt;&gt;Bitkiler!$C$13)),0,MAX(0,1-(Ayarlar!$B$2*ABS(Bitkiler!$D$13-Topraklar!$D$22)+Ayarlar!$B$3*ABS(Bitkiler!$E$13-Topraklar!$E$22)+Ayarlar!$B$4*ABS(Bitkiler!$F$13-Topraklar!$F$22)+Ayarlar!$B$5*ABS(Bitkiler!$G$13-Topraklar!$G$22)+Ayarlar!$B$6*IF(Bitkiler!$H$13=Topraklar!$H$22,0,1))/Ayarlar!$B$7)+IF(Topraklar!$K$22=Bitkiler!$C$13,0.002,IF(Topraklar!$L$22="Evet",0.001,0)))</f>
        <v/>
      </c>
      <c r="W14" s="16">
        <f>IF(OR(Topraklar!$J$23="Evet",AND(Topraklar!$L$23&lt;&gt;"Evet",Topraklar!$K$23&lt;&gt;Bitkiler!$C$13)),0,MAX(0,1-(Ayarlar!$B$2*ABS(Bitkiler!$D$13-Topraklar!$D$23)+Ayarlar!$B$3*ABS(Bitkiler!$E$13-Topraklar!$E$23)+Ayarlar!$B$4*ABS(Bitkiler!$F$13-Topraklar!$F$23)+Ayarlar!$B$5*ABS(Bitkiler!$G$13-Topraklar!$G$23)+Ayarlar!$B$6*IF(Bitkiler!$H$13=Topraklar!$H$23,0,1))/Ayarlar!$B$7)+IF(Topraklar!$K$23=Bitkiler!$C$13,0.002,IF(Topraklar!$L$23="Evet",0.001,0)))</f>
        <v/>
      </c>
      <c r="X14" s="16">
        <f>IF(OR(Topraklar!$J$24="Evet",AND(Topraklar!$L$24&lt;&gt;"Evet",Topraklar!$K$24&lt;&gt;Bitkiler!$C$13)),0,MAX(0,1-(Ayarlar!$B$2*ABS(Bitkiler!$D$13-Topraklar!$D$24)+Ayarlar!$B$3*ABS(Bitkiler!$E$13-Topraklar!$E$24)+Ayarlar!$B$4*ABS(Bitkiler!$F$13-Topraklar!$F$24)+Ayarlar!$B$5*ABS(Bitkiler!$G$13-Topraklar!$G$24)+Ayarlar!$B$6*IF(Bitkiler!$H$13=Topraklar!$H$24,0,1))/Ayarlar!$B$7)+IF(Topraklar!$K$24=Bitkiler!$C$13,0.002,IF(Topraklar!$L$24="Evet",0.001,0)))</f>
        <v/>
      </c>
      <c r="Y14" s="16">
        <f>IF(OR(Topraklar!$J$25="Evet",AND(Topraklar!$L$25&lt;&gt;"Evet",Topraklar!$K$25&lt;&gt;Bitkiler!$C$13)),0,MAX(0,1-(Ayarlar!$B$2*ABS(Bitkiler!$D$13-Topraklar!$D$25)+Ayarlar!$B$3*ABS(Bitkiler!$E$13-Topraklar!$E$25)+Ayarlar!$B$4*ABS(Bitkiler!$F$13-Topraklar!$F$25)+Ayarlar!$B$5*ABS(Bitkiler!$G$13-Topraklar!$G$25)+Ayarlar!$B$6*IF(Bitkiler!$H$13=Topraklar!$H$25,0,1))/Ayarlar!$B$7)+IF(Topraklar!$K$25=Bitkiler!$C$13,0.002,IF(Topraklar!$L$25="Evet",0.001,0)))</f>
        <v/>
      </c>
      <c r="Z14" s="16">
        <f>IF(OR(Topraklar!$J$26="Evet",AND(Topraklar!$L$26&lt;&gt;"Evet",Topraklar!$K$26&lt;&gt;Bitkiler!$C$13)),0,MAX(0,1-(Ayarlar!$B$2*ABS(Bitkiler!$D$13-Topraklar!$D$26)+Ayarlar!$B$3*ABS(Bitkiler!$E$13-Topraklar!$E$26)+Ayarlar!$B$4*ABS(Bitkiler!$F$13-Topraklar!$F$26)+Ayarlar!$B$5*ABS(Bitkiler!$G$13-Topraklar!$G$26)+Ayarlar!$B$6*IF(Bitkiler!$H$13=Topraklar!$H$26,0,1))/Ayarlar!$B$7)+IF(Topraklar!$K$26=Bitkiler!$C$13,0.002,IF(Topraklar!$L$26="Evet",0.001,0)))</f>
        <v/>
      </c>
      <c r="AA14" s="16">
        <f>IF(OR(Topraklar!$J$27="Evet",AND(Topraklar!$L$27&lt;&gt;"Evet",Topraklar!$K$27&lt;&gt;Bitkiler!$C$13)),0,MAX(0,1-(Ayarlar!$B$2*ABS(Bitkiler!$D$13-Topraklar!$D$27)+Ayarlar!$B$3*ABS(Bitkiler!$E$13-Topraklar!$E$27)+Ayarlar!$B$4*ABS(Bitkiler!$F$13-Topraklar!$F$27)+Ayarlar!$B$5*ABS(Bitkiler!$G$13-Topraklar!$G$27)+Ayarlar!$B$6*IF(Bitkiler!$H$13=Topraklar!$H$27,0,1))/Ayarlar!$B$7)+IF(Topraklar!$K$27=Bitkiler!$C$13,0.002,IF(Topraklar!$L$27="Evet",0.001,0)))</f>
        <v/>
      </c>
      <c r="AB14" s="16">
        <f>IF(OR(Topraklar!$J$28="Evet",AND(Topraklar!$L$28&lt;&gt;"Evet",Topraklar!$K$28&lt;&gt;Bitkiler!$C$13)),0,MAX(0,1-(Ayarlar!$B$2*ABS(Bitkiler!$D$13-Topraklar!$D$28)+Ayarlar!$B$3*ABS(Bitkiler!$E$13-Topraklar!$E$28)+Ayarlar!$B$4*ABS(Bitkiler!$F$13-Topraklar!$F$28)+Ayarlar!$B$5*ABS(Bitkiler!$G$13-Topraklar!$G$28)+Ayarlar!$B$6*IF(Bitkiler!$H$13=Topraklar!$H$28,0,1))/Ayarlar!$B$7)+IF(Topraklar!$K$28=Bitkiler!$C$13,0.002,IF(Topraklar!$L$28="Evet",0.001,0)))</f>
        <v/>
      </c>
      <c r="AC14" s="16">
        <f>IF(OR(Topraklar!$J$29="Evet",AND(Topraklar!$L$29&lt;&gt;"Evet",Topraklar!$K$29&lt;&gt;Bitkiler!$C$13)),0,MAX(0,1-(Ayarlar!$B$2*ABS(Bitkiler!$D$13-Topraklar!$D$29)+Ayarlar!$B$3*ABS(Bitkiler!$E$13-Topraklar!$E$29)+Ayarlar!$B$4*ABS(Bitkiler!$F$13-Topraklar!$F$29)+Ayarlar!$B$5*ABS(Bitkiler!$G$13-Topraklar!$G$29)+Ayarlar!$B$6*IF(Bitkiler!$H$13=Topraklar!$H$29,0,1))/Ayarlar!$B$7)+IF(Topraklar!$K$29=Bitkiler!$C$13,0.002,IF(Topraklar!$L$29="Evet",0.001,0)))</f>
        <v/>
      </c>
      <c r="AD14" s="16">
        <f>IF(OR(Topraklar!$J$30="Evet",AND(Topraklar!$L$30&lt;&gt;"Evet",Topraklar!$K$30&lt;&gt;Bitkiler!$C$13)),0,MAX(0,1-(Ayarlar!$B$2*ABS(Bitkiler!$D$13-Topraklar!$D$30)+Ayarlar!$B$3*ABS(Bitkiler!$E$13-Topraklar!$E$30)+Ayarlar!$B$4*ABS(Bitkiler!$F$13-Topraklar!$F$30)+Ayarlar!$B$5*ABS(Bitkiler!$G$13-Topraklar!$G$30)+Ayarlar!$B$6*IF(Bitkiler!$H$13=Topraklar!$H$30,0,1))/Ayarlar!$B$7)+IF(Topraklar!$K$30=Bitkiler!$C$13,0.002,IF(Topraklar!$L$30="Evet",0.001,0)))</f>
        <v/>
      </c>
      <c r="AE14" s="16">
        <f>IF(OR(Topraklar!$J$31="Evet",AND(Topraklar!$L$31&lt;&gt;"Evet",Topraklar!$K$31&lt;&gt;Bitkiler!$C$13)),0,MAX(0,1-(Ayarlar!$B$2*ABS(Bitkiler!$D$13-Topraklar!$D$31)+Ayarlar!$B$3*ABS(Bitkiler!$E$13-Topraklar!$E$31)+Ayarlar!$B$4*ABS(Bitkiler!$F$13-Topraklar!$F$31)+Ayarlar!$B$5*ABS(Bitkiler!$G$13-Topraklar!$G$31)+Ayarlar!$B$6*IF(Bitkiler!$H$13=Topraklar!$H$31,0,1))/Ayarlar!$B$7)+IF(Topraklar!$K$31=Bitkiler!$C$13,0.002,IF(Topraklar!$L$31="Evet",0.001,0)))</f>
        <v/>
      </c>
      <c r="AF14" s="16">
        <f>IF(OR(Topraklar!$J$32="Evet",AND(Topraklar!$L$32&lt;&gt;"Evet",Topraklar!$K$32&lt;&gt;Bitkiler!$C$13)),0,MAX(0,1-(Ayarlar!$B$2*ABS(Bitkiler!$D$13-Topraklar!$D$32)+Ayarlar!$B$3*ABS(Bitkiler!$E$13-Topraklar!$E$32)+Ayarlar!$B$4*ABS(Bitkiler!$F$13-Topraklar!$F$32)+Ayarlar!$B$5*ABS(Bitkiler!$G$13-Topraklar!$G$32)+Ayarlar!$B$6*IF(Bitkiler!$H$13=Topraklar!$H$32,0,1))/Ayarlar!$B$7)+IF(Topraklar!$K$32=Bitkiler!$C$13,0.002,IF(Topraklar!$L$32="Evet",0.001,0)))</f>
        <v/>
      </c>
      <c r="AG14" s="16">
        <f>IF(OR(Topraklar!$J$33="Evet",AND(Topraklar!$L$33&lt;&gt;"Evet",Topraklar!$K$33&lt;&gt;Bitkiler!$C$13)),0,MAX(0,1-(Ayarlar!$B$2*ABS(Bitkiler!$D$13-Topraklar!$D$33)+Ayarlar!$B$3*ABS(Bitkiler!$E$13-Topraklar!$E$33)+Ayarlar!$B$4*ABS(Bitkiler!$F$13-Topraklar!$F$33)+Ayarlar!$B$5*ABS(Bitkiler!$G$13-Topraklar!$G$33)+Ayarlar!$B$6*IF(Bitkiler!$H$13=Topraklar!$H$33,0,1))/Ayarlar!$B$7)+IF(Topraklar!$K$33=Bitkiler!$C$13,0.002,IF(Topraklar!$L$33="Evet",0.001,0)))</f>
        <v/>
      </c>
      <c r="AH14" s="16">
        <f>IF(OR(Topraklar!$J$34="Evet",AND(Topraklar!$L$34&lt;&gt;"Evet",Topraklar!$K$34&lt;&gt;Bitkiler!$C$13)),0,MAX(0,1-(Ayarlar!$B$2*ABS(Bitkiler!$D$13-Topraklar!$D$34)+Ayarlar!$B$3*ABS(Bitkiler!$E$13-Topraklar!$E$34)+Ayarlar!$B$4*ABS(Bitkiler!$F$13-Topraklar!$F$34)+Ayarlar!$B$5*ABS(Bitkiler!$G$13-Topraklar!$G$34)+Ayarlar!$B$6*IF(Bitkiler!$H$13=Topraklar!$H$34,0,1))/Ayarlar!$B$7)+IF(Topraklar!$K$34=Bitkiler!$C$13,0.002,IF(Topraklar!$L$34="Evet",0.001,0)))</f>
        <v/>
      </c>
      <c r="AI14" s="16">
        <f>IF(OR(Topraklar!$J$35="Evet",AND(Topraklar!$L$35&lt;&gt;"Evet",Topraklar!$K$35&lt;&gt;Bitkiler!$C$13)),0,MAX(0,1-(Ayarlar!$B$2*ABS(Bitkiler!$D$13-Topraklar!$D$35)+Ayarlar!$B$3*ABS(Bitkiler!$E$13-Topraklar!$E$35)+Ayarlar!$B$4*ABS(Bitkiler!$F$13-Topraklar!$F$35)+Ayarlar!$B$5*ABS(Bitkiler!$G$13-Topraklar!$G$35)+Ayarlar!$B$6*IF(Bitkiler!$H$13=Topraklar!$H$35,0,1))/Ayarlar!$B$7)+IF(Topraklar!$K$35=Bitkiler!$C$13,0.002,IF(Topraklar!$L$35="Evet",0.001,0)))</f>
        <v/>
      </c>
      <c r="AJ14" s="16">
        <f>IF(OR(Topraklar!$J$36="Evet",AND(Topraklar!$L$36&lt;&gt;"Evet",Topraklar!$K$36&lt;&gt;Bitkiler!$C$13)),0,MAX(0,1-(Ayarlar!$B$2*ABS(Bitkiler!$D$13-Topraklar!$D$36)+Ayarlar!$B$3*ABS(Bitkiler!$E$13-Topraklar!$E$36)+Ayarlar!$B$4*ABS(Bitkiler!$F$13-Topraklar!$F$36)+Ayarlar!$B$5*ABS(Bitkiler!$G$13-Topraklar!$G$36)+Ayarlar!$B$6*IF(Bitkiler!$H$13=Topraklar!$H$36,0,1))/Ayarlar!$B$7)+IF(Topraklar!$K$36=Bitkiler!$C$13,0.002,IF(Topraklar!$L$36="Evet",0.001,0)))</f>
        <v/>
      </c>
      <c r="AK14" s="16">
        <f>IF(OR(Topraklar!$J$37="Evet",AND(Topraklar!$L$37&lt;&gt;"Evet",Topraklar!$K$37&lt;&gt;Bitkiler!$C$13)),0,MAX(0,1-(Ayarlar!$B$2*ABS(Bitkiler!$D$13-Topraklar!$D$37)+Ayarlar!$B$3*ABS(Bitkiler!$E$13-Topraklar!$E$37)+Ayarlar!$B$4*ABS(Bitkiler!$F$13-Topraklar!$F$37)+Ayarlar!$B$5*ABS(Bitkiler!$G$13-Topraklar!$G$37)+Ayarlar!$B$6*IF(Bitkiler!$H$13=Topraklar!$H$37,0,1))/Ayarlar!$B$7)+IF(Topraklar!$K$37=Bitkiler!$C$13,0.002,IF(Topraklar!$L$37="Evet",0.001,0)))</f>
        <v/>
      </c>
      <c r="AL14" s="16">
        <f>IF(OR(Topraklar!$J$38="Evet",AND(Topraklar!$L$38&lt;&gt;"Evet",Topraklar!$K$38&lt;&gt;Bitkiler!$C$13)),0,MAX(0,1-(Ayarlar!$B$2*ABS(Bitkiler!$D$13-Topraklar!$D$38)+Ayarlar!$B$3*ABS(Bitkiler!$E$13-Topraklar!$E$38)+Ayarlar!$B$4*ABS(Bitkiler!$F$13-Topraklar!$F$38)+Ayarlar!$B$5*ABS(Bitkiler!$G$13-Topraklar!$G$38)+Ayarlar!$B$6*IF(Bitkiler!$H$13=Topraklar!$H$38,0,1))/Ayarlar!$B$7)+IF(Topraklar!$K$38=Bitkiler!$C$13,0.002,IF(Topraklar!$L$38="Evet",0.001,0)))</f>
        <v/>
      </c>
      <c r="AM14" s="16">
        <f>IF(OR(Topraklar!$J$39="Evet",AND(Topraklar!$L$39&lt;&gt;"Evet",Topraklar!$K$39&lt;&gt;Bitkiler!$C$13)),0,MAX(0,1-(Ayarlar!$B$2*ABS(Bitkiler!$D$13-Topraklar!$D$39)+Ayarlar!$B$3*ABS(Bitkiler!$E$13-Topraklar!$E$39)+Ayarlar!$B$4*ABS(Bitkiler!$F$13-Topraklar!$F$39)+Ayarlar!$B$5*ABS(Bitkiler!$G$13-Topraklar!$G$39)+Ayarlar!$B$6*IF(Bitkiler!$H$13=Topraklar!$H$39,0,1))/Ayarlar!$B$7)+IF(Topraklar!$K$39=Bitkiler!$C$13,0.002,IF(Topraklar!$L$39="Evet",0.001,0)))</f>
        <v/>
      </c>
      <c r="AN14" s="16">
        <f>IF(OR(Topraklar!$J$40="Evet",AND(Topraklar!$L$40&lt;&gt;"Evet",Topraklar!$K$40&lt;&gt;Bitkiler!$C$13)),0,MAX(0,1-(Ayarlar!$B$2*ABS(Bitkiler!$D$13-Topraklar!$D$40)+Ayarlar!$B$3*ABS(Bitkiler!$E$13-Topraklar!$E$40)+Ayarlar!$B$4*ABS(Bitkiler!$F$13-Topraklar!$F$40)+Ayarlar!$B$5*ABS(Bitkiler!$G$13-Topraklar!$G$40)+Ayarlar!$B$6*IF(Bitkiler!$H$13=Topraklar!$H$40,0,1))/Ayarlar!$B$7)+IF(Topraklar!$K$40=Bitkiler!$C$13,0.002,IF(Topraklar!$L$40="Evet",0.001,0)))</f>
        <v/>
      </c>
      <c r="AO14" s="16">
        <f>IF(OR(Topraklar!$J$41="Evet",AND(Topraklar!$L$41&lt;&gt;"Evet",Topraklar!$K$41&lt;&gt;Bitkiler!$C$13)),0,MAX(0,1-(Ayarlar!$B$2*ABS(Bitkiler!$D$13-Topraklar!$D$41)+Ayarlar!$B$3*ABS(Bitkiler!$E$13-Topraklar!$E$41)+Ayarlar!$B$4*ABS(Bitkiler!$F$13-Topraklar!$F$41)+Ayarlar!$B$5*ABS(Bitkiler!$G$13-Topraklar!$G$41)+Ayarlar!$B$6*IF(Bitkiler!$H$13=Topraklar!$H$41,0,1))/Ayarlar!$B$7)+IF(Topraklar!$K$41=Bitkiler!$C$13,0.002,IF(Topraklar!$L$41="Evet",0.001,0)))</f>
        <v/>
      </c>
      <c r="AP14" s="16">
        <f>IF(OR(Topraklar!$J$42="Evet",AND(Topraklar!$L$42&lt;&gt;"Evet",Topraklar!$K$42&lt;&gt;Bitkiler!$C$13)),0,MAX(0,1-(Ayarlar!$B$2*ABS(Bitkiler!$D$13-Topraklar!$D$42)+Ayarlar!$B$3*ABS(Bitkiler!$E$13-Topraklar!$E$42)+Ayarlar!$B$4*ABS(Bitkiler!$F$13-Topraklar!$F$42)+Ayarlar!$B$5*ABS(Bitkiler!$G$13-Topraklar!$G$42)+Ayarlar!$B$6*IF(Bitkiler!$H$13=Topraklar!$H$42,0,1))/Ayarlar!$B$7)+IF(Topraklar!$K$42=Bitkiler!$C$13,0.002,IF(Topraklar!$L$42="Evet",0.001,0)))</f>
        <v/>
      </c>
      <c r="AQ14" s="16">
        <f>IF(OR(Topraklar!$J$43="Evet",AND(Topraklar!$L$43&lt;&gt;"Evet",Topraklar!$K$43&lt;&gt;Bitkiler!$C$13)),0,MAX(0,1-(Ayarlar!$B$2*ABS(Bitkiler!$D$13-Topraklar!$D$43)+Ayarlar!$B$3*ABS(Bitkiler!$E$13-Topraklar!$E$43)+Ayarlar!$B$4*ABS(Bitkiler!$F$13-Topraklar!$F$43)+Ayarlar!$B$5*ABS(Bitkiler!$G$13-Topraklar!$G$43)+Ayarlar!$B$6*IF(Bitkiler!$H$13=Topraklar!$H$43,0,1))/Ayarlar!$B$7)+IF(Topraklar!$K$43=Bitkiler!$C$13,0.002,IF(Topraklar!$L$43="Evet",0.001,0)))</f>
        <v/>
      </c>
      <c r="AR14" s="16">
        <f>IF(OR(Topraklar!$J$44="Evet",AND(Topraklar!$L$44&lt;&gt;"Evet",Topraklar!$K$44&lt;&gt;Bitkiler!$C$13)),0,MAX(0,1-(Ayarlar!$B$2*ABS(Bitkiler!$D$13-Topraklar!$D$44)+Ayarlar!$B$3*ABS(Bitkiler!$E$13-Topraklar!$E$44)+Ayarlar!$B$4*ABS(Bitkiler!$F$13-Topraklar!$F$44)+Ayarlar!$B$5*ABS(Bitkiler!$G$13-Topraklar!$G$44)+Ayarlar!$B$6*IF(Bitkiler!$H$13=Topraklar!$H$44,0,1))/Ayarlar!$B$7)+IF(Topraklar!$K$44=Bitkiler!$C$13,0.002,IF(Topraklar!$L$44="Evet",0.001,0)))</f>
        <v/>
      </c>
      <c r="AS14" s="16">
        <f>IF(OR(Topraklar!$J$45="Evet",AND(Topraklar!$L$45&lt;&gt;"Evet",Topraklar!$K$45&lt;&gt;Bitkiler!$C$13)),0,MAX(0,1-(Ayarlar!$B$2*ABS(Bitkiler!$D$13-Topraklar!$D$45)+Ayarlar!$B$3*ABS(Bitkiler!$E$13-Topraklar!$E$45)+Ayarlar!$B$4*ABS(Bitkiler!$F$13-Topraklar!$F$45)+Ayarlar!$B$5*ABS(Bitkiler!$G$13-Topraklar!$G$45)+Ayarlar!$B$6*IF(Bitkiler!$H$13=Topraklar!$H$45,0,1))/Ayarlar!$B$7)+IF(Topraklar!$K$45=Bitkiler!$C$13,0.002,IF(Topraklar!$L$45="Evet",0.001,0)))</f>
        <v/>
      </c>
      <c r="AT14" s="16">
        <f>IF(OR(Topraklar!$J$46="Evet",AND(Topraklar!$L$46&lt;&gt;"Evet",Topraklar!$K$46&lt;&gt;Bitkiler!$C$13)),0,MAX(0,1-(Ayarlar!$B$2*ABS(Bitkiler!$D$13-Topraklar!$D$46)+Ayarlar!$B$3*ABS(Bitkiler!$E$13-Topraklar!$E$46)+Ayarlar!$B$4*ABS(Bitkiler!$F$13-Topraklar!$F$46)+Ayarlar!$B$5*ABS(Bitkiler!$G$13-Topraklar!$G$46)+Ayarlar!$B$6*IF(Bitkiler!$H$13=Topraklar!$H$46,0,1))/Ayarlar!$B$7)+IF(Topraklar!$K$46=Bitkiler!$C$13,0.002,IF(Topraklar!$L$46="Evet",0.001,0)))</f>
        <v/>
      </c>
      <c r="AU14" s="16">
        <f>IF(OR(Topraklar!$J$47="Evet",AND(Topraklar!$L$47&lt;&gt;"Evet",Topraklar!$K$47&lt;&gt;Bitkiler!$C$13)),0,MAX(0,1-(Ayarlar!$B$2*ABS(Bitkiler!$D$13-Topraklar!$D$47)+Ayarlar!$B$3*ABS(Bitkiler!$E$13-Topraklar!$E$47)+Ayarlar!$B$4*ABS(Bitkiler!$F$13-Topraklar!$F$47)+Ayarlar!$B$5*ABS(Bitkiler!$G$13-Topraklar!$G$47)+Ayarlar!$B$6*IF(Bitkiler!$H$13=Topraklar!$H$47,0,1))/Ayarlar!$B$7)+IF(Topraklar!$K$47=Bitkiler!$C$13,0.002,IF(Topraklar!$L$47="Evet",0.001,0)))</f>
        <v/>
      </c>
      <c r="AV14" s="16">
        <f>IF(OR(Topraklar!$J$48="Evet",AND(Topraklar!$L$48&lt;&gt;"Evet",Topraklar!$K$48&lt;&gt;Bitkiler!$C$13)),0,MAX(0,1-(Ayarlar!$B$2*ABS(Bitkiler!$D$13-Topraklar!$D$48)+Ayarlar!$B$3*ABS(Bitkiler!$E$13-Topraklar!$E$48)+Ayarlar!$B$4*ABS(Bitkiler!$F$13-Topraklar!$F$48)+Ayarlar!$B$5*ABS(Bitkiler!$G$13-Topraklar!$G$48)+Ayarlar!$B$6*IF(Bitkiler!$H$13=Topraklar!$H$48,0,1))/Ayarlar!$B$7)+IF(Topraklar!$K$48=Bitkiler!$C$13,0.002,IF(Topraklar!$L$48="Evet",0.001,0)))</f>
        <v/>
      </c>
      <c r="AW14" s="16">
        <f>IF(OR(Topraklar!$J$49="Evet",AND(Topraklar!$L$49&lt;&gt;"Evet",Topraklar!$K$49&lt;&gt;Bitkiler!$C$13)),0,MAX(0,1-(Ayarlar!$B$2*ABS(Bitkiler!$D$13-Topraklar!$D$49)+Ayarlar!$B$3*ABS(Bitkiler!$E$13-Topraklar!$E$49)+Ayarlar!$B$4*ABS(Bitkiler!$F$13-Topraklar!$F$49)+Ayarlar!$B$5*ABS(Bitkiler!$G$13-Topraklar!$G$49)+Ayarlar!$B$6*IF(Bitkiler!$H$13=Topraklar!$H$49,0,1))/Ayarlar!$B$7)+IF(Topraklar!$K$49=Bitkiler!$C$13,0.002,IF(Topraklar!$L$49="Evet",0.001,0)))</f>
        <v/>
      </c>
      <c r="AX14" s="16">
        <f>IF(OR(Topraklar!$J$50="Evet",AND(Topraklar!$L$50&lt;&gt;"Evet",Topraklar!$K$50&lt;&gt;Bitkiler!$C$13)),0,MAX(0,1-(Ayarlar!$B$2*ABS(Bitkiler!$D$13-Topraklar!$D$50)+Ayarlar!$B$3*ABS(Bitkiler!$E$13-Topraklar!$E$50)+Ayarlar!$B$4*ABS(Bitkiler!$F$13-Topraklar!$F$50)+Ayarlar!$B$5*ABS(Bitkiler!$G$13-Topraklar!$G$50)+Ayarlar!$B$6*IF(Bitkiler!$H$13=Topraklar!$H$50,0,1))/Ayarlar!$B$7)+IF(Topraklar!$K$50=Bitkiler!$C$13,0.002,IF(Topraklar!$L$50="Evet",0.001,0)))</f>
        <v/>
      </c>
      <c r="AY14" s="16">
        <f>IF(OR(Topraklar!$J$51="Evet",AND(Topraklar!$L$51&lt;&gt;"Evet",Topraklar!$K$51&lt;&gt;Bitkiler!$C$13)),0,MAX(0,1-(Ayarlar!$B$2*ABS(Bitkiler!$D$13-Topraklar!$D$51)+Ayarlar!$B$3*ABS(Bitkiler!$E$13-Topraklar!$E$51)+Ayarlar!$B$4*ABS(Bitkiler!$F$13-Topraklar!$F$51)+Ayarlar!$B$5*ABS(Bitkiler!$G$13-Topraklar!$G$51)+Ayarlar!$B$6*IF(Bitkiler!$H$13=Topraklar!$H$51,0,1))/Ayarlar!$B$7)+IF(Topraklar!$K$51=Bitkiler!$C$13,0.002,IF(Topraklar!$L$51="Evet",0.001,0)))</f>
        <v/>
      </c>
    </row>
    <row r="15">
      <c r="A15" s="15">
        <f>Bitkiler!A14</f>
        <v/>
      </c>
      <c r="B15" s="16">
        <f>IF(OR(Topraklar!$J$2="Evet",AND(Topraklar!$L$2&lt;&gt;"Evet",Topraklar!$K$2&lt;&gt;Bitkiler!$C$14)),0,MAX(0,1-(Ayarlar!$B$2*ABS(Bitkiler!$D$14-Topraklar!$D$2)+Ayarlar!$B$3*ABS(Bitkiler!$E$14-Topraklar!$E$2)+Ayarlar!$B$4*ABS(Bitkiler!$F$14-Topraklar!$F$2)+Ayarlar!$B$5*ABS(Bitkiler!$G$14-Topraklar!$G$2)+Ayarlar!$B$6*IF(Bitkiler!$H$14=Topraklar!$H$2,0,1))/Ayarlar!$B$7)+IF(Topraklar!$K$2=Bitkiler!$C$14,0.002,IF(Topraklar!$L$2="Evet",0.001,0)))</f>
        <v/>
      </c>
      <c r="C15" s="16">
        <f>IF(OR(Topraklar!$J$3="Evet",AND(Topraklar!$L$3&lt;&gt;"Evet",Topraklar!$K$3&lt;&gt;Bitkiler!$C$14)),0,MAX(0,1-(Ayarlar!$B$2*ABS(Bitkiler!$D$14-Topraklar!$D$3)+Ayarlar!$B$3*ABS(Bitkiler!$E$14-Topraklar!$E$3)+Ayarlar!$B$4*ABS(Bitkiler!$F$14-Topraklar!$F$3)+Ayarlar!$B$5*ABS(Bitkiler!$G$14-Topraklar!$G$3)+Ayarlar!$B$6*IF(Bitkiler!$H$14=Topraklar!$H$3,0,1))/Ayarlar!$B$7)+IF(Topraklar!$K$3=Bitkiler!$C$14,0.002,IF(Topraklar!$L$3="Evet",0.001,0)))</f>
        <v/>
      </c>
      <c r="D15" s="16">
        <f>IF(OR(Topraklar!$J$4="Evet",AND(Topraklar!$L$4&lt;&gt;"Evet",Topraklar!$K$4&lt;&gt;Bitkiler!$C$14)),0,MAX(0,1-(Ayarlar!$B$2*ABS(Bitkiler!$D$14-Topraklar!$D$4)+Ayarlar!$B$3*ABS(Bitkiler!$E$14-Topraklar!$E$4)+Ayarlar!$B$4*ABS(Bitkiler!$F$14-Topraklar!$F$4)+Ayarlar!$B$5*ABS(Bitkiler!$G$14-Topraklar!$G$4)+Ayarlar!$B$6*IF(Bitkiler!$H$14=Topraklar!$H$4,0,1))/Ayarlar!$B$7)+IF(Topraklar!$K$4=Bitkiler!$C$14,0.002,IF(Topraklar!$L$4="Evet",0.001,0)))</f>
        <v/>
      </c>
      <c r="E15" s="16">
        <f>IF(OR(Topraklar!$J$5="Evet",AND(Topraklar!$L$5&lt;&gt;"Evet",Topraklar!$K$5&lt;&gt;Bitkiler!$C$14)),0,MAX(0,1-(Ayarlar!$B$2*ABS(Bitkiler!$D$14-Topraklar!$D$5)+Ayarlar!$B$3*ABS(Bitkiler!$E$14-Topraklar!$E$5)+Ayarlar!$B$4*ABS(Bitkiler!$F$14-Topraklar!$F$5)+Ayarlar!$B$5*ABS(Bitkiler!$G$14-Topraklar!$G$5)+Ayarlar!$B$6*IF(Bitkiler!$H$14=Topraklar!$H$5,0,1))/Ayarlar!$B$7)+IF(Topraklar!$K$5=Bitkiler!$C$14,0.002,IF(Topraklar!$L$5="Evet",0.001,0)))</f>
        <v/>
      </c>
      <c r="F15" s="16">
        <f>IF(OR(Topraklar!$J$6="Evet",AND(Topraklar!$L$6&lt;&gt;"Evet",Topraklar!$K$6&lt;&gt;Bitkiler!$C$14)),0,MAX(0,1-(Ayarlar!$B$2*ABS(Bitkiler!$D$14-Topraklar!$D$6)+Ayarlar!$B$3*ABS(Bitkiler!$E$14-Topraklar!$E$6)+Ayarlar!$B$4*ABS(Bitkiler!$F$14-Topraklar!$F$6)+Ayarlar!$B$5*ABS(Bitkiler!$G$14-Topraklar!$G$6)+Ayarlar!$B$6*IF(Bitkiler!$H$14=Topraklar!$H$6,0,1))/Ayarlar!$B$7)+IF(Topraklar!$K$6=Bitkiler!$C$14,0.002,IF(Topraklar!$L$6="Evet",0.001,0)))</f>
        <v/>
      </c>
      <c r="G15" s="16">
        <f>IF(OR(Topraklar!$J$7="Evet",AND(Topraklar!$L$7&lt;&gt;"Evet",Topraklar!$K$7&lt;&gt;Bitkiler!$C$14)),0,MAX(0,1-(Ayarlar!$B$2*ABS(Bitkiler!$D$14-Topraklar!$D$7)+Ayarlar!$B$3*ABS(Bitkiler!$E$14-Topraklar!$E$7)+Ayarlar!$B$4*ABS(Bitkiler!$F$14-Topraklar!$F$7)+Ayarlar!$B$5*ABS(Bitkiler!$G$14-Topraklar!$G$7)+Ayarlar!$B$6*IF(Bitkiler!$H$14=Topraklar!$H$7,0,1))/Ayarlar!$B$7)+IF(Topraklar!$K$7=Bitkiler!$C$14,0.002,IF(Topraklar!$L$7="Evet",0.001,0)))</f>
        <v/>
      </c>
      <c r="H15" s="16">
        <f>IF(OR(Topraklar!$J$8="Evet",AND(Topraklar!$L$8&lt;&gt;"Evet",Topraklar!$K$8&lt;&gt;Bitkiler!$C$14)),0,MAX(0,1-(Ayarlar!$B$2*ABS(Bitkiler!$D$14-Topraklar!$D$8)+Ayarlar!$B$3*ABS(Bitkiler!$E$14-Topraklar!$E$8)+Ayarlar!$B$4*ABS(Bitkiler!$F$14-Topraklar!$F$8)+Ayarlar!$B$5*ABS(Bitkiler!$G$14-Topraklar!$G$8)+Ayarlar!$B$6*IF(Bitkiler!$H$14=Topraklar!$H$8,0,1))/Ayarlar!$B$7)+IF(Topraklar!$K$8=Bitkiler!$C$14,0.002,IF(Topraklar!$L$8="Evet",0.001,0)))</f>
        <v/>
      </c>
      <c r="I15" s="16">
        <f>IF(OR(Topraklar!$J$9="Evet",AND(Topraklar!$L$9&lt;&gt;"Evet",Topraklar!$K$9&lt;&gt;Bitkiler!$C$14)),0,MAX(0,1-(Ayarlar!$B$2*ABS(Bitkiler!$D$14-Topraklar!$D$9)+Ayarlar!$B$3*ABS(Bitkiler!$E$14-Topraklar!$E$9)+Ayarlar!$B$4*ABS(Bitkiler!$F$14-Topraklar!$F$9)+Ayarlar!$B$5*ABS(Bitkiler!$G$14-Topraklar!$G$9)+Ayarlar!$B$6*IF(Bitkiler!$H$14=Topraklar!$H$9,0,1))/Ayarlar!$B$7)+IF(Topraklar!$K$9=Bitkiler!$C$14,0.002,IF(Topraklar!$L$9="Evet",0.001,0)))</f>
        <v/>
      </c>
      <c r="J15" s="16">
        <f>IF(OR(Topraklar!$J$10="Evet",AND(Topraklar!$L$10&lt;&gt;"Evet",Topraklar!$K$10&lt;&gt;Bitkiler!$C$14)),0,MAX(0,1-(Ayarlar!$B$2*ABS(Bitkiler!$D$14-Topraklar!$D$10)+Ayarlar!$B$3*ABS(Bitkiler!$E$14-Topraklar!$E$10)+Ayarlar!$B$4*ABS(Bitkiler!$F$14-Topraklar!$F$10)+Ayarlar!$B$5*ABS(Bitkiler!$G$14-Topraklar!$G$10)+Ayarlar!$B$6*IF(Bitkiler!$H$14=Topraklar!$H$10,0,1))/Ayarlar!$B$7)+IF(Topraklar!$K$10=Bitkiler!$C$14,0.002,IF(Topraklar!$L$10="Evet",0.001,0)))</f>
        <v/>
      </c>
      <c r="K15" s="16">
        <f>IF(OR(Topraklar!$J$11="Evet",AND(Topraklar!$L$11&lt;&gt;"Evet",Topraklar!$K$11&lt;&gt;Bitkiler!$C$14)),0,MAX(0,1-(Ayarlar!$B$2*ABS(Bitkiler!$D$14-Topraklar!$D$11)+Ayarlar!$B$3*ABS(Bitkiler!$E$14-Topraklar!$E$11)+Ayarlar!$B$4*ABS(Bitkiler!$F$14-Topraklar!$F$11)+Ayarlar!$B$5*ABS(Bitkiler!$G$14-Topraklar!$G$11)+Ayarlar!$B$6*IF(Bitkiler!$H$14=Topraklar!$H$11,0,1))/Ayarlar!$B$7)+IF(Topraklar!$K$11=Bitkiler!$C$14,0.002,IF(Topraklar!$L$11="Evet",0.001,0)))</f>
        <v/>
      </c>
      <c r="L15" s="16">
        <f>IF(OR(Topraklar!$J$12="Evet",AND(Topraklar!$L$12&lt;&gt;"Evet",Topraklar!$K$12&lt;&gt;Bitkiler!$C$14)),0,MAX(0,1-(Ayarlar!$B$2*ABS(Bitkiler!$D$14-Topraklar!$D$12)+Ayarlar!$B$3*ABS(Bitkiler!$E$14-Topraklar!$E$12)+Ayarlar!$B$4*ABS(Bitkiler!$F$14-Topraklar!$F$12)+Ayarlar!$B$5*ABS(Bitkiler!$G$14-Topraklar!$G$12)+Ayarlar!$B$6*IF(Bitkiler!$H$14=Topraklar!$H$12,0,1))/Ayarlar!$B$7)+IF(Topraklar!$K$12=Bitkiler!$C$14,0.002,IF(Topraklar!$L$12="Evet",0.001,0)))</f>
        <v/>
      </c>
      <c r="M15" s="16">
        <f>IF(OR(Topraklar!$J$13="Evet",AND(Topraklar!$L$13&lt;&gt;"Evet",Topraklar!$K$13&lt;&gt;Bitkiler!$C$14)),0,MAX(0,1-(Ayarlar!$B$2*ABS(Bitkiler!$D$14-Topraklar!$D$13)+Ayarlar!$B$3*ABS(Bitkiler!$E$14-Topraklar!$E$13)+Ayarlar!$B$4*ABS(Bitkiler!$F$14-Topraklar!$F$13)+Ayarlar!$B$5*ABS(Bitkiler!$G$14-Topraklar!$G$13)+Ayarlar!$B$6*IF(Bitkiler!$H$14=Topraklar!$H$13,0,1))/Ayarlar!$B$7)+IF(Topraklar!$K$13=Bitkiler!$C$14,0.002,IF(Topraklar!$L$13="Evet",0.001,0)))</f>
        <v/>
      </c>
      <c r="N15" s="16">
        <f>IF(OR(Topraklar!$J$14="Evet",AND(Topraklar!$L$14&lt;&gt;"Evet",Topraklar!$K$14&lt;&gt;Bitkiler!$C$14)),0,MAX(0,1-(Ayarlar!$B$2*ABS(Bitkiler!$D$14-Topraklar!$D$14)+Ayarlar!$B$3*ABS(Bitkiler!$E$14-Topraklar!$E$14)+Ayarlar!$B$4*ABS(Bitkiler!$F$14-Topraklar!$F$14)+Ayarlar!$B$5*ABS(Bitkiler!$G$14-Topraklar!$G$14)+Ayarlar!$B$6*IF(Bitkiler!$H$14=Topraklar!$H$14,0,1))/Ayarlar!$B$7)+IF(Topraklar!$K$14=Bitkiler!$C$14,0.002,IF(Topraklar!$L$14="Evet",0.001,0)))</f>
        <v/>
      </c>
      <c r="O15" s="16">
        <f>IF(OR(Topraklar!$J$15="Evet",AND(Topraklar!$L$15&lt;&gt;"Evet",Topraklar!$K$15&lt;&gt;Bitkiler!$C$14)),0,MAX(0,1-(Ayarlar!$B$2*ABS(Bitkiler!$D$14-Topraklar!$D$15)+Ayarlar!$B$3*ABS(Bitkiler!$E$14-Topraklar!$E$15)+Ayarlar!$B$4*ABS(Bitkiler!$F$14-Topraklar!$F$15)+Ayarlar!$B$5*ABS(Bitkiler!$G$14-Topraklar!$G$15)+Ayarlar!$B$6*IF(Bitkiler!$H$14=Topraklar!$H$15,0,1))/Ayarlar!$B$7)+IF(Topraklar!$K$15=Bitkiler!$C$14,0.002,IF(Topraklar!$L$15="Evet",0.001,0)))</f>
        <v/>
      </c>
      <c r="P15" s="16">
        <f>IF(OR(Topraklar!$J$16="Evet",AND(Topraklar!$L$16&lt;&gt;"Evet",Topraklar!$K$16&lt;&gt;Bitkiler!$C$14)),0,MAX(0,1-(Ayarlar!$B$2*ABS(Bitkiler!$D$14-Topraklar!$D$16)+Ayarlar!$B$3*ABS(Bitkiler!$E$14-Topraklar!$E$16)+Ayarlar!$B$4*ABS(Bitkiler!$F$14-Topraklar!$F$16)+Ayarlar!$B$5*ABS(Bitkiler!$G$14-Topraklar!$G$16)+Ayarlar!$B$6*IF(Bitkiler!$H$14=Topraklar!$H$16,0,1))/Ayarlar!$B$7)+IF(Topraklar!$K$16=Bitkiler!$C$14,0.002,IF(Topraklar!$L$16="Evet",0.001,0)))</f>
        <v/>
      </c>
      <c r="Q15" s="16">
        <f>IF(OR(Topraklar!$J$17="Evet",AND(Topraklar!$L$17&lt;&gt;"Evet",Topraklar!$K$17&lt;&gt;Bitkiler!$C$14)),0,MAX(0,1-(Ayarlar!$B$2*ABS(Bitkiler!$D$14-Topraklar!$D$17)+Ayarlar!$B$3*ABS(Bitkiler!$E$14-Topraklar!$E$17)+Ayarlar!$B$4*ABS(Bitkiler!$F$14-Topraklar!$F$17)+Ayarlar!$B$5*ABS(Bitkiler!$G$14-Topraklar!$G$17)+Ayarlar!$B$6*IF(Bitkiler!$H$14=Topraklar!$H$17,0,1))/Ayarlar!$B$7)+IF(Topraklar!$K$17=Bitkiler!$C$14,0.002,IF(Topraklar!$L$17="Evet",0.001,0)))</f>
        <v/>
      </c>
      <c r="R15" s="16">
        <f>IF(OR(Topraklar!$J$18="Evet",AND(Topraklar!$L$18&lt;&gt;"Evet",Topraklar!$K$18&lt;&gt;Bitkiler!$C$14)),0,MAX(0,1-(Ayarlar!$B$2*ABS(Bitkiler!$D$14-Topraklar!$D$18)+Ayarlar!$B$3*ABS(Bitkiler!$E$14-Topraklar!$E$18)+Ayarlar!$B$4*ABS(Bitkiler!$F$14-Topraklar!$F$18)+Ayarlar!$B$5*ABS(Bitkiler!$G$14-Topraklar!$G$18)+Ayarlar!$B$6*IF(Bitkiler!$H$14=Topraklar!$H$18,0,1))/Ayarlar!$B$7)+IF(Topraklar!$K$18=Bitkiler!$C$14,0.002,IF(Topraklar!$L$18="Evet",0.001,0)))</f>
        <v/>
      </c>
      <c r="S15" s="16">
        <f>IF(OR(Topraklar!$J$19="Evet",AND(Topraklar!$L$19&lt;&gt;"Evet",Topraklar!$K$19&lt;&gt;Bitkiler!$C$14)),0,MAX(0,1-(Ayarlar!$B$2*ABS(Bitkiler!$D$14-Topraklar!$D$19)+Ayarlar!$B$3*ABS(Bitkiler!$E$14-Topraklar!$E$19)+Ayarlar!$B$4*ABS(Bitkiler!$F$14-Topraklar!$F$19)+Ayarlar!$B$5*ABS(Bitkiler!$G$14-Topraklar!$G$19)+Ayarlar!$B$6*IF(Bitkiler!$H$14=Topraklar!$H$19,0,1))/Ayarlar!$B$7)+IF(Topraklar!$K$19=Bitkiler!$C$14,0.002,IF(Topraklar!$L$19="Evet",0.001,0)))</f>
        <v/>
      </c>
      <c r="T15" s="16">
        <f>IF(OR(Topraklar!$J$20="Evet",AND(Topraklar!$L$20&lt;&gt;"Evet",Topraklar!$K$20&lt;&gt;Bitkiler!$C$14)),0,MAX(0,1-(Ayarlar!$B$2*ABS(Bitkiler!$D$14-Topraklar!$D$20)+Ayarlar!$B$3*ABS(Bitkiler!$E$14-Topraklar!$E$20)+Ayarlar!$B$4*ABS(Bitkiler!$F$14-Topraklar!$F$20)+Ayarlar!$B$5*ABS(Bitkiler!$G$14-Topraklar!$G$20)+Ayarlar!$B$6*IF(Bitkiler!$H$14=Topraklar!$H$20,0,1))/Ayarlar!$B$7)+IF(Topraklar!$K$20=Bitkiler!$C$14,0.002,IF(Topraklar!$L$20="Evet",0.001,0)))</f>
        <v/>
      </c>
      <c r="U15" s="16">
        <f>IF(OR(Topraklar!$J$21="Evet",AND(Topraklar!$L$21&lt;&gt;"Evet",Topraklar!$K$21&lt;&gt;Bitkiler!$C$14)),0,MAX(0,1-(Ayarlar!$B$2*ABS(Bitkiler!$D$14-Topraklar!$D$21)+Ayarlar!$B$3*ABS(Bitkiler!$E$14-Topraklar!$E$21)+Ayarlar!$B$4*ABS(Bitkiler!$F$14-Topraklar!$F$21)+Ayarlar!$B$5*ABS(Bitkiler!$G$14-Topraklar!$G$21)+Ayarlar!$B$6*IF(Bitkiler!$H$14=Topraklar!$H$21,0,1))/Ayarlar!$B$7)+IF(Topraklar!$K$21=Bitkiler!$C$14,0.002,IF(Topraklar!$L$21="Evet",0.001,0)))</f>
        <v/>
      </c>
      <c r="V15" s="16">
        <f>IF(OR(Topraklar!$J$22="Evet",AND(Topraklar!$L$22&lt;&gt;"Evet",Topraklar!$K$22&lt;&gt;Bitkiler!$C$14)),0,MAX(0,1-(Ayarlar!$B$2*ABS(Bitkiler!$D$14-Topraklar!$D$22)+Ayarlar!$B$3*ABS(Bitkiler!$E$14-Topraklar!$E$22)+Ayarlar!$B$4*ABS(Bitkiler!$F$14-Topraklar!$F$22)+Ayarlar!$B$5*ABS(Bitkiler!$G$14-Topraklar!$G$22)+Ayarlar!$B$6*IF(Bitkiler!$H$14=Topraklar!$H$22,0,1))/Ayarlar!$B$7)+IF(Topraklar!$K$22=Bitkiler!$C$14,0.002,IF(Topraklar!$L$22="Evet",0.001,0)))</f>
        <v/>
      </c>
      <c r="W15" s="16">
        <f>IF(OR(Topraklar!$J$23="Evet",AND(Topraklar!$L$23&lt;&gt;"Evet",Topraklar!$K$23&lt;&gt;Bitkiler!$C$14)),0,MAX(0,1-(Ayarlar!$B$2*ABS(Bitkiler!$D$14-Topraklar!$D$23)+Ayarlar!$B$3*ABS(Bitkiler!$E$14-Topraklar!$E$23)+Ayarlar!$B$4*ABS(Bitkiler!$F$14-Topraklar!$F$23)+Ayarlar!$B$5*ABS(Bitkiler!$G$14-Topraklar!$G$23)+Ayarlar!$B$6*IF(Bitkiler!$H$14=Topraklar!$H$23,0,1))/Ayarlar!$B$7)+IF(Topraklar!$K$23=Bitkiler!$C$14,0.002,IF(Topraklar!$L$23="Evet",0.001,0)))</f>
        <v/>
      </c>
      <c r="X15" s="16">
        <f>IF(OR(Topraklar!$J$24="Evet",AND(Topraklar!$L$24&lt;&gt;"Evet",Topraklar!$K$24&lt;&gt;Bitkiler!$C$14)),0,MAX(0,1-(Ayarlar!$B$2*ABS(Bitkiler!$D$14-Topraklar!$D$24)+Ayarlar!$B$3*ABS(Bitkiler!$E$14-Topraklar!$E$24)+Ayarlar!$B$4*ABS(Bitkiler!$F$14-Topraklar!$F$24)+Ayarlar!$B$5*ABS(Bitkiler!$G$14-Topraklar!$G$24)+Ayarlar!$B$6*IF(Bitkiler!$H$14=Topraklar!$H$24,0,1))/Ayarlar!$B$7)+IF(Topraklar!$K$24=Bitkiler!$C$14,0.002,IF(Topraklar!$L$24="Evet",0.001,0)))</f>
        <v/>
      </c>
      <c r="Y15" s="16">
        <f>IF(OR(Topraklar!$J$25="Evet",AND(Topraklar!$L$25&lt;&gt;"Evet",Topraklar!$K$25&lt;&gt;Bitkiler!$C$14)),0,MAX(0,1-(Ayarlar!$B$2*ABS(Bitkiler!$D$14-Topraklar!$D$25)+Ayarlar!$B$3*ABS(Bitkiler!$E$14-Topraklar!$E$25)+Ayarlar!$B$4*ABS(Bitkiler!$F$14-Topraklar!$F$25)+Ayarlar!$B$5*ABS(Bitkiler!$G$14-Topraklar!$G$25)+Ayarlar!$B$6*IF(Bitkiler!$H$14=Topraklar!$H$25,0,1))/Ayarlar!$B$7)+IF(Topraklar!$K$25=Bitkiler!$C$14,0.002,IF(Topraklar!$L$25="Evet",0.001,0)))</f>
        <v/>
      </c>
      <c r="Z15" s="16">
        <f>IF(OR(Topraklar!$J$26="Evet",AND(Topraklar!$L$26&lt;&gt;"Evet",Topraklar!$K$26&lt;&gt;Bitkiler!$C$14)),0,MAX(0,1-(Ayarlar!$B$2*ABS(Bitkiler!$D$14-Topraklar!$D$26)+Ayarlar!$B$3*ABS(Bitkiler!$E$14-Topraklar!$E$26)+Ayarlar!$B$4*ABS(Bitkiler!$F$14-Topraklar!$F$26)+Ayarlar!$B$5*ABS(Bitkiler!$G$14-Topraklar!$G$26)+Ayarlar!$B$6*IF(Bitkiler!$H$14=Topraklar!$H$26,0,1))/Ayarlar!$B$7)+IF(Topraklar!$K$26=Bitkiler!$C$14,0.002,IF(Topraklar!$L$26="Evet",0.001,0)))</f>
        <v/>
      </c>
      <c r="AA15" s="16">
        <f>IF(OR(Topraklar!$J$27="Evet",AND(Topraklar!$L$27&lt;&gt;"Evet",Topraklar!$K$27&lt;&gt;Bitkiler!$C$14)),0,MAX(0,1-(Ayarlar!$B$2*ABS(Bitkiler!$D$14-Topraklar!$D$27)+Ayarlar!$B$3*ABS(Bitkiler!$E$14-Topraklar!$E$27)+Ayarlar!$B$4*ABS(Bitkiler!$F$14-Topraklar!$F$27)+Ayarlar!$B$5*ABS(Bitkiler!$G$14-Topraklar!$G$27)+Ayarlar!$B$6*IF(Bitkiler!$H$14=Topraklar!$H$27,0,1))/Ayarlar!$B$7)+IF(Topraklar!$K$27=Bitkiler!$C$14,0.002,IF(Topraklar!$L$27="Evet",0.001,0)))</f>
        <v/>
      </c>
      <c r="AB15" s="16">
        <f>IF(OR(Topraklar!$J$28="Evet",AND(Topraklar!$L$28&lt;&gt;"Evet",Topraklar!$K$28&lt;&gt;Bitkiler!$C$14)),0,MAX(0,1-(Ayarlar!$B$2*ABS(Bitkiler!$D$14-Topraklar!$D$28)+Ayarlar!$B$3*ABS(Bitkiler!$E$14-Topraklar!$E$28)+Ayarlar!$B$4*ABS(Bitkiler!$F$14-Topraklar!$F$28)+Ayarlar!$B$5*ABS(Bitkiler!$G$14-Topraklar!$G$28)+Ayarlar!$B$6*IF(Bitkiler!$H$14=Topraklar!$H$28,0,1))/Ayarlar!$B$7)+IF(Topraklar!$K$28=Bitkiler!$C$14,0.002,IF(Topraklar!$L$28="Evet",0.001,0)))</f>
        <v/>
      </c>
      <c r="AC15" s="16">
        <f>IF(OR(Topraklar!$J$29="Evet",AND(Topraklar!$L$29&lt;&gt;"Evet",Topraklar!$K$29&lt;&gt;Bitkiler!$C$14)),0,MAX(0,1-(Ayarlar!$B$2*ABS(Bitkiler!$D$14-Topraklar!$D$29)+Ayarlar!$B$3*ABS(Bitkiler!$E$14-Topraklar!$E$29)+Ayarlar!$B$4*ABS(Bitkiler!$F$14-Topraklar!$F$29)+Ayarlar!$B$5*ABS(Bitkiler!$G$14-Topraklar!$G$29)+Ayarlar!$B$6*IF(Bitkiler!$H$14=Topraklar!$H$29,0,1))/Ayarlar!$B$7)+IF(Topraklar!$K$29=Bitkiler!$C$14,0.002,IF(Topraklar!$L$29="Evet",0.001,0)))</f>
        <v/>
      </c>
      <c r="AD15" s="16">
        <f>IF(OR(Topraklar!$J$30="Evet",AND(Topraklar!$L$30&lt;&gt;"Evet",Topraklar!$K$30&lt;&gt;Bitkiler!$C$14)),0,MAX(0,1-(Ayarlar!$B$2*ABS(Bitkiler!$D$14-Topraklar!$D$30)+Ayarlar!$B$3*ABS(Bitkiler!$E$14-Topraklar!$E$30)+Ayarlar!$B$4*ABS(Bitkiler!$F$14-Topraklar!$F$30)+Ayarlar!$B$5*ABS(Bitkiler!$G$14-Topraklar!$G$30)+Ayarlar!$B$6*IF(Bitkiler!$H$14=Topraklar!$H$30,0,1))/Ayarlar!$B$7)+IF(Topraklar!$K$30=Bitkiler!$C$14,0.002,IF(Topraklar!$L$30="Evet",0.001,0)))</f>
        <v/>
      </c>
      <c r="AE15" s="16">
        <f>IF(OR(Topraklar!$J$31="Evet",AND(Topraklar!$L$31&lt;&gt;"Evet",Topraklar!$K$31&lt;&gt;Bitkiler!$C$14)),0,MAX(0,1-(Ayarlar!$B$2*ABS(Bitkiler!$D$14-Topraklar!$D$31)+Ayarlar!$B$3*ABS(Bitkiler!$E$14-Topraklar!$E$31)+Ayarlar!$B$4*ABS(Bitkiler!$F$14-Topraklar!$F$31)+Ayarlar!$B$5*ABS(Bitkiler!$G$14-Topraklar!$G$31)+Ayarlar!$B$6*IF(Bitkiler!$H$14=Topraklar!$H$31,0,1))/Ayarlar!$B$7)+IF(Topraklar!$K$31=Bitkiler!$C$14,0.002,IF(Topraklar!$L$31="Evet",0.001,0)))</f>
        <v/>
      </c>
      <c r="AF15" s="16">
        <f>IF(OR(Topraklar!$J$32="Evet",AND(Topraklar!$L$32&lt;&gt;"Evet",Topraklar!$K$32&lt;&gt;Bitkiler!$C$14)),0,MAX(0,1-(Ayarlar!$B$2*ABS(Bitkiler!$D$14-Topraklar!$D$32)+Ayarlar!$B$3*ABS(Bitkiler!$E$14-Topraklar!$E$32)+Ayarlar!$B$4*ABS(Bitkiler!$F$14-Topraklar!$F$32)+Ayarlar!$B$5*ABS(Bitkiler!$G$14-Topraklar!$G$32)+Ayarlar!$B$6*IF(Bitkiler!$H$14=Topraklar!$H$32,0,1))/Ayarlar!$B$7)+IF(Topraklar!$K$32=Bitkiler!$C$14,0.002,IF(Topraklar!$L$32="Evet",0.001,0)))</f>
        <v/>
      </c>
      <c r="AG15" s="16">
        <f>IF(OR(Topraklar!$J$33="Evet",AND(Topraklar!$L$33&lt;&gt;"Evet",Topraklar!$K$33&lt;&gt;Bitkiler!$C$14)),0,MAX(0,1-(Ayarlar!$B$2*ABS(Bitkiler!$D$14-Topraklar!$D$33)+Ayarlar!$B$3*ABS(Bitkiler!$E$14-Topraklar!$E$33)+Ayarlar!$B$4*ABS(Bitkiler!$F$14-Topraklar!$F$33)+Ayarlar!$B$5*ABS(Bitkiler!$G$14-Topraklar!$G$33)+Ayarlar!$B$6*IF(Bitkiler!$H$14=Topraklar!$H$33,0,1))/Ayarlar!$B$7)+IF(Topraklar!$K$33=Bitkiler!$C$14,0.002,IF(Topraklar!$L$33="Evet",0.001,0)))</f>
        <v/>
      </c>
      <c r="AH15" s="16">
        <f>IF(OR(Topraklar!$J$34="Evet",AND(Topraklar!$L$34&lt;&gt;"Evet",Topraklar!$K$34&lt;&gt;Bitkiler!$C$14)),0,MAX(0,1-(Ayarlar!$B$2*ABS(Bitkiler!$D$14-Topraklar!$D$34)+Ayarlar!$B$3*ABS(Bitkiler!$E$14-Topraklar!$E$34)+Ayarlar!$B$4*ABS(Bitkiler!$F$14-Topraklar!$F$34)+Ayarlar!$B$5*ABS(Bitkiler!$G$14-Topraklar!$G$34)+Ayarlar!$B$6*IF(Bitkiler!$H$14=Topraklar!$H$34,0,1))/Ayarlar!$B$7)+IF(Topraklar!$K$34=Bitkiler!$C$14,0.002,IF(Topraklar!$L$34="Evet",0.001,0)))</f>
        <v/>
      </c>
      <c r="AI15" s="16">
        <f>IF(OR(Topraklar!$J$35="Evet",AND(Topraklar!$L$35&lt;&gt;"Evet",Topraklar!$K$35&lt;&gt;Bitkiler!$C$14)),0,MAX(0,1-(Ayarlar!$B$2*ABS(Bitkiler!$D$14-Topraklar!$D$35)+Ayarlar!$B$3*ABS(Bitkiler!$E$14-Topraklar!$E$35)+Ayarlar!$B$4*ABS(Bitkiler!$F$14-Topraklar!$F$35)+Ayarlar!$B$5*ABS(Bitkiler!$G$14-Topraklar!$G$35)+Ayarlar!$B$6*IF(Bitkiler!$H$14=Topraklar!$H$35,0,1))/Ayarlar!$B$7)+IF(Topraklar!$K$35=Bitkiler!$C$14,0.002,IF(Topraklar!$L$35="Evet",0.001,0)))</f>
        <v/>
      </c>
      <c r="AJ15" s="16">
        <f>IF(OR(Topraklar!$J$36="Evet",AND(Topraklar!$L$36&lt;&gt;"Evet",Topraklar!$K$36&lt;&gt;Bitkiler!$C$14)),0,MAX(0,1-(Ayarlar!$B$2*ABS(Bitkiler!$D$14-Topraklar!$D$36)+Ayarlar!$B$3*ABS(Bitkiler!$E$14-Topraklar!$E$36)+Ayarlar!$B$4*ABS(Bitkiler!$F$14-Topraklar!$F$36)+Ayarlar!$B$5*ABS(Bitkiler!$G$14-Topraklar!$G$36)+Ayarlar!$B$6*IF(Bitkiler!$H$14=Topraklar!$H$36,0,1))/Ayarlar!$B$7)+IF(Topraklar!$K$36=Bitkiler!$C$14,0.002,IF(Topraklar!$L$36="Evet",0.001,0)))</f>
        <v/>
      </c>
      <c r="AK15" s="16">
        <f>IF(OR(Topraklar!$J$37="Evet",AND(Topraklar!$L$37&lt;&gt;"Evet",Topraklar!$K$37&lt;&gt;Bitkiler!$C$14)),0,MAX(0,1-(Ayarlar!$B$2*ABS(Bitkiler!$D$14-Topraklar!$D$37)+Ayarlar!$B$3*ABS(Bitkiler!$E$14-Topraklar!$E$37)+Ayarlar!$B$4*ABS(Bitkiler!$F$14-Topraklar!$F$37)+Ayarlar!$B$5*ABS(Bitkiler!$G$14-Topraklar!$G$37)+Ayarlar!$B$6*IF(Bitkiler!$H$14=Topraklar!$H$37,0,1))/Ayarlar!$B$7)+IF(Topraklar!$K$37=Bitkiler!$C$14,0.002,IF(Topraklar!$L$37="Evet",0.001,0)))</f>
        <v/>
      </c>
      <c r="AL15" s="16">
        <f>IF(OR(Topraklar!$J$38="Evet",AND(Topraklar!$L$38&lt;&gt;"Evet",Topraklar!$K$38&lt;&gt;Bitkiler!$C$14)),0,MAX(0,1-(Ayarlar!$B$2*ABS(Bitkiler!$D$14-Topraklar!$D$38)+Ayarlar!$B$3*ABS(Bitkiler!$E$14-Topraklar!$E$38)+Ayarlar!$B$4*ABS(Bitkiler!$F$14-Topraklar!$F$38)+Ayarlar!$B$5*ABS(Bitkiler!$G$14-Topraklar!$G$38)+Ayarlar!$B$6*IF(Bitkiler!$H$14=Topraklar!$H$38,0,1))/Ayarlar!$B$7)+IF(Topraklar!$K$38=Bitkiler!$C$14,0.002,IF(Topraklar!$L$38="Evet",0.001,0)))</f>
        <v/>
      </c>
      <c r="AM15" s="16">
        <f>IF(OR(Topraklar!$J$39="Evet",AND(Topraklar!$L$39&lt;&gt;"Evet",Topraklar!$K$39&lt;&gt;Bitkiler!$C$14)),0,MAX(0,1-(Ayarlar!$B$2*ABS(Bitkiler!$D$14-Topraklar!$D$39)+Ayarlar!$B$3*ABS(Bitkiler!$E$14-Topraklar!$E$39)+Ayarlar!$B$4*ABS(Bitkiler!$F$14-Topraklar!$F$39)+Ayarlar!$B$5*ABS(Bitkiler!$G$14-Topraklar!$G$39)+Ayarlar!$B$6*IF(Bitkiler!$H$14=Topraklar!$H$39,0,1))/Ayarlar!$B$7)+IF(Topraklar!$K$39=Bitkiler!$C$14,0.002,IF(Topraklar!$L$39="Evet",0.001,0)))</f>
        <v/>
      </c>
      <c r="AN15" s="16">
        <f>IF(OR(Topraklar!$J$40="Evet",AND(Topraklar!$L$40&lt;&gt;"Evet",Topraklar!$K$40&lt;&gt;Bitkiler!$C$14)),0,MAX(0,1-(Ayarlar!$B$2*ABS(Bitkiler!$D$14-Topraklar!$D$40)+Ayarlar!$B$3*ABS(Bitkiler!$E$14-Topraklar!$E$40)+Ayarlar!$B$4*ABS(Bitkiler!$F$14-Topraklar!$F$40)+Ayarlar!$B$5*ABS(Bitkiler!$G$14-Topraklar!$G$40)+Ayarlar!$B$6*IF(Bitkiler!$H$14=Topraklar!$H$40,0,1))/Ayarlar!$B$7)+IF(Topraklar!$K$40=Bitkiler!$C$14,0.002,IF(Topraklar!$L$40="Evet",0.001,0)))</f>
        <v/>
      </c>
      <c r="AO15" s="16">
        <f>IF(OR(Topraklar!$J$41="Evet",AND(Topraklar!$L$41&lt;&gt;"Evet",Topraklar!$K$41&lt;&gt;Bitkiler!$C$14)),0,MAX(0,1-(Ayarlar!$B$2*ABS(Bitkiler!$D$14-Topraklar!$D$41)+Ayarlar!$B$3*ABS(Bitkiler!$E$14-Topraklar!$E$41)+Ayarlar!$B$4*ABS(Bitkiler!$F$14-Topraklar!$F$41)+Ayarlar!$B$5*ABS(Bitkiler!$G$14-Topraklar!$G$41)+Ayarlar!$B$6*IF(Bitkiler!$H$14=Topraklar!$H$41,0,1))/Ayarlar!$B$7)+IF(Topraklar!$K$41=Bitkiler!$C$14,0.002,IF(Topraklar!$L$41="Evet",0.001,0)))</f>
        <v/>
      </c>
      <c r="AP15" s="16">
        <f>IF(OR(Topraklar!$J$42="Evet",AND(Topraklar!$L$42&lt;&gt;"Evet",Topraklar!$K$42&lt;&gt;Bitkiler!$C$14)),0,MAX(0,1-(Ayarlar!$B$2*ABS(Bitkiler!$D$14-Topraklar!$D$42)+Ayarlar!$B$3*ABS(Bitkiler!$E$14-Topraklar!$E$42)+Ayarlar!$B$4*ABS(Bitkiler!$F$14-Topraklar!$F$42)+Ayarlar!$B$5*ABS(Bitkiler!$G$14-Topraklar!$G$42)+Ayarlar!$B$6*IF(Bitkiler!$H$14=Topraklar!$H$42,0,1))/Ayarlar!$B$7)+IF(Topraklar!$K$42=Bitkiler!$C$14,0.002,IF(Topraklar!$L$42="Evet",0.001,0)))</f>
        <v/>
      </c>
      <c r="AQ15" s="16">
        <f>IF(OR(Topraklar!$J$43="Evet",AND(Topraklar!$L$43&lt;&gt;"Evet",Topraklar!$K$43&lt;&gt;Bitkiler!$C$14)),0,MAX(0,1-(Ayarlar!$B$2*ABS(Bitkiler!$D$14-Topraklar!$D$43)+Ayarlar!$B$3*ABS(Bitkiler!$E$14-Topraklar!$E$43)+Ayarlar!$B$4*ABS(Bitkiler!$F$14-Topraklar!$F$43)+Ayarlar!$B$5*ABS(Bitkiler!$G$14-Topraklar!$G$43)+Ayarlar!$B$6*IF(Bitkiler!$H$14=Topraklar!$H$43,0,1))/Ayarlar!$B$7)+IF(Topraklar!$K$43=Bitkiler!$C$14,0.002,IF(Topraklar!$L$43="Evet",0.001,0)))</f>
        <v/>
      </c>
      <c r="AR15" s="16">
        <f>IF(OR(Topraklar!$J$44="Evet",AND(Topraklar!$L$44&lt;&gt;"Evet",Topraklar!$K$44&lt;&gt;Bitkiler!$C$14)),0,MAX(0,1-(Ayarlar!$B$2*ABS(Bitkiler!$D$14-Topraklar!$D$44)+Ayarlar!$B$3*ABS(Bitkiler!$E$14-Topraklar!$E$44)+Ayarlar!$B$4*ABS(Bitkiler!$F$14-Topraklar!$F$44)+Ayarlar!$B$5*ABS(Bitkiler!$G$14-Topraklar!$G$44)+Ayarlar!$B$6*IF(Bitkiler!$H$14=Topraklar!$H$44,0,1))/Ayarlar!$B$7)+IF(Topraklar!$K$44=Bitkiler!$C$14,0.002,IF(Topraklar!$L$44="Evet",0.001,0)))</f>
        <v/>
      </c>
      <c r="AS15" s="16">
        <f>IF(OR(Topraklar!$J$45="Evet",AND(Topraklar!$L$45&lt;&gt;"Evet",Topraklar!$K$45&lt;&gt;Bitkiler!$C$14)),0,MAX(0,1-(Ayarlar!$B$2*ABS(Bitkiler!$D$14-Topraklar!$D$45)+Ayarlar!$B$3*ABS(Bitkiler!$E$14-Topraklar!$E$45)+Ayarlar!$B$4*ABS(Bitkiler!$F$14-Topraklar!$F$45)+Ayarlar!$B$5*ABS(Bitkiler!$G$14-Topraklar!$G$45)+Ayarlar!$B$6*IF(Bitkiler!$H$14=Topraklar!$H$45,0,1))/Ayarlar!$B$7)+IF(Topraklar!$K$45=Bitkiler!$C$14,0.002,IF(Topraklar!$L$45="Evet",0.001,0)))</f>
        <v/>
      </c>
      <c r="AT15" s="16">
        <f>IF(OR(Topraklar!$J$46="Evet",AND(Topraklar!$L$46&lt;&gt;"Evet",Topraklar!$K$46&lt;&gt;Bitkiler!$C$14)),0,MAX(0,1-(Ayarlar!$B$2*ABS(Bitkiler!$D$14-Topraklar!$D$46)+Ayarlar!$B$3*ABS(Bitkiler!$E$14-Topraklar!$E$46)+Ayarlar!$B$4*ABS(Bitkiler!$F$14-Topraklar!$F$46)+Ayarlar!$B$5*ABS(Bitkiler!$G$14-Topraklar!$G$46)+Ayarlar!$B$6*IF(Bitkiler!$H$14=Topraklar!$H$46,0,1))/Ayarlar!$B$7)+IF(Topraklar!$K$46=Bitkiler!$C$14,0.002,IF(Topraklar!$L$46="Evet",0.001,0)))</f>
        <v/>
      </c>
      <c r="AU15" s="16">
        <f>IF(OR(Topraklar!$J$47="Evet",AND(Topraklar!$L$47&lt;&gt;"Evet",Topraklar!$K$47&lt;&gt;Bitkiler!$C$14)),0,MAX(0,1-(Ayarlar!$B$2*ABS(Bitkiler!$D$14-Topraklar!$D$47)+Ayarlar!$B$3*ABS(Bitkiler!$E$14-Topraklar!$E$47)+Ayarlar!$B$4*ABS(Bitkiler!$F$14-Topraklar!$F$47)+Ayarlar!$B$5*ABS(Bitkiler!$G$14-Topraklar!$G$47)+Ayarlar!$B$6*IF(Bitkiler!$H$14=Topraklar!$H$47,0,1))/Ayarlar!$B$7)+IF(Topraklar!$K$47=Bitkiler!$C$14,0.002,IF(Topraklar!$L$47="Evet",0.001,0)))</f>
        <v/>
      </c>
      <c r="AV15" s="16">
        <f>IF(OR(Topraklar!$J$48="Evet",AND(Topraklar!$L$48&lt;&gt;"Evet",Topraklar!$K$48&lt;&gt;Bitkiler!$C$14)),0,MAX(0,1-(Ayarlar!$B$2*ABS(Bitkiler!$D$14-Topraklar!$D$48)+Ayarlar!$B$3*ABS(Bitkiler!$E$14-Topraklar!$E$48)+Ayarlar!$B$4*ABS(Bitkiler!$F$14-Topraklar!$F$48)+Ayarlar!$B$5*ABS(Bitkiler!$G$14-Topraklar!$G$48)+Ayarlar!$B$6*IF(Bitkiler!$H$14=Topraklar!$H$48,0,1))/Ayarlar!$B$7)+IF(Topraklar!$K$48=Bitkiler!$C$14,0.002,IF(Topraklar!$L$48="Evet",0.001,0)))</f>
        <v/>
      </c>
      <c r="AW15" s="16">
        <f>IF(OR(Topraklar!$J$49="Evet",AND(Topraklar!$L$49&lt;&gt;"Evet",Topraklar!$K$49&lt;&gt;Bitkiler!$C$14)),0,MAX(0,1-(Ayarlar!$B$2*ABS(Bitkiler!$D$14-Topraklar!$D$49)+Ayarlar!$B$3*ABS(Bitkiler!$E$14-Topraklar!$E$49)+Ayarlar!$B$4*ABS(Bitkiler!$F$14-Topraklar!$F$49)+Ayarlar!$B$5*ABS(Bitkiler!$G$14-Topraklar!$G$49)+Ayarlar!$B$6*IF(Bitkiler!$H$14=Topraklar!$H$49,0,1))/Ayarlar!$B$7)+IF(Topraklar!$K$49=Bitkiler!$C$14,0.002,IF(Topraklar!$L$49="Evet",0.001,0)))</f>
        <v/>
      </c>
      <c r="AX15" s="16">
        <f>IF(OR(Topraklar!$J$50="Evet",AND(Topraklar!$L$50&lt;&gt;"Evet",Topraklar!$K$50&lt;&gt;Bitkiler!$C$14)),0,MAX(0,1-(Ayarlar!$B$2*ABS(Bitkiler!$D$14-Topraklar!$D$50)+Ayarlar!$B$3*ABS(Bitkiler!$E$14-Topraklar!$E$50)+Ayarlar!$B$4*ABS(Bitkiler!$F$14-Topraklar!$F$50)+Ayarlar!$B$5*ABS(Bitkiler!$G$14-Topraklar!$G$50)+Ayarlar!$B$6*IF(Bitkiler!$H$14=Topraklar!$H$50,0,1))/Ayarlar!$B$7)+IF(Topraklar!$K$50=Bitkiler!$C$14,0.002,IF(Topraklar!$L$50="Evet",0.001,0)))</f>
        <v/>
      </c>
      <c r="AY15" s="16">
        <f>IF(OR(Topraklar!$J$51="Evet",AND(Topraklar!$L$51&lt;&gt;"Evet",Topraklar!$K$51&lt;&gt;Bitkiler!$C$14)),0,MAX(0,1-(Ayarlar!$B$2*ABS(Bitkiler!$D$14-Topraklar!$D$51)+Ayarlar!$B$3*ABS(Bitkiler!$E$14-Topraklar!$E$51)+Ayarlar!$B$4*ABS(Bitkiler!$F$14-Topraklar!$F$51)+Ayarlar!$B$5*ABS(Bitkiler!$G$14-Topraklar!$G$51)+Ayarlar!$B$6*IF(Bitkiler!$H$14=Topraklar!$H$51,0,1))/Ayarlar!$B$7)+IF(Topraklar!$K$51=Bitkiler!$C$14,0.002,IF(Topraklar!$L$51="Evet",0.001,0)))</f>
        <v/>
      </c>
    </row>
    <row r="16">
      <c r="A16" s="15">
        <f>Bitkiler!A15</f>
        <v/>
      </c>
      <c r="B16" s="16">
        <f>IF(OR(Topraklar!$J$2="Evet",AND(Topraklar!$L$2&lt;&gt;"Evet",Topraklar!$K$2&lt;&gt;Bitkiler!$C$15)),0,MAX(0,1-(Ayarlar!$B$2*ABS(Bitkiler!$D$15-Topraklar!$D$2)+Ayarlar!$B$3*ABS(Bitkiler!$E$15-Topraklar!$E$2)+Ayarlar!$B$4*ABS(Bitkiler!$F$15-Topraklar!$F$2)+Ayarlar!$B$5*ABS(Bitkiler!$G$15-Topraklar!$G$2)+Ayarlar!$B$6*IF(Bitkiler!$H$15=Topraklar!$H$2,0,1))/Ayarlar!$B$7)+IF(Topraklar!$K$2=Bitkiler!$C$15,0.002,IF(Topraklar!$L$2="Evet",0.001,0)))</f>
        <v/>
      </c>
      <c r="C16" s="16">
        <f>IF(OR(Topraklar!$J$3="Evet",AND(Topraklar!$L$3&lt;&gt;"Evet",Topraklar!$K$3&lt;&gt;Bitkiler!$C$15)),0,MAX(0,1-(Ayarlar!$B$2*ABS(Bitkiler!$D$15-Topraklar!$D$3)+Ayarlar!$B$3*ABS(Bitkiler!$E$15-Topraklar!$E$3)+Ayarlar!$B$4*ABS(Bitkiler!$F$15-Topraklar!$F$3)+Ayarlar!$B$5*ABS(Bitkiler!$G$15-Topraklar!$G$3)+Ayarlar!$B$6*IF(Bitkiler!$H$15=Topraklar!$H$3,0,1))/Ayarlar!$B$7)+IF(Topraklar!$K$3=Bitkiler!$C$15,0.002,IF(Topraklar!$L$3="Evet",0.001,0)))</f>
        <v/>
      </c>
      <c r="D16" s="16">
        <f>IF(OR(Topraklar!$J$4="Evet",AND(Topraklar!$L$4&lt;&gt;"Evet",Topraklar!$K$4&lt;&gt;Bitkiler!$C$15)),0,MAX(0,1-(Ayarlar!$B$2*ABS(Bitkiler!$D$15-Topraklar!$D$4)+Ayarlar!$B$3*ABS(Bitkiler!$E$15-Topraklar!$E$4)+Ayarlar!$B$4*ABS(Bitkiler!$F$15-Topraklar!$F$4)+Ayarlar!$B$5*ABS(Bitkiler!$G$15-Topraklar!$G$4)+Ayarlar!$B$6*IF(Bitkiler!$H$15=Topraklar!$H$4,0,1))/Ayarlar!$B$7)+IF(Topraklar!$K$4=Bitkiler!$C$15,0.002,IF(Topraklar!$L$4="Evet",0.001,0)))</f>
        <v/>
      </c>
      <c r="E16" s="16">
        <f>IF(OR(Topraklar!$J$5="Evet",AND(Topraklar!$L$5&lt;&gt;"Evet",Topraklar!$K$5&lt;&gt;Bitkiler!$C$15)),0,MAX(0,1-(Ayarlar!$B$2*ABS(Bitkiler!$D$15-Topraklar!$D$5)+Ayarlar!$B$3*ABS(Bitkiler!$E$15-Topraklar!$E$5)+Ayarlar!$B$4*ABS(Bitkiler!$F$15-Topraklar!$F$5)+Ayarlar!$B$5*ABS(Bitkiler!$G$15-Topraklar!$G$5)+Ayarlar!$B$6*IF(Bitkiler!$H$15=Topraklar!$H$5,0,1))/Ayarlar!$B$7)+IF(Topraklar!$K$5=Bitkiler!$C$15,0.002,IF(Topraklar!$L$5="Evet",0.001,0)))</f>
        <v/>
      </c>
      <c r="F16" s="16">
        <f>IF(OR(Topraklar!$J$6="Evet",AND(Topraklar!$L$6&lt;&gt;"Evet",Topraklar!$K$6&lt;&gt;Bitkiler!$C$15)),0,MAX(0,1-(Ayarlar!$B$2*ABS(Bitkiler!$D$15-Topraklar!$D$6)+Ayarlar!$B$3*ABS(Bitkiler!$E$15-Topraklar!$E$6)+Ayarlar!$B$4*ABS(Bitkiler!$F$15-Topraklar!$F$6)+Ayarlar!$B$5*ABS(Bitkiler!$G$15-Topraklar!$G$6)+Ayarlar!$B$6*IF(Bitkiler!$H$15=Topraklar!$H$6,0,1))/Ayarlar!$B$7)+IF(Topraklar!$K$6=Bitkiler!$C$15,0.002,IF(Topraklar!$L$6="Evet",0.001,0)))</f>
        <v/>
      </c>
      <c r="G16" s="16">
        <f>IF(OR(Topraklar!$J$7="Evet",AND(Topraklar!$L$7&lt;&gt;"Evet",Topraklar!$K$7&lt;&gt;Bitkiler!$C$15)),0,MAX(0,1-(Ayarlar!$B$2*ABS(Bitkiler!$D$15-Topraklar!$D$7)+Ayarlar!$B$3*ABS(Bitkiler!$E$15-Topraklar!$E$7)+Ayarlar!$B$4*ABS(Bitkiler!$F$15-Topraklar!$F$7)+Ayarlar!$B$5*ABS(Bitkiler!$G$15-Topraklar!$G$7)+Ayarlar!$B$6*IF(Bitkiler!$H$15=Topraklar!$H$7,0,1))/Ayarlar!$B$7)+IF(Topraklar!$K$7=Bitkiler!$C$15,0.002,IF(Topraklar!$L$7="Evet",0.001,0)))</f>
        <v/>
      </c>
      <c r="H16" s="16">
        <f>IF(OR(Topraklar!$J$8="Evet",AND(Topraklar!$L$8&lt;&gt;"Evet",Topraklar!$K$8&lt;&gt;Bitkiler!$C$15)),0,MAX(0,1-(Ayarlar!$B$2*ABS(Bitkiler!$D$15-Topraklar!$D$8)+Ayarlar!$B$3*ABS(Bitkiler!$E$15-Topraklar!$E$8)+Ayarlar!$B$4*ABS(Bitkiler!$F$15-Topraklar!$F$8)+Ayarlar!$B$5*ABS(Bitkiler!$G$15-Topraklar!$G$8)+Ayarlar!$B$6*IF(Bitkiler!$H$15=Topraklar!$H$8,0,1))/Ayarlar!$B$7)+IF(Topraklar!$K$8=Bitkiler!$C$15,0.002,IF(Topraklar!$L$8="Evet",0.001,0)))</f>
        <v/>
      </c>
      <c r="I16" s="16">
        <f>IF(OR(Topraklar!$J$9="Evet",AND(Topraklar!$L$9&lt;&gt;"Evet",Topraklar!$K$9&lt;&gt;Bitkiler!$C$15)),0,MAX(0,1-(Ayarlar!$B$2*ABS(Bitkiler!$D$15-Topraklar!$D$9)+Ayarlar!$B$3*ABS(Bitkiler!$E$15-Topraklar!$E$9)+Ayarlar!$B$4*ABS(Bitkiler!$F$15-Topraklar!$F$9)+Ayarlar!$B$5*ABS(Bitkiler!$G$15-Topraklar!$G$9)+Ayarlar!$B$6*IF(Bitkiler!$H$15=Topraklar!$H$9,0,1))/Ayarlar!$B$7)+IF(Topraklar!$K$9=Bitkiler!$C$15,0.002,IF(Topraklar!$L$9="Evet",0.001,0)))</f>
        <v/>
      </c>
      <c r="J16" s="16">
        <f>IF(OR(Topraklar!$J$10="Evet",AND(Topraklar!$L$10&lt;&gt;"Evet",Topraklar!$K$10&lt;&gt;Bitkiler!$C$15)),0,MAX(0,1-(Ayarlar!$B$2*ABS(Bitkiler!$D$15-Topraklar!$D$10)+Ayarlar!$B$3*ABS(Bitkiler!$E$15-Topraklar!$E$10)+Ayarlar!$B$4*ABS(Bitkiler!$F$15-Topraklar!$F$10)+Ayarlar!$B$5*ABS(Bitkiler!$G$15-Topraklar!$G$10)+Ayarlar!$B$6*IF(Bitkiler!$H$15=Topraklar!$H$10,0,1))/Ayarlar!$B$7)+IF(Topraklar!$K$10=Bitkiler!$C$15,0.002,IF(Topraklar!$L$10="Evet",0.001,0)))</f>
        <v/>
      </c>
      <c r="K16" s="16">
        <f>IF(OR(Topraklar!$J$11="Evet",AND(Topraklar!$L$11&lt;&gt;"Evet",Topraklar!$K$11&lt;&gt;Bitkiler!$C$15)),0,MAX(0,1-(Ayarlar!$B$2*ABS(Bitkiler!$D$15-Topraklar!$D$11)+Ayarlar!$B$3*ABS(Bitkiler!$E$15-Topraklar!$E$11)+Ayarlar!$B$4*ABS(Bitkiler!$F$15-Topraklar!$F$11)+Ayarlar!$B$5*ABS(Bitkiler!$G$15-Topraklar!$G$11)+Ayarlar!$B$6*IF(Bitkiler!$H$15=Topraklar!$H$11,0,1))/Ayarlar!$B$7)+IF(Topraklar!$K$11=Bitkiler!$C$15,0.002,IF(Topraklar!$L$11="Evet",0.001,0)))</f>
        <v/>
      </c>
      <c r="L16" s="16">
        <f>IF(OR(Topraklar!$J$12="Evet",AND(Topraklar!$L$12&lt;&gt;"Evet",Topraklar!$K$12&lt;&gt;Bitkiler!$C$15)),0,MAX(0,1-(Ayarlar!$B$2*ABS(Bitkiler!$D$15-Topraklar!$D$12)+Ayarlar!$B$3*ABS(Bitkiler!$E$15-Topraklar!$E$12)+Ayarlar!$B$4*ABS(Bitkiler!$F$15-Topraklar!$F$12)+Ayarlar!$B$5*ABS(Bitkiler!$G$15-Topraklar!$G$12)+Ayarlar!$B$6*IF(Bitkiler!$H$15=Topraklar!$H$12,0,1))/Ayarlar!$B$7)+IF(Topraklar!$K$12=Bitkiler!$C$15,0.002,IF(Topraklar!$L$12="Evet",0.001,0)))</f>
        <v/>
      </c>
      <c r="M16" s="16">
        <f>IF(OR(Topraklar!$J$13="Evet",AND(Topraklar!$L$13&lt;&gt;"Evet",Topraklar!$K$13&lt;&gt;Bitkiler!$C$15)),0,MAX(0,1-(Ayarlar!$B$2*ABS(Bitkiler!$D$15-Topraklar!$D$13)+Ayarlar!$B$3*ABS(Bitkiler!$E$15-Topraklar!$E$13)+Ayarlar!$B$4*ABS(Bitkiler!$F$15-Topraklar!$F$13)+Ayarlar!$B$5*ABS(Bitkiler!$G$15-Topraklar!$G$13)+Ayarlar!$B$6*IF(Bitkiler!$H$15=Topraklar!$H$13,0,1))/Ayarlar!$B$7)+IF(Topraklar!$K$13=Bitkiler!$C$15,0.002,IF(Topraklar!$L$13="Evet",0.001,0)))</f>
        <v/>
      </c>
      <c r="N16" s="16">
        <f>IF(OR(Topraklar!$J$14="Evet",AND(Topraklar!$L$14&lt;&gt;"Evet",Topraklar!$K$14&lt;&gt;Bitkiler!$C$15)),0,MAX(0,1-(Ayarlar!$B$2*ABS(Bitkiler!$D$15-Topraklar!$D$14)+Ayarlar!$B$3*ABS(Bitkiler!$E$15-Topraklar!$E$14)+Ayarlar!$B$4*ABS(Bitkiler!$F$15-Topraklar!$F$14)+Ayarlar!$B$5*ABS(Bitkiler!$G$15-Topraklar!$G$14)+Ayarlar!$B$6*IF(Bitkiler!$H$15=Topraklar!$H$14,0,1))/Ayarlar!$B$7)+IF(Topraklar!$K$14=Bitkiler!$C$15,0.002,IF(Topraklar!$L$14="Evet",0.001,0)))</f>
        <v/>
      </c>
      <c r="O16" s="16">
        <f>IF(OR(Topraklar!$J$15="Evet",AND(Topraklar!$L$15&lt;&gt;"Evet",Topraklar!$K$15&lt;&gt;Bitkiler!$C$15)),0,MAX(0,1-(Ayarlar!$B$2*ABS(Bitkiler!$D$15-Topraklar!$D$15)+Ayarlar!$B$3*ABS(Bitkiler!$E$15-Topraklar!$E$15)+Ayarlar!$B$4*ABS(Bitkiler!$F$15-Topraklar!$F$15)+Ayarlar!$B$5*ABS(Bitkiler!$G$15-Topraklar!$G$15)+Ayarlar!$B$6*IF(Bitkiler!$H$15=Topraklar!$H$15,0,1))/Ayarlar!$B$7)+IF(Topraklar!$K$15=Bitkiler!$C$15,0.002,IF(Topraklar!$L$15="Evet",0.001,0)))</f>
        <v/>
      </c>
      <c r="P16" s="16">
        <f>IF(OR(Topraklar!$J$16="Evet",AND(Topraklar!$L$16&lt;&gt;"Evet",Topraklar!$K$16&lt;&gt;Bitkiler!$C$15)),0,MAX(0,1-(Ayarlar!$B$2*ABS(Bitkiler!$D$15-Topraklar!$D$16)+Ayarlar!$B$3*ABS(Bitkiler!$E$15-Topraklar!$E$16)+Ayarlar!$B$4*ABS(Bitkiler!$F$15-Topraklar!$F$16)+Ayarlar!$B$5*ABS(Bitkiler!$G$15-Topraklar!$G$16)+Ayarlar!$B$6*IF(Bitkiler!$H$15=Topraklar!$H$16,0,1))/Ayarlar!$B$7)+IF(Topraklar!$K$16=Bitkiler!$C$15,0.002,IF(Topraklar!$L$16="Evet",0.001,0)))</f>
        <v/>
      </c>
      <c r="Q16" s="16">
        <f>IF(OR(Topraklar!$J$17="Evet",AND(Topraklar!$L$17&lt;&gt;"Evet",Topraklar!$K$17&lt;&gt;Bitkiler!$C$15)),0,MAX(0,1-(Ayarlar!$B$2*ABS(Bitkiler!$D$15-Topraklar!$D$17)+Ayarlar!$B$3*ABS(Bitkiler!$E$15-Topraklar!$E$17)+Ayarlar!$B$4*ABS(Bitkiler!$F$15-Topraklar!$F$17)+Ayarlar!$B$5*ABS(Bitkiler!$G$15-Topraklar!$G$17)+Ayarlar!$B$6*IF(Bitkiler!$H$15=Topraklar!$H$17,0,1))/Ayarlar!$B$7)+IF(Topraklar!$K$17=Bitkiler!$C$15,0.002,IF(Topraklar!$L$17="Evet",0.001,0)))</f>
        <v/>
      </c>
      <c r="R16" s="16">
        <f>IF(OR(Topraklar!$J$18="Evet",AND(Topraklar!$L$18&lt;&gt;"Evet",Topraklar!$K$18&lt;&gt;Bitkiler!$C$15)),0,MAX(0,1-(Ayarlar!$B$2*ABS(Bitkiler!$D$15-Topraklar!$D$18)+Ayarlar!$B$3*ABS(Bitkiler!$E$15-Topraklar!$E$18)+Ayarlar!$B$4*ABS(Bitkiler!$F$15-Topraklar!$F$18)+Ayarlar!$B$5*ABS(Bitkiler!$G$15-Topraklar!$G$18)+Ayarlar!$B$6*IF(Bitkiler!$H$15=Topraklar!$H$18,0,1))/Ayarlar!$B$7)+IF(Topraklar!$K$18=Bitkiler!$C$15,0.002,IF(Topraklar!$L$18="Evet",0.001,0)))</f>
        <v/>
      </c>
      <c r="S16" s="16">
        <f>IF(OR(Topraklar!$J$19="Evet",AND(Topraklar!$L$19&lt;&gt;"Evet",Topraklar!$K$19&lt;&gt;Bitkiler!$C$15)),0,MAX(0,1-(Ayarlar!$B$2*ABS(Bitkiler!$D$15-Topraklar!$D$19)+Ayarlar!$B$3*ABS(Bitkiler!$E$15-Topraklar!$E$19)+Ayarlar!$B$4*ABS(Bitkiler!$F$15-Topraklar!$F$19)+Ayarlar!$B$5*ABS(Bitkiler!$G$15-Topraklar!$G$19)+Ayarlar!$B$6*IF(Bitkiler!$H$15=Topraklar!$H$19,0,1))/Ayarlar!$B$7)+IF(Topraklar!$K$19=Bitkiler!$C$15,0.002,IF(Topraklar!$L$19="Evet",0.001,0)))</f>
        <v/>
      </c>
      <c r="T16" s="16">
        <f>IF(OR(Topraklar!$J$20="Evet",AND(Topraklar!$L$20&lt;&gt;"Evet",Topraklar!$K$20&lt;&gt;Bitkiler!$C$15)),0,MAX(0,1-(Ayarlar!$B$2*ABS(Bitkiler!$D$15-Topraklar!$D$20)+Ayarlar!$B$3*ABS(Bitkiler!$E$15-Topraklar!$E$20)+Ayarlar!$B$4*ABS(Bitkiler!$F$15-Topraklar!$F$20)+Ayarlar!$B$5*ABS(Bitkiler!$G$15-Topraklar!$G$20)+Ayarlar!$B$6*IF(Bitkiler!$H$15=Topraklar!$H$20,0,1))/Ayarlar!$B$7)+IF(Topraklar!$K$20=Bitkiler!$C$15,0.002,IF(Topraklar!$L$20="Evet",0.001,0)))</f>
        <v/>
      </c>
      <c r="U16" s="16">
        <f>IF(OR(Topraklar!$J$21="Evet",AND(Topraklar!$L$21&lt;&gt;"Evet",Topraklar!$K$21&lt;&gt;Bitkiler!$C$15)),0,MAX(0,1-(Ayarlar!$B$2*ABS(Bitkiler!$D$15-Topraklar!$D$21)+Ayarlar!$B$3*ABS(Bitkiler!$E$15-Topraklar!$E$21)+Ayarlar!$B$4*ABS(Bitkiler!$F$15-Topraklar!$F$21)+Ayarlar!$B$5*ABS(Bitkiler!$G$15-Topraklar!$G$21)+Ayarlar!$B$6*IF(Bitkiler!$H$15=Topraklar!$H$21,0,1))/Ayarlar!$B$7)+IF(Topraklar!$K$21=Bitkiler!$C$15,0.002,IF(Topraklar!$L$21="Evet",0.001,0)))</f>
        <v/>
      </c>
      <c r="V16" s="16">
        <f>IF(OR(Topraklar!$J$22="Evet",AND(Topraklar!$L$22&lt;&gt;"Evet",Topraklar!$K$22&lt;&gt;Bitkiler!$C$15)),0,MAX(0,1-(Ayarlar!$B$2*ABS(Bitkiler!$D$15-Topraklar!$D$22)+Ayarlar!$B$3*ABS(Bitkiler!$E$15-Topraklar!$E$22)+Ayarlar!$B$4*ABS(Bitkiler!$F$15-Topraklar!$F$22)+Ayarlar!$B$5*ABS(Bitkiler!$G$15-Topraklar!$G$22)+Ayarlar!$B$6*IF(Bitkiler!$H$15=Topraklar!$H$22,0,1))/Ayarlar!$B$7)+IF(Topraklar!$K$22=Bitkiler!$C$15,0.002,IF(Topraklar!$L$22="Evet",0.001,0)))</f>
        <v/>
      </c>
      <c r="W16" s="16">
        <f>IF(OR(Topraklar!$J$23="Evet",AND(Topraklar!$L$23&lt;&gt;"Evet",Topraklar!$K$23&lt;&gt;Bitkiler!$C$15)),0,MAX(0,1-(Ayarlar!$B$2*ABS(Bitkiler!$D$15-Topraklar!$D$23)+Ayarlar!$B$3*ABS(Bitkiler!$E$15-Topraklar!$E$23)+Ayarlar!$B$4*ABS(Bitkiler!$F$15-Topraklar!$F$23)+Ayarlar!$B$5*ABS(Bitkiler!$G$15-Topraklar!$G$23)+Ayarlar!$B$6*IF(Bitkiler!$H$15=Topraklar!$H$23,0,1))/Ayarlar!$B$7)+IF(Topraklar!$K$23=Bitkiler!$C$15,0.002,IF(Topraklar!$L$23="Evet",0.001,0)))</f>
        <v/>
      </c>
      <c r="X16" s="16">
        <f>IF(OR(Topraklar!$J$24="Evet",AND(Topraklar!$L$24&lt;&gt;"Evet",Topraklar!$K$24&lt;&gt;Bitkiler!$C$15)),0,MAX(0,1-(Ayarlar!$B$2*ABS(Bitkiler!$D$15-Topraklar!$D$24)+Ayarlar!$B$3*ABS(Bitkiler!$E$15-Topraklar!$E$24)+Ayarlar!$B$4*ABS(Bitkiler!$F$15-Topraklar!$F$24)+Ayarlar!$B$5*ABS(Bitkiler!$G$15-Topraklar!$G$24)+Ayarlar!$B$6*IF(Bitkiler!$H$15=Topraklar!$H$24,0,1))/Ayarlar!$B$7)+IF(Topraklar!$K$24=Bitkiler!$C$15,0.002,IF(Topraklar!$L$24="Evet",0.001,0)))</f>
        <v/>
      </c>
      <c r="Y16" s="16">
        <f>IF(OR(Topraklar!$J$25="Evet",AND(Topraklar!$L$25&lt;&gt;"Evet",Topraklar!$K$25&lt;&gt;Bitkiler!$C$15)),0,MAX(0,1-(Ayarlar!$B$2*ABS(Bitkiler!$D$15-Topraklar!$D$25)+Ayarlar!$B$3*ABS(Bitkiler!$E$15-Topraklar!$E$25)+Ayarlar!$B$4*ABS(Bitkiler!$F$15-Topraklar!$F$25)+Ayarlar!$B$5*ABS(Bitkiler!$G$15-Topraklar!$G$25)+Ayarlar!$B$6*IF(Bitkiler!$H$15=Topraklar!$H$25,0,1))/Ayarlar!$B$7)+IF(Topraklar!$K$25=Bitkiler!$C$15,0.002,IF(Topraklar!$L$25="Evet",0.001,0)))</f>
        <v/>
      </c>
      <c r="Z16" s="16">
        <f>IF(OR(Topraklar!$J$26="Evet",AND(Topraklar!$L$26&lt;&gt;"Evet",Topraklar!$K$26&lt;&gt;Bitkiler!$C$15)),0,MAX(0,1-(Ayarlar!$B$2*ABS(Bitkiler!$D$15-Topraklar!$D$26)+Ayarlar!$B$3*ABS(Bitkiler!$E$15-Topraklar!$E$26)+Ayarlar!$B$4*ABS(Bitkiler!$F$15-Topraklar!$F$26)+Ayarlar!$B$5*ABS(Bitkiler!$G$15-Topraklar!$G$26)+Ayarlar!$B$6*IF(Bitkiler!$H$15=Topraklar!$H$26,0,1))/Ayarlar!$B$7)+IF(Topraklar!$K$26=Bitkiler!$C$15,0.002,IF(Topraklar!$L$26="Evet",0.001,0)))</f>
        <v/>
      </c>
      <c r="AA16" s="16">
        <f>IF(OR(Topraklar!$J$27="Evet",AND(Topraklar!$L$27&lt;&gt;"Evet",Topraklar!$K$27&lt;&gt;Bitkiler!$C$15)),0,MAX(0,1-(Ayarlar!$B$2*ABS(Bitkiler!$D$15-Topraklar!$D$27)+Ayarlar!$B$3*ABS(Bitkiler!$E$15-Topraklar!$E$27)+Ayarlar!$B$4*ABS(Bitkiler!$F$15-Topraklar!$F$27)+Ayarlar!$B$5*ABS(Bitkiler!$G$15-Topraklar!$G$27)+Ayarlar!$B$6*IF(Bitkiler!$H$15=Topraklar!$H$27,0,1))/Ayarlar!$B$7)+IF(Topraklar!$K$27=Bitkiler!$C$15,0.002,IF(Topraklar!$L$27="Evet",0.001,0)))</f>
        <v/>
      </c>
      <c r="AB16" s="16">
        <f>IF(OR(Topraklar!$J$28="Evet",AND(Topraklar!$L$28&lt;&gt;"Evet",Topraklar!$K$28&lt;&gt;Bitkiler!$C$15)),0,MAX(0,1-(Ayarlar!$B$2*ABS(Bitkiler!$D$15-Topraklar!$D$28)+Ayarlar!$B$3*ABS(Bitkiler!$E$15-Topraklar!$E$28)+Ayarlar!$B$4*ABS(Bitkiler!$F$15-Topraklar!$F$28)+Ayarlar!$B$5*ABS(Bitkiler!$G$15-Topraklar!$G$28)+Ayarlar!$B$6*IF(Bitkiler!$H$15=Topraklar!$H$28,0,1))/Ayarlar!$B$7)+IF(Topraklar!$K$28=Bitkiler!$C$15,0.002,IF(Topraklar!$L$28="Evet",0.001,0)))</f>
        <v/>
      </c>
      <c r="AC16" s="16">
        <f>IF(OR(Topraklar!$J$29="Evet",AND(Topraklar!$L$29&lt;&gt;"Evet",Topraklar!$K$29&lt;&gt;Bitkiler!$C$15)),0,MAX(0,1-(Ayarlar!$B$2*ABS(Bitkiler!$D$15-Topraklar!$D$29)+Ayarlar!$B$3*ABS(Bitkiler!$E$15-Topraklar!$E$29)+Ayarlar!$B$4*ABS(Bitkiler!$F$15-Topraklar!$F$29)+Ayarlar!$B$5*ABS(Bitkiler!$G$15-Topraklar!$G$29)+Ayarlar!$B$6*IF(Bitkiler!$H$15=Topraklar!$H$29,0,1))/Ayarlar!$B$7)+IF(Topraklar!$K$29=Bitkiler!$C$15,0.002,IF(Topraklar!$L$29="Evet",0.001,0)))</f>
        <v/>
      </c>
      <c r="AD16" s="16">
        <f>IF(OR(Topraklar!$J$30="Evet",AND(Topraklar!$L$30&lt;&gt;"Evet",Topraklar!$K$30&lt;&gt;Bitkiler!$C$15)),0,MAX(0,1-(Ayarlar!$B$2*ABS(Bitkiler!$D$15-Topraklar!$D$30)+Ayarlar!$B$3*ABS(Bitkiler!$E$15-Topraklar!$E$30)+Ayarlar!$B$4*ABS(Bitkiler!$F$15-Topraklar!$F$30)+Ayarlar!$B$5*ABS(Bitkiler!$G$15-Topraklar!$G$30)+Ayarlar!$B$6*IF(Bitkiler!$H$15=Topraklar!$H$30,0,1))/Ayarlar!$B$7)+IF(Topraklar!$K$30=Bitkiler!$C$15,0.002,IF(Topraklar!$L$30="Evet",0.001,0)))</f>
        <v/>
      </c>
      <c r="AE16" s="16">
        <f>IF(OR(Topraklar!$J$31="Evet",AND(Topraklar!$L$31&lt;&gt;"Evet",Topraklar!$K$31&lt;&gt;Bitkiler!$C$15)),0,MAX(0,1-(Ayarlar!$B$2*ABS(Bitkiler!$D$15-Topraklar!$D$31)+Ayarlar!$B$3*ABS(Bitkiler!$E$15-Topraklar!$E$31)+Ayarlar!$B$4*ABS(Bitkiler!$F$15-Topraklar!$F$31)+Ayarlar!$B$5*ABS(Bitkiler!$G$15-Topraklar!$G$31)+Ayarlar!$B$6*IF(Bitkiler!$H$15=Topraklar!$H$31,0,1))/Ayarlar!$B$7)+IF(Topraklar!$K$31=Bitkiler!$C$15,0.002,IF(Topraklar!$L$31="Evet",0.001,0)))</f>
        <v/>
      </c>
      <c r="AF16" s="16">
        <f>IF(OR(Topraklar!$J$32="Evet",AND(Topraklar!$L$32&lt;&gt;"Evet",Topraklar!$K$32&lt;&gt;Bitkiler!$C$15)),0,MAX(0,1-(Ayarlar!$B$2*ABS(Bitkiler!$D$15-Topraklar!$D$32)+Ayarlar!$B$3*ABS(Bitkiler!$E$15-Topraklar!$E$32)+Ayarlar!$B$4*ABS(Bitkiler!$F$15-Topraklar!$F$32)+Ayarlar!$B$5*ABS(Bitkiler!$G$15-Topraklar!$G$32)+Ayarlar!$B$6*IF(Bitkiler!$H$15=Topraklar!$H$32,0,1))/Ayarlar!$B$7)+IF(Topraklar!$K$32=Bitkiler!$C$15,0.002,IF(Topraklar!$L$32="Evet",0.001,0)))</f>
        <v/>
      </c>
      <c r="AG16" s="16">
        <f>IF(OR(Topraklar!$J$33="Evet",AND(Topraklar!$L$33&lt;&gt;"Evet",Topraklar!$K$33&lt;&gt;Bitkiler!$C$15)),0,MAX(0,1-(Ayarlar!$B$2*ABS(Bitkiler!$D$15-Topraklar!$D$33)+Ayarlar!$B$3*ABS(Bitkiler!$E$15-Topraklar!$E$33)+Ayarlar!$B$4*ABS(Bitkiler!$F$15-Topraklar!$F$33)+Ayarlar!$B$5*ABS(Bitkiler!$G$15-Topraklar!$G$33)+Ayarlar!$B$6*IF(Bitkiler!$H$15=Topraklar!$H$33,0,1))/Ayarlar!$B$7)+IF(Topraklar!$K$33=Bitkiler!$C$15,0.002,IF(Topraklar!$L$33="Evet",0.001,0)))</f>
        <v/>
      </c>
      <c r="AH16" s="16">
        <f>IF(OR(Topraklar!$J$34="Evet",AND(Topraklar!$L$34&lt;&gt;"Evet",Topraklar!$K$34&lt;&gt;Bitkiler!$C$15)),0,MAX(0,1-(Ayarlar!$B$2*ABS(Bitkiler!$D$15-Topraklar!$D$34)+Ayarlar!$B$3*ABS(Bitkiler!$E$15-Topraklar!$E$34)+Ayarlar!$B$4*ABS(Bitkiler!$F$15-Topraklar!$F$34)+Ayarlar!$B$5*ABS(Bitkiler!$G$15-Topraklar!$G$34)+Ayarlar!$B$6*IF(Bitkiler!$H$15=Topraklar!$H$34,0,1))/Ayarlar!$B$7)+IF(Topraklar!$K$34=Bitkiler!$C$15,0.002,IF(Topraklar!$L$34="Evet",0.001,0)))</f>
        <v/>
      </c>
      <c r="AI16" s="16">
        <f>IF(OR(Topraklar!$J$35="Evet",AND(Topraklar!$L$35&lt;&gt;"Evet",Topraklar!$K$35&lt;&gt;Bitkiler!$C$15)),0,MAX(0,1-(Ayarlar!$B$2*ABS(Bitkiler!$D$15-Topraklar!$D$35)+Ayarlar!$B$3*ABS(Bitkiler!$E$15-Topraklar!$E$35)+Ayarlar!$B$4*ABS(Bitkiler!$F$15-Topraklar!$F$35)+Ayarlar!$B$5*ABS(Bitkiler!$G$15-Topraklar!$G$35)+Ayarlar!$B$6*IF(Bitkiler!$H$15=Topraklar!$H$35,0,1))/Ayarlar!$B$7)+IF(Topraklar!$K$35=Bitkiler!$C$15,0.002,IF(Topraklar!$L$35="Evet",0.001,0)))</f>
        <v/>
      </c>
      <c r="AJ16" s="16">
        <f>IF(OR(Topraklar!$J$36="Evet",AND(Topraklar!$L$36&lt;&gt;"Evet",Topraklar!$K$36&lt;&gt;Bitkiler!$C$15)),0,MAX(0,1-(Ayarlar!$B$2*ABS(Bitkiler!$D$15-Topraklar!$D$36)+Ayarlar!$B$3*ABS(Bitkiler!$E$15-Topraklar!$E$36)+Ayarlar!$B$4*ABS(Bitkiler!$F$15-Topraklar!$F$36)+Ayarlar!$B$5*ABS(Bitkiler!$G$15-Topraklar!$G$36)+Ayarlar!$B$6*IF(Bitkiler!$H$15=Topraklar!$H$36,0,1))/Ayarlar!$B$7)+IF(Topraklar!$K$36=Bitkiler!$C$15,0.002,IF(Topraklar!$L$36="Evet",0.001,0)))</f>
        <v/>
      </c>
      <c r="AK16" s="16">
        <f>IF(OR(Topraklar!$J$37="Evet",AND(Topraklar!$L$37&lt;&gt;"Evet",Topraklar!$K$37&lt;&gt;Bitkiler!$C$15)),0,MAX(0,1-(Ayarlar!$B$2*ABS(Bitkiler!$D$15-Topraklar!$D$37)+Ayarlar!$B$3*ABS(Bitkiler!$E$15-Topraklar!$E$37)+Ayarlar!$B$4*ABS(Bitkiler!$F$15-Topraklar!$F$37)+Ayarlar!$B$5*ABS(Bitkiler!$G$15-Topraklar!$G$37)+Ayarlar!$B$6*IF(Bitkiler!$H$15=Topraklar!$H$37,0,1))/Ayarlar!$B$7)+IF(Topraklar!$K$37=Bitkiler!$C$15,0.002,IF(Topraklar!$L$37="Evet",0.001,0)))</f>
        <v/>
      </c>
      <c r="AL16" s="16">
        <f>IF(OR(Topraklar!$J$38="Evet",AND(Topraklar!$L$38&lt;&gt;"Evet",Topraklar!$K$38&lt;&gt;Bitkiler!$C$15)),0,MAX(0,1-(Ayarlar!$B$2*ABS(Bitkiler!$D$15-Topraklar!$D$38)+Ayarlar!$B$3*ABS(Bitkiler!$E$15-Topraklar!$E$38)+Ayarlar!$B$4*ABS(Bitkiler!$F$15-Topraklar!$F$38)+Ayarlar!$B$5*ABS(Bitkiler!$G$15-Topraklar!$G$38)+Ayarlar!$B$6*IF(Bitkiler!$H$15=Topraklar!$H$38,0,1))/Ayarlar!$B$7)+IF(Topraklar!$K$38=Bitkiler!$C$15,0.002,IF(Topraklar!$L$38="Evet",0.001,0)))</f>
        <v/>
      </c>
      <c r="AM16" s="16">
        <f>IF(OR(Topraklar!$J$39="Evet",AND(Topraklar!$L$39&lt;&gt;"Evet",Topraklar!$K$39&lt;&gt;Bitkiler!$C$15)),0,MAX(0,1-(Ayarlar!$B$2*ABS(Bitkiler!$D$15-Topraklar!$D$39)+Ayarlar!$B$3*ABS(Bitkiler!$E$15-Topraklar!$E$39)+Ayarlar!$B$4*ABS(Bitkiler!$F$15-Topraklar!$F$39)+Ayarlar!$B$5*ABS(Bitkiler!$G$15-Topraklar!$G$39)+Ayarlar!$B$6*IF(Bitkiler!$H$15=Topraklar!$H$39,0,1))/Ayarlar!$B$7)+IF(Topraklar!$K$39=Bitkiler!$C$15,0.002,IF(Topraklar!$L$39="Evet",0.001,0)))</f>
        <v/>
      </c>
      <c r="AN16" s="16">
        <f>IF(OR(Topraklar!$J$40="Evet",AND(Topraklar!$L$40&lt;&gt;"Evet",Topraklar!$K$40&lt;&gt;Bitkiler!$C$15)),0,MAX(0,1-(Ayarlar!$B$2*ABS(Bitkiler!$D$15-Topraklar!$D$40)+Ayarlar!$B$3*ABS(Bitkiler!$E$15-Topraklar!$E$40)+Ayarlar!$B$4*ABS(Bitkiler!$F$15-Topraklar!$F$40)+Ayarlar!$B$5*ABS(Bitkiler!$G$15-Topraklar!$G$40)+Ayarlar!$B$6*IF(Bitkiler!$H$15=Topraklar!$H$40,0,1))/Ayarlar!$B$7)+IF(Topraklar!$K$40=Bitkiler!$C$15,0.002,IF(Topraklar!$L$40="Evet",0.001,0)))</f>
        <v/>
      </c>
      <c r="AO16" s="16">
        <f>IF(OR(Topraklar!$J$41="Evet",AND(Topraklar!$L$41&lt;&gt;"Evet",Topraklar!$K$41&lt;&gt;Bitkiler!$C$15)),0,MAX(0,1-(Ayarlar!$B$2*ABS(Bitkiler!$D$15-Topraklar!$D$41)+Ayarlar!$B$3*ABS(Bitkiler!$E$15-Topraklar!$E$41)+Ayarlar!$B$4*ABS(Bitkiler!$F$15-Topraklar!$F$41)+Ayarlar!$B$5*ABS(Bitkiler!$G$15-Topraklar!$G$41)+Ayarlar!$B$6*IF(Bitkiler!$H$15=Topraklar!$H$41,0,1))/Ayarlar!$B$7)+IF(Topraklar!$K$41=Bitkiler!$C$15,0.002,IF(Topraklar!$L$41="Evet",0.001,0)))</f>
        <v/>
      </c>
      <c r="AP16" s="16">
        <f>IF(OR(Topraklar!$J$42="Evet",AND(Topraklar!$L$42&lt;&gt;"Evet",Topraklar!$K$42&lt;&gt;Bitkiler!$C$15)),0,MAX(0,1-(Ayarlar!$B$2*ABS(Bitkiler!$D$15-Topraklar!$D$42)+Ayarlar!$B$3*ABS(Bitkiler!$E$15-Topraklar!$E$42)+Ayarlar!$B$4*ABS(Bitkiler!$F$15-Topraklar!$F$42)+Ayarlar!$B$5*ABS(Bitkiler!$G$15-Topraklar!$G$42)+Ayarlar!$B$6*IF(Bitkiler!$H$15=Topraklar!$H$42,0,1))/Ayarlar!$B$7)+IF(Topraklar!$K$42=Bitkiler!$C$15,0.002,IF(Topraklar!$L$42="Evet",0.001,0)))</f>
        <v/>
      </c>
      <c r="AQ16" s="16">
        <f>IF(OR(Topraklar!$J$43="Evet",AND(Topraklar!$L$43&lt;&gt;"Evet",Topraklar!$K$43&lt;&gt;Bitkiler!$C$15)),0,MAX(0,1-(Ayarlar!$B$2*ABS(Bitkiler!$D$15-Topraklar!$D$43)+Ayarlar!$B$3*ABS(Bitkiler!$E$15-Topraklar!$E$43)+Ayarlar!$B$4*ABS(Bitkiler!$F$15-Topraklar!$F$43)+Ayarlar!$B$5*ABS(Bitkiler!$G$15-Topraklar!$G$43)+Ayarlar!$B$6*IF(Bitkiler!$H$15=Topraklar!$H$43,0,1))/Ayarlar!$B$7)+IF(Topraklar!$K$43=Bitkiler!$C$15,0.002,IF(Topraklar!$L$43="Evet",0.001,0)))</f>
        <v/>
      </c>
      <c r="AR16" s="16">
        <f>IF(OR(Topraklar!$J$44="Evet",AND(Topraklar!$L$44&lt;&gt;"Evet",Topraklar!$K$44&lt;&gt;Bitkiler!$C$15)),0,MAX(0,1-(Ayarlar!$B$2*ABS(Bitkiler!$D$15-Topraklar!$D$44)+Ayarlar!$B$3*ABS(Bitkiler!$E$15-Topraklar!$E$44)+Ayarlar!$B$4*ABS(Bitkiler!$F$15-Topraklar!$F$44)+Ayarlar!$B$5*ABS(Bitkiler!$G$15-Topraklar!$G$44)+Ayarlar!$B$6*IF(Bitkiler!$H$15=Topraklar!$H$44,0,1))/Ayarlar!$B$7)+IF(Topraklar!$K$44=Bitkiler!$C$15,0.002,IF(Topraklar!$L$44="Evet",0.001,0)))</f>
        <v/>
      </c>
      <c r="AS16" s="16">
        <f>IF(OR(Topraklar!$J$45="Evet",AND(Topraklar!$L$45&lt;&gt;"Evet",Topraklar!$K$45&lt;&gt;Bitkiler!$C$15)),0,MAX(0,1-(Ayarlar!$B$2*ABS(Bitkiler!$D$15-Topraklar!$D$45)+Ayarlar!$B$3*ABS(Bitkiler!$E$15-Topraklar!$E$45)+Ayarlar!$B$4*ABS(Bitkiler!$F$15-Topraklar!$F$45)+Ayarlar!$B$5*ABS(Bitkiler!$G$15-Topraklar!$G$45)+Ayarlar!$B$6*IF(Bitkiler!$H$15=Topraklar!$H$45,0,1))/Ayarlar!$B$7)+IF(Topraklar!$K$45=Bitkiler!$C$15,0.002,IF(Topraklar!$L$45="Evet",0.001,0)))</f>
        <v/>
      </c>
      <c r="AT16" s="16">
        <f>IF(OR(Topraklar!$J$46="Evet",AND(Topraklar!$L$46&lt;&gt;"Evet",Topraklar!$K$46&lt;&gt;Bitkiler!$C$15)),0,MAX(0,1-(Ayarlar!$B$2*ABS(Bitkiler!$D$15-Topraklar!$D$46)+Ayarlar!$B$3*ABS(Bitkiler!$E$15-Topraklar!$E$46)+Ayarlar!$B$4*ABS(Bitkiler!$F$15-Topraklar!$F$46)+Ayarlar!$B$5*ABS(Bitkiler!$G$15-Topraklar!$G$46)+Ayarlar!$B$6*IF(Bitkiler!$H$15=Topraklar!$H$46,0,1))/Ayarlar!$B$7)+IF(Topraklar!$K$46=Bitkiler!$C$15,0.002,IF(Topraklar!$L$46="Evet",0.001,0)))</f>
        <v/>
      </c>
      <c r="AU16" s="16">
        <f>IF(OR(Topraklar!$J$47="Evet",AND(Topraklar!$L$47&lt;&gt;"Evet",Topraklar!$K$47&lt;&gt;Bitkiler!$C$15)),0,MAX(0,1-(Ayarlar!$B$2*ABS(Bitkiler!$D$15-Topraklar!$D$47)+Ayarlar!$B$3*ABS(Bitkiler!$E$15-Topraklar!$E$47)+Ayarlar!$B$4*ABS(Bitkiler!$F$15-Topraklar!$F$47)+Ayarlar!$B$5*ABS(Bitkiler!$G$15-Topraklar!$G$47)+Ayarlar!$B$6*IF(Bitkiler!$H$15=Topraklar!$H$47,0,1))/Ayarlar!$B$7)+IF(Topraklar!$K$47=Bitkiler!$C$15,0.002,IF(Topraklar!$L$47="Evet",0.001,0)))</f>
        <v/>
      </c>
      <c r="AV16" s="16">
        <f>IF(OR(Topraklar!$J$48="Evet",AND(Topraklar!$L$48&lt;&gt;"Evet",Topraklar!$K$48&lt;&gt;Bitkiler!$C$15)),0,MAX(0,1-(Ayarlar!$B$2*ABS(Bitkiler!$D$15-Topraklar!$D$48)+Ayarlar!$B$3*ABS(Bitkiler!$E$15-Topraklar!$E$48)+Ayarlar!$B$4*ABS(Bitkiler!$F$15-Topraklar!$F$48)+Ayarlar!$B$5*ABS(Bitkiler!$G$15-Topraklar!$G$48)+Ayarlar!$B$6*IF(Bitkiler!$H$15=Topraklar!$H$48,0,1))/Ayarlar!$B$7)+IF(Topraklar!$K$48=Bitkiler!$C$15,0.002,IF(Topraklar!$L$48="Evet",0.001,0)))</f>
        <v/>
      </c>
      <c r="AW16" s="16">
        <f>IF(OR(Topraklar!$J$49="Evet",AND(Topraklar!$L$49&lt;&gt;"Evet",Topraklar!$K$49&lt;&gt;Bitkiler!$C$15)),0,MAX(0,1-(Ayarlar!$B$2*ABS(Bitkiler!$D$15-Topraklar!$D$49)+Ayarlar!$B$3*ABS(Bitkiler!$E$15-Topraklar!$E$49)+Ayarlar!$B$4*ABS(Bitkiler!$F$15-Topraklar!$F$49)+Ayarlar!$B$5*ABS(Bitkiler!$G$15-Topraklar!$G$49)+Ayarlar!$B$6*IF(Bitkiler!$H$15=Topraklar!$H$49,0,1))/Ayarlar!$B$7)+IF(Topraklar!$K$49=Bitkiler!$C$15,0.002,IF(Topraklar!$L$49="Evet",0.001,0)))</f>
        <v/>
      </c>
      <c r="AX16" s="16">
        <f>IF(OR(Topraklar!$J$50="Evet",AND(Topraklar!$L$50&lt;&gt;"Evet",Topraklar!$K$50&lt;&gt;Bitkiler!$C$15)),0,MAX(0,1-(Ayarlar!$B$2*ABS(Bitkiler!$D$15-Topraklar!$D$50)+Ayarlar!$B$3*ABS(Bitkiler!$E$15-Topraklar!$E$50)+Ayarlar!$B$4*ABS(Bitkiler!$F$15-Topraklar!$F$50)+Ayarlar!$B$5*ABS(Bitkiler!$G$15-Topraklar!$G$50)+Ayarlar!$B$6*IF(Bitkiler!$H$15=Topraklar!$H$50,0,1))/Ayarlar!$B$7)+IF(Topraklar!$K$50=Bitkiler!$C$15,0.002,IF(Topraklar!$L$50="Evet",0.001,0)))</f>
        <v/>
      </c>
      <c r="AY16" s="16">
        <f>IF(OR(Topraklar!$J$51="Evet",AND(Topraklar!$L$51&lt;&gt;"Evet",Topraklar!$K$51&lt;&gt;Bitkiler!$C$15)),0,MAX(0,1-(Ayarlar!$B$2*ABS(Bitkiler!$D$15-Topraklar!$D$51)+Ayarlar!$B$3*ABS(Bitkiler!$E$15-Topraklar!$E$51)+Ayarlar!$B$4*ABS(Bitkiler!$F$15-Topraklar!$F$51)+Ayarlar!$B$5*ABS(Bitkiler!$G$15-Topraklar!$G$51)+Ayarlar!$B$6*IF(Bitkiler!$H$15=Topraklar!$H$51,0,1))/Ayarlar!$B$7)+IF(Topraklar!$K$51=Bitkiler!$C$15,0.002,IF(Topraklar!$L$51="Evet",0.001,0)))</f>
        <v/>
      </c>
    </row>
    <row r="17">
      <c r="A17" s="15">
        <f>Bitkiler!A16</f>
        <v/>
      </c>
      <c r="B17" s="16">
        <f>IF(OR(Topraklar!$J$2="Evet",AND(Topraklar!$L$2&lt;&gt;"Evet",Topraklar!$K$2&lt;&gt;Bitkiler!$C$16)),0,MAX(0,1-(Ayarlar!$B$2*ABS(Bitkiler!$D$16-Topraklar!$D$2)+Ayarlar!$B$3*ABS(Bitkiler!$E$16-Topraklar!$E$2)+Ayarlar!$B$4*ABS(Bitkiler!$F$16-Topraklar!$F$2)+Ayarlar!$B$5*ABS(Bitkiler!$G$16-Topraklar!$G$2)+Ayarlar!$B$6*IF(Bitkiler!$H$16=Topraklar!$H$2,0,1))/Ayarlar!$B$7)+IF(Topraklar!$K$2=Bitkiler!$C$16,0.002,IF(Topraklar!$L$2="Evet",0.001,0)))</f>
        <v/>
      </c>
      <c r="C17" s="16">
        <f>IF(OR(Topraklar!$J$3="Evet",AND(Topraklar!$L$3&lt;&gt;"Evet",Topraklar!$K$3&lt;&gt;Bitkiler!$C$16)),0,MAX(0,1-(Ayarlar!$B$2*ABS(Bitkiler!$D$16-Topraklar!$D$3)+Ayarlar!$B$3*ABS(Bitkiler!$E$16-Topraklar!$E$3)+Ayarlar!$B$4*ABS(Bitkiler!$F$16-Topraklar!$F$3)+Ayarlar!$B$5*ABS(Bitkiler!$G$16-Topraklar!$G$3)+Ayarlar!$B$6*IF(Bitkiler!$H$16=Topraklar!$H$3,0,1))/Ayarlar!$B$7)+IF(Topraklar!$K$3=Bitkiler!$C$16,0.002,IF(Topraklar!$L$3="Evet",0.001,0)))</f>
        <v/>
      </c>
      <c r="D17" s="16">
        <f>IF(OR(Topraklar!$J$4="Evet",AND(Topraklar!$L$4&lt;&gt;"Evet",Topraklar!$K$4&lt;&gt;Bitkiler!$C$16)),0,MAX(0,1-(Ayarlar!$B$2*ABS(Bitkiler!$D$16-Topraklar!$D$4)+Ayarlar!$B$3*ABS(Bitkiler!$E$16-Topraklar!$E$4)+Ayarlar!$B$4*ABS(Bitkiler!$F$16-Topraklar!$F$4)+Ayarlar!$B$5*ABS(Bitkiler!$G$16-Topraklar!$G$4)+Ayarlar!$B$6*IF(Bitkiler!$H$16=Topraklar!$H$4,0,1))/Ayarlar!$B$7)+IF(Topraklar!$K$4=Bitkiler!$C$16,0.002,IF(Topraklar!$L$4="Evet",0.001,0)))</f>
        <v/>
      </c>
      <c r="E17" s="16">
        <f>IF(OR(Topraklar!$J$5="Evet",AND(Topraklar!$L$5&lt;&gt;"Evet",Topraklar!$K$5&lt;&gt;Bitkiler!$C$16)),0,MAX(0,1-(Ayarlar!$B$2*ABS(Bitkiler!$D$16-Topraklar!$D$5)+Ayarlar!$B$3*ABS(Bitkiler!$E$16-Topraklar!$E$5)+Ayarlar!$B$4*ABS(Bitkiler!$F$16-Topraklar!$F$5)+Ayarlar!$B$5*ABS(Bitkiler!$G$16-Topraklar!$G$5)+Ayarlar!$B$6*IF(Bitkiler!$H$16=Topraklar!$H$5,0,1))/Ayarlar!$B$7)+IF(Topraklar!$K$5=Bitkiler!$C$16,0.002,IF(Topraklar!$L$5="Evet",0.001,0)))</f>
        <v/>
      </c>
      <c r="F17" s="16">
        <f>IF(OR(Topraklar!$J$6="Evet",AND(Topraklar!$L$6&lt;&gt;"Evet",Topraklar!$K$6&lt;&gt;Bitkiler!$C$16)),0,MAX(0,1-(Ayarlar!$B$2*ABS(Bitkiler!$D$16-Topraklar!$D$6)+Ayarlar!$B$3*ABS(Bitkiler!$E$16-Topraklar!$E$6)+Ayarlar!$B$4*ABS(Bitkiler!$F$16-Topraklar!$F$6)+Ayarlar!$B$5*ABS(Bitkiler!$G$16-Topraklar!$G$6)+Ayarlar!$B$6*IF(Bitkiler!$H$16=Topraklar!$H$6,0,1))/Ayarlar!$B$7)+IF(Topraklar!$K$6=Bitkiler!$C$16,0.002,IF(Topraklar!$L$6="Evet",0.001,0)))</f>
        <v/>
      </c>
      <c r="G17" s="16">
        <f>IF(OR(Topraklar!$J$7="Evet",AND(Topraklar!$L$7&lt;&gt;"Evet",Topraklar!$K$7&lt;&gt;Bitkiler!$C$16)),0,MAX(0,1-(Ayarlar!$B$2*ABS(Bitkiler!$D$16-Topraklar!$D$7)+Ayarlar!$B$3*ABS(Bitkiler!$E$16-Topraklar!$E$7)+Ayarlar!$B$4*ABS(Bitkiler!$F$16-Topraklar!$F$7)+Ayarlar!$B$5*ABS(Bitkiler!$G$16-Topraklar!$G$7)+Ayarlar!$B$6*IF(Bitkiler!$H$16=Topraklar!$H$7,0,1))/Ayarlar!$B$7)+IF(Topraklar!$K$7=Bitkiler!$C$16,0.002,IF(Topraklar!$L$7="Evet",0.001,0)))</f>
        <v/>
      </c>
      <c r="H17" s="16">
        <f>IF(OR(Topraklar!$J$8="Evet",AND(Topraklar!$L$8&lt;&gt;"Evet",Topraklar!$K$8&lt;&gt;Bitkiler!$C$16)),0,MAX(0,1-(Ayarlar!$B$2*ABS(Bitkiler!$D$16-Topraklar!$D$8)+Ayarlar!$B$3*ABS(Bitkiler!$E$16-Topraklar!$E$8)+Ayarlar!$B$4*ABS(Bitkiler!$F$16-Topraklar!$F$8)+Ayarlar!$B$5*ABS(Bitkiler!$G$16-Topraklar!$G$8)+Ayarlar!$B$6*IF(Bitkiler!$H$16=Topraklar!$H$8,0,1))/Ayarlar!$B$7)+IF(Topraklar!$K$8=Bitkiler!$C$16,0.002,IF(Topraklar!$L$8="Evet",0.001,0)))</f>
        <v/>
      </c>
      <c r="I17" s="16">
        <f>IF(OR(Topraklar!$J$9="Evet",AND(Topraklar!$L$9&lt;&gt;"Evet",Topraklar!$K$9&lt;&gt;Bitkiler!$C$16)),0,MAX(0,1-(Ayarlar!$B$2*ABS(Bitkiler!$D$16-Topraklar!$D$9)+Ayarlar!$B$3*ABS(Bitkiler!$E$16-Topraklar!$E$9)+Ayarlar!$B$4*ABS(Bitkiler!$F$16-Topraklar!$F$9)+Ayarlar!$B$5*ABS(Bitkiler!$G$16-Topraklar!$G$9)+Ayarlar!$B$6*IF(Bitkiler!$H$16=Topraklar!$H$9,0,1))/Ayarlar!$B$7)+IF(Topraklar!$K$9=Bitkiler!$C$16,0.002,IF(Topraklar!$L$9="Evet",0.001,0)))</f>
        <v/>
      </c>
      <c r="J17" s="16">
        <f>IF(OR(Topraklar!$J$10="Evet",AND(Topraklar!$L$10&lt;&gt;"Evet",Topraklar!$K$10&lt;&gt;Bitkiler!$C$16)),0,MAX(0,1-(Ayarlar!$B$2*ABS(Bitkiler!$D$16-Topraklar!$D$10)+Ayarlar!$B$3*ABS(Bitkiler!$E$16-Topraklar!$E$10)+Ayarlar!$B$4*ABS(Bitkiler!$F$16-Topraklar!$F$10)+Ayarlar!$B$5*ABS(Bitkiler!$G$16-Topraklar!$G$10)+Ayarlar!$B$6*IF(Bitkiler!$H$16=Topraklar!$H$10,0,1))/Ayarlar!$B$7)+IF(Topraklar!$K$10=Bitkiler!$C$16,0.002,IF(Topraklar!$L$10="Evet",0.001,0)))</f>
        <v/>
      </c>
      <c r="K17" s="16">
        <f>IF(OR(Topraklar!$J$11="Evet",AND(Topraklar!$L$11&lt;&gt;"Evet",Topraklar!$K$11&lt;&gt;Bitkiler!$C$16)),0,MAX(0,1-(Ayarlar!$B$2*ABS(Bitkiler!$D$16-Topraklar!$D$11)+Ayarlar!$B$3*ABS(Bitkiler!$E$16-Topraklar!$E$11)+Ayarlar!$B$4*ABS(Bitkiler!$F$16-Topraklar!$F$11)+Ayarlar!$B$5*ABS(Bitkiler!$G$16-Topraklar!$G$11)+Ayarlar!$B$6*IF(Bitkiler!$H$16=Topraklar!$H$11,0,1))/Ayarlar!$B$7)+IF(Topraklar!$K$11=Bitkiler!$C$16,0.002,IF(Topraklar!$L$11="Evet",0.001,0)))</f>
        <v/>
      </c>
      <c r="L17" s="16">
        <f>IF(OR(Topraklar!$J$12="Evet",AND(Topraklar!$L$12&lt;&gt;"Evet",Topraklar!$K$12&lt;&gt;Bitkiler!$C$16)),0,MAX(0,1-(Ayarlar!$B$2*ABS(Bitkiler!$D$16-Topraklar!$D$12)+Ayarlar!$B$3*ABS(Bitkiler!$E$16-Topraklar!$E$12)+Ayarlar!$B$4*ABS(Bitkiler!$F$16-Topraklar!$F$12)+Ayarlar!$B$5*ABS(Bitkiler!$G$16-Topraklar!$G$12)+Ayarlar!$B$6*IF(Bitkiler!$H$16=Topraklar!$H$12,0,1))/Ayarlar!$B$7)+IF(Topraklar!$K$12=Bitkiler!$C$16,0.002,IF(Topraklar!$L$12="Evet",0.001,0)))</f>
        <v/>
      </c>
      <c r="M17" s="16">
        <f>IF(OR(Topraklar!$J$13="Evet",AND(Topraklar!$L$13&lt;&gt;"Evet",Topraklar!$K$13&lt;&gt;Bitkiler!$C$16)),0,MAX(0,1-(Ayarlar!$B$2*ABS(Bitkiler!$D$16-Topraklar!$D$13)+Ayarlar!$B$3*ABS(Bitkiler!$E$16-Topraklar!$E$13)+Ayarlar!$B$4*ABS(Bitkiler!$F$16-Topraklar!$F$13)+Ayarlar!$B$5*ABS(Bitkiler!$G$16-Topraklar!$G$13)+Ayarlar!$B$6*IF(Bitkiler!$H$16=Topraklar!$H$13,0,1))/Ayarlar!$B$7)+IF(Topraklar!$K$13=Bitkiler!$C$16,0.002,IF(Topraklar!$L$13="Evet",0.001,0)))</f>
        <v/>
      </c>
      <c r="N17" s="16">
        <f>IF(OR(Topraklar!$J$14="Evet",AND(Topraklar!$L$14&lt;&gt;"Evet",Topraklar!$K$14&lt;&gt;Bitkiler!$C$16)),0,MAX(0,1-(Ayarlar!$B$2*ABS(Bitkiler!$D$16-Topraklar!$D$14)+Ayarlar!$B$3*ABS(Bitkiler!$E$16-Topraklar!$E$14)+Ayarlar!$B$4*ABS(Bitkiler!$F$16-Topraklar!$F$14)+Ayarlar!$B$5*ABS(Bitkiler!$G$16-Topraklar!$G$14)+Ayarlar!$B$6*IF(Bitkiler!$H$16=Topraklar!$H$14,0,1))/Ayarlar!$B$7)+IF(Topraklar!$K$14=Bitkiler!$C$16,0.002,IF(Topraklar!$L$14="Evet",0.001,0)))</f>
        <v/>
      </c>
      <c r="O17" s="16">
        <f>IF(OR(Topraklar!$J$15="Evet",AND(Topraklar!$L$15&lt;&gt;"Evet",Topraklar!$K$15&lt;&gt;Bitkiler!$C$16)),0,MAX(0,1-(Ayarlar!$B$2*ABS(Bitkiler!$D$16-Topraklar!$D$15)+Ayarlar!$B$3*ABS(Bitkiler!$E$16-Topraklar!$E$15)+Ayarlar!$B$4*ABS(Bitkiler!$F$16-Topraklar!$F$15)+Ayarlar!$B$5*ABS(Bitkiler!$G$16-Topraklar!$G$15)+Ayarlar!$B$6*IF(Bitkiler!$H$16=Topraklar!$H$15,0,1))/Ayarlar!$B$7)+IF(Topraklar!$K$15=Bitkiler!$C$16,0.002,IF(Topraklar!$L$15="Evet",0.001,0)))</f>
        <v/>
      </c>
      <c r="P17" s="16">
        <f>IF(OR(Topraklar!$J$16="Evet",AND(Topraklar!$L$16&lt;&gt;"Evet",Topraklar!$K$16&lt;&gt;Bitkiler!$C$16)),0,MAX(0,1-(Ayarlar!$B$2*ABS(Bitkiler!$D$16-Topraklar!$D$16)+Ayarlar!$B$3*ABS(Bitkiler!$E$16-Topraklar!$E$16)+Ayarlar!$B$4*ABS(Bitkiler!$F$16-Topraklar!$F$16)+Ayarlar!$B$5*ABS(Bitkiler!$G$16-Topraklar!$G$16)+Ayarlar!$B$6*IF(Bitkiler!$H$16=Topraklar!$H$16,0,1))/Ayarlar!$B$7)+IF(Topraklar!$K$16=Bitkiler!$C$16,0.002,IF(Topraklar!$L$16="Evet",0.001,0)))</f>
        <v/>
      </c>
      <c r="Q17" s="16">
        <f>IF(OR(Topraklar!$J$17="Evet",AND(Topraklar!$L$17&lt;&gt;"Evet",Topraklar!$K$17&lt;&gt;Bitkiler!$C$16)),0,MAX(0,1-(Ayarlar!$B$2*ABS(Bitkiler!$D$16-Topraklar!$D$17)+Ayarlar!$B$3*ABS(Bitkiler!$E$16-Topraklar!$E$17)+Ayarlar!$B$4*ABS(Bitkiler!$F$16-Topraklar!$F$17)+Ayarlar!$B$5*ABS(Bitkiler!$G$16-Topraklar!$G$17)+Ayarlar!$B$6*IF(Bitkiler!$H$16=Topraklar!$H$17,0,1))/Ayarlar!$B$7)+IF(Topraklar!$K$17=Bitkiler!$C$16,0.002,IF(Topraklar!$L$17="Evet",0.001,0)))</f>
        <v/>
      </c>
      <c r="R17" s="16">
        <f>IF(OR(Topraklar!$J$18="Evet",AND(Topraklar!$L$18&lt;&gt;"Evet",Topraklar!$K$18&lt;&gt;Bitkiler!$C$16)),0,MAX(0,1-(Ayarlar!$B$2*ABS(Bitkiler!$D$16-Topraklar!$D$18)+Ayarlar!$B$3*ABS(Bitkiler!$E$16-Topraklar!$E$18)+Ayarlar!$B$4*ABS(Bitkiler!$F$16-Topraklar!$F$18)+Ayarlar!$B$5*ABS(Bitkiler!$G$16-Topraklar!$G$18)+Ayarlar!$B$6*IF(Bitkiler!$H$16=Topraklar!$H$18,0,1))/Ayarlar!$B$7)+IF(Topraklar!$K$18=Bitkiler!$C$16,0.002,IF(Topraklar!$L$18="Evet",0.001,0)))</f>
        <v/>
      </c>
      <c r="S17" s="16">
        <f>IF(OR(Topraklar!$J$19="Evet",AND(Topraklar!$L$19&lt;&gt;"Evet",Topraklar!$K$19&lt;&gt;Bitkiler!$C$16)),0,MAX(0,1-(Ayarlar!$B$2*ABS(Bitkiler!$D$16-Topraklar!$D$19)+Ayarlar!$B$3*ABS(Bitkiler!$E$16-Topraklar!$E$19)+Ayarlar!$B$4*ABS(Bitkiler!$F$16-Topraklar!$F$19)+Ayarlar!$B$5*ABS(Bitkiler!$G$16-Topraklar!$G$19)+Ayarlar!$B$6*IF(Bitkiler!$H$16=Topraklar!$H$19,0,1))/Ayarlar!$B$7)+IF(Topraklar!$K$19=Bitkiler!$C$16,0.002,IF(Topraklar!$L$19="Evet",0.001,0)))</f>
        <v/>
      </c>
      <c r="T17" s="16">
        <f>IF(OR(Topraklar!$J$20="Evet",AND(Topraklar!$L$20&lt;&gt;"Evet",Topraklar!$K$20&lt;&gt;Bitkiler!$C$16)),0,MAX(0,1-(Ayarlar!$B$2*ABS(Bitkiler!$D$16-Topraklar!$D$20)+Ayarlar!$B$3*ABS(Bitkiler!$E$16-Topraklar!$E$20)+Ayarlar!$B$4*ABS(Bitkiler!$F$16-Topraklar!$F$20)+Ayarlar!$B$5*ABS(Bitkiler!$G$16-Topraklar!$G$20)+Ayarlar!$B$6*IF(Bitkiler!$H$16=Topraklar!$H$20,0,1))/Ayarlar!$B$7)+IF(Topraklar!$K$20=Bitkiler!$C$16,0.002,IF(Topraklar!$L$20="Evet",0.001,0)))</f>
        <v/>
      </c>
      <c r="U17" s="16">
        <f>IF(OR(Topraklar!$J$21="Evet",AND(Topraklar!$L$21&lt;&gt;"Evet",Topraklar!$K$21&lt;&gt;Bitkiler!$C$16)),0,MAX(0,1-(Ayarlar!$B$2*ABS(Bitkiler!$D$16-Topraklar!$D$21)+Ayarlar!$B$3*ABS(Bitkiler!$E$16-Topraklar!$E$21)+Ayarlar!$B$4*ABS(Bitkiler!$F$16-Topraklar!$F$21)+Ayarlar!$B$5*ABS(Bitkiler!$G$16-Topraklar!$G$21)+Ayarlar!$B$6*IF(Bitkiler!$H$16=Topraklar!$H$21,0,1))/Ayarlar!$B$7)+IF(Topraklar!$K$21=Bitkiler!$C$16,0.002,IF(Topraklar!$L$21="Evet",0.001,0)))</f>
        <v/>
      </c>
      <c r="V17" s="16">
        <f>IF(OR(Topraklar!$J$22="Evet",AND(Topraklar!$L$22&lt;&gt;"Evet",Topraklar!$K$22&lt;&gt;Bitkiler!$C$16)),0,MAX(0,1-(Ayarlar!$B$2*ABS(Bitkiler!$D$16-Topraklar!$D$22)+Ayarlar!$B$3*ABS(Bitkiler!$E$16-Topraklar!$E$22)+Ayarlar!$B$4*ABS(Bitkiler!$F$16-Topraklar!$F$22)+Ayarlar!$B$5*ABS(Bitkiler!$G$16-Topraklar!$G$22)+Ayarlar!$B$6*IF(Bitkiler!$H$16=Topraklar!$H$22,0,1))/Ayarlar!$B$7)+IF(Topraklar!$K$22=Bitkiler!$C$16,0.002,IF(Topraklar!$L$22="Evet",0.001,0)))</f>
        <v/>
      </c>
      <c r="W17" s="16">
        <f>IF(OR(Topraklar!$J$23="Evet",AND(Topraklar!$L$23&lt;&gt;"Evet",Topraklar!$K$23&lt;&gt;Bitkiler!$C$16)),0,MAX(0,1-(Ayarlar!$B$2*ABS(Bitkiler!$D$16-Topraklar!$D$23)+Ayarlar!$B$3*ABS(Bitkiler!$E$16-Topraklar!$E$23)+Ayarlar!$B$4*ABS(Bitkiler!$F$16-Topraklar!$F$23)+Ayarlar!$B$5*ABS(Bitkiler!$G$16-Topraklar!$G$23)+Ayarlar!$B$6*IF(Bitkiler!$H$16=Topraklar!$H$23,0,1))/Ayarlar!$B$7)+IF(Topraklar!$K$23=Bitkiler!$C$16,0.002,IF(Topraklar!$L$23="Evet",0.001,0)))</f>
        <v/>
      </c>
      <c r="X17" s="16">
        <f>IF(OR(Topraklar!$J$24="Evet",AND(Topraklar!$L$24&lt;&gt;"Evet",Topraklar!$K$24&lt;&gt;Bitkiler!$C$16)),0,MAX(0,1-(Ayarlar!$B$2*ABS(Bitkiler!$D$16-Topraklar!$D$24)+Ayarlar!$B$3*ABS(Bitkiler!$E$16-Topraklar!$E$24)+Ayarlar!$B$4*ABS(Bitkiler!$F$16-Topraklar!$F$24)+Ayarlar!$B$5*ABS(Bitkiler!$G$16-Topraklar!$G$24)+Ayarlar!$B$6*IF(Bitkiler!$H$16=Topraklar!$H$24,0,1))/Ayarlar!$B$7)+IF(Topraklar!$K$24=Bitkiler!$C$16,0.002,IF(Topraklar!$L$24="Evet",0.001,0)))</f>
        <v/>
      </c>
      <c r="Y17" s="16">
        <f>IF(OR(Topraklar!$J$25="Evet",AND(Topraklar!$L$25&lt;&gt;"Evet",Topraklar!$K$25&lt;&gt;Bitkiler!$C$16)),0,MAX(0,1-(Ayarlar!$B$2*ABS(Bitkiler!$D$16-Topraklar!$D$25)+Ayarlar!$B$3*ABS(Bitkiler!$E$16-Topraklar!$E$25)+Ayarlar!$B$4*ABS(Bitkiler!$F$16-Topraklar!$F$25)+Ayarlar!$B$5*ABS(Bitkiler!$G$16-Topraklar!$G$25)+Ayarlar!$B$6*IF(Bitkiler!$H$16=Topraklar!$H$25,0,1))/Ayarlar!$B$7)+IF(Topraklar!$K$25=Bitkiler!$C$16,0.002,IF(Topraklar!$L$25="Evet",0.001,0)))</f>
        <v/>
      </c>
      <c r="Z17" s="16">
        <f>IF(OR(Topraklar!$J$26="Evet",AND(Topraklar!$L$26&lt;&gt;"Evet",Topraklar!$K$26&lt;&gt;Bitkiler!$C$16)),0,MAX(0,1-(Ayarlar!$B$2*ABS(Bitkiler!$D$16-Topraklar!$D$26)+Ayarlar!$B$3*ABS(Bitkiler!$E$16-Topraklar!$E$26)+Ayarlar!$B$4*ABS(Bitkiler!$F$16-Topraklar!$F$26)+Ayarlar!$B$5*ABS(Bitkiler!$G$16-Topraklar!$G$26)+Ayarlar!$B$6*IF(Bitkiler!$H$16=Topraklar!$H$26,0,1))/Ayarlar!$B$7)+IF(Topraklar!$K$26=Bitkiler!$C$16,0.002,IF(Topraklar!$L$26="Evet",0.001,0)))</f>
        <v/>
      </c>
      <c r="AA17" s="16">
        <f>IF(OR(Topraklar!$J$27="Evet",AND(Topraklar!$L$27&lt;&gt;"Evet",Topraklar!$K$27&lt;&gt;Bitkiler!$C$16)),0,MAX(0,1-(Ayarlar!$B$2*ABS(Bitkiler!$D$16-Topraklar!$D$27)+Ayarlar!$B$3*ABS(Bitkiler!$E$16-Topraklar!$E$27)+Ayarlar!$B$4*ABS(Bitkiler!$F$16-Topraklar!$F$27)+Ayarlar!$B$5*ABS(Bitkiler!$G$16-Topraklar!$G$27)+Ayarlar!$B$6*IF(Bitkiler!$H$16=Topraklar!$H$27,0,1))/Ayarlar!$B$7)+IF(Topraklar!$K$27=Bitkiler!$C$16,0.002,IF(Topraklar!$L$27="Evet",0.001,0)))</f>
        <v/>
      </c>
      <c r="AB17" s="16">
        <f>IF(OR(Topraklar!$J$28="Evet",AND(Topraklar!$L$28&lt;&gt;"Evet",Topraklar!$K$28&lt;&gt;Bitkiler!$C$16)),0,MAX(0,1-(Ayarlar!$B$2*ABS(Bitkiler!$D$16-Topraklar!$D$28)+Ayarlar!$B$3*ABS(Bitkiler!$E$16-Topraklar!$E$28)+Ayarlar!$B$4*ABS(Bitkiler!$F$16-Topraklar!$F$28)+Ayarlar!$B$5*ABS(Bitkiler!$G$16-Topraklar!$G$28)+Ayarlar!$B$6*IF(Bitkiler!$H$16=Topraklar!$H$28,0,1))/Ayarlar!$B$7)+IF(Topraklar!$K$28=Bitkiler!$C$16,0.002,IF(Topraklar!$L$28="Evet",0.001,0)))</f>
        <v/>
      </c>
      <c r="AC17" s="16">
        <f>IF(OR(Topraklar!$J$29="Evet",AND(Topraklar!$L$29&lt;&gt;"Evet",Topraklar!$K$29&lt;&gt;Bitkiler!$C$16)),0,MAX(0,1-(Ayarlar!$B$2*ABS(Bitkiler!$D$16-Topraklar!$D$29)+Ayarlar!$B$3*ABS(Bitkiler!$E$16-Topraklar!$E$29)+Ayarlar!$B$4*ABS(Bitkiler!$F$16-Topraklar!$F$29)+Ayarlar!$B$5*ABS(Bitkiler!$G$16-Topraklar!$G$29)+Ayarlar!$B$6*IF(Bitkiler!$H$16=Topraklar!$H$29,0,1))/Ayarlar!$B$7)+IF(Topraklar!$K$29=Bitkiler!$C$16,0.002,IF(Topraklar!$L$29="Evet",0.001,0)))</f>
        <v/>
      </c>
      <c r="AD17" s="16">
        <f>IF(OR(Topraklar!$J$30="Evet",AND(Topraklar!$L$30&lt;&gt;"Evet",Topraklar!$K$30&lt;&gt;Bitkiler!$C$16)),0,MAX(0,1-(Ayarlar!$B$2*ABS(Bitkiler!$D$16-Topraklar!$D$30)+Ayarlar!$B$3*ABS(Bitkiler!$E$16-Topraklar!$E$30)+Ayarlar!$B$4*ABS(Bitkiler!$F$16-Topraklar!$F$30)+Ayarlar!$B$5*ABS(Bitkiler!$G$16-Topraklar!$G$30)+Ayarlar!$B$6*IF(Bitkiler!$H$16=Topraklar!$H$30,0,1))/Ayarlar!$B$7)+IF(Topraklar!$K$30=Bitkiler!$C$16,0.002,IF(Topraklar!$L$30="Evet",0.001,0)))</f>
        <v/>
      </c>
      <c r="AE17" s="16">
        <f>IF(OR(Topraklar!$J$31="Evet",AND(Topraklar!$L$31&lt;&gt;"Evet",Topraklar!$K$31&lt;&gt;Bitkiler!$C$16)),0,MAX(0,1-(Ayarlar!$B$2*ABS(Bitkiler!$D$16-Topraklar!$D$31)+Ayarlar!$B$3*ABS(Bitkiler!$E$16-Topraklar!$E$31)+Ayarlar!$B$4*ABS(Bitkiler!$F$16-Topraklar!$F$31)+Ayarlar!$B$5*ABS(Bitkiler!$G$16-Topraklar!$G$31)+Ayarlar!$B$6*IF(Bitkiler!$H$16=Topraklar!$H$31,0,1))/Ayarlar!$B$7)+IF(Topraklar!$K$31=Bitkiler!$C$16,0.002,IF(Topraklar!$L$31="Evet",0.001,0)))</f>
        <v/>
      </c>
      <c r="AF17" s="16">
        <f>IF(OR(Topraklar!$J$32="Evet",AND(Topraklar!$L$32&lt;&gt;"Evet",Topraklar!$K$32&lt;&gt;Bitkiler!$C$16)),0,MAX(0,1-(Ayarlar!$B$2*ABS(Bitkiler!$D$16-Topraklar!$D$32)+Ayarlar!$B$3*ABS(Bitkiler!$E$16-Topraklar!$E$32)+Ayarlar!$B$4*ABS(Bitkiler!$F$16-Topraklar!$F$32)+Ayarlar!$B$5*ABS(Bitkiler!$G$16-Topraklar!$G$32)+Ayarlar!$B$6*IF(Bitkiler!$H$16=Topraklar!$H$32,0,1))/Ayarlar!$B$7)+IF(Topraklar!$K$32=Bitkiler!$C$16,0.002,IF(Topraklar!$L$32="Evet",0.001,0)))</f>
        <v/>
      </c>
      <c r="AG17" s="16">
        <f>IF(OR(Topraklar!$J$33="Evet",AND(Topraklar!$L$33&lt;&gt;"Evet",Topraklar!$K$33&lt;&gt;Bitkiler!$C$16)),0,MAX(0,1-(Ayarlar!$B$2*ABS(Bitkiler!$D$16-Topraklar!$D$33)+Ayarlar!$B$3*ABS(Bitkiler!$E$16-Topraklar!$E$33)+Ayarlar!$B$4*ABS(Bitkiler!$F$16-Topraklar!$F$33)+Ayarlar!$B$5*ABS(Bitkiler!$G$16-Topraklar!$G$33)+Ayarlar!$B$6*IF(Bitkiler!$H$16=Topraklar!$H$33,0,1))/Ayarlar!$B$7)+IF(Topraklar!$K$33=Bitkiler!$C$16,0.002,IF(Topraklar!$L$33="Evet",0.001,0)))</f>
        <v/>
      </c>
      <c r="AH17" s="16">
        <f>IF(OR(Topraklar!$J$34="Evet",AND(Topraklar!$L$34&lt;&gt;"Evet",Topraklar!$K$34&lt;&gt;Bitkiler!$C$16)),0,MAX(0,1-(Ayarlar!$B$2*ABS(Bitkiler!$D$16-Topraklar!$D$34)+Ayarlar!$B$3*ABS(Bitkiler!$E$16-Topraklar!$E$34)+Ayarlar!$B$4*ABS(Bitkiler!$F$16-Topraklar!$F$34)+Ayarlar!$B$5*ABS(Bitkiler!$G$16-Topraklar!$G$34)+Ayarlar!$B$6*IF(Bitkiler!$H$16=Topraklar!$H$34,0,1))/Ayarlar!$B$7)+IF(Topraklar!$K$34=Bitkiler!$C$16,0.002,IF(Topraklar!$L$34="Evet",0.001,0)))</f>
        <v/>
      </c>
      <c r="AI17" s="16">
        <f>IF(OR(Topraklar!$J$35="Evet",AND(Topraklar!$L$35&lt;&gt;"Evet",Topraklar!$K$35&lt;&gt;Bitkiler!$C$16)),0,MAX(0,1-(Ayarlar!$B$2*ABS(Bitkiler!$D$16-Topraklar!$D$35)+Ayarlar!$B$3*ABS(Bitkiler!$E$16-Topraklar!$E$35)+Ayarlar!$B$4*ABS(Bitkiler!$F$16-Topraklar!$F$35)+Ayarlar!$B$5*ABS(Bitkiler!$G$16-Topraklar!$G$35)+Ayarlar!$B$6*IF(Bitkiler!$H$16=Topraklar!$H$35,0,1))/Ayarlar!$B$7)+IF(Topraklar!$K$35=Bitkiler!$C$16,0.002,IF(Topraklar!$L$35="Evet",0.001,0)))</f>
        <v/>
      </c>
      <c r="AJ17" s="16">
        <f>IF(OR(Topraklar!$J$36="Evet",AND(Topraklar!$L$36&lt;&gt;"Evet",Topraklar!$K$36&lt;&gt;Bitkiler!$C$16)),0,MAX(0,1-(Ayarlar!$B$2*ABS(Bitkiler!$D$16-Topraklar!$D$36)+Ayarlar!$B$3*ABS(Bitkiler!$E$16-Topraklar!$E$36)+Ayarlar!$B$4*ABS(Bitkiler!$F$16-Topraklar!$F$36)+Ayarlar!$B$5*ABS(Bitkiler!$G$16-Topraklar!$G$36)+Ayarlar!$B$6*IF(Bitkiler!$H$16=Topraklar!$H$36,0,1))/Ayarlar!$B$7)+IF(Topraklar!$K$36=Bitkiler!$C$16,0.002,IF(Topraklar!$L$36="Evet",0.001,0)))</f>
        <v/>
      </c>
      <c r="AK17" s="16">
        <f>IF(OR(Topraklar!$J$37="Evet",AND(Topraklar!$L$37&lt;&gt;"Evet",Topraklar!$K$37&lt;&gt;Bitkiler!$C$16)),0,MAX(0,1-(Ayarlar!$B$2*ABS(Bitkiler!$D$16-Topraklar!$D$37)+Ayarlar!$B$3*ABS(Bitkiler!$E$16-Topraklar!$E$37)+Ayarlar!$B$4*ABS(Bitkiler!$F$16-Topraklar!$F$37)+Ayarlar!$B$5*ABS(Bitkiler!$G$16-Topraklar!$G$37)+Ayarlar!$B$6*IF(Bitkiler!$H$16=Topraklar!$H$37,0,1))/Ayarlar!$B$7)+IF(Topraklar!$K$37=Bitkiler!$C$16,0.002,IF(Topraklar!$L$37="Evet",0.001,0)))</f>
        <v/>
      </c>
      <c r="AL17" s="16">
        <f>IF(OR(Topraklar!$J$38="Evet",AND(Topraklar!$L$38&lt;&gt;"Evet",Topraklar!$K$38&lt;&gt;Bitkiler!$C$16)),0,MAX(0,1-(Ayarlar!$B$2*ABS(Bitkiler!$D$16-Topraklar!$D$38)+Ayarlar!$B$3*ABS(Bitkiler!$E$16-Topraklar!$E$38)+Ayarlar!$B$4*ABS(Bitkiler!$F$16-Topraklar!$F$38)+Ayarlar!$B$5*ABS(Bitkiler!$G$16-Topraklar!$G$38)+Ayarlar!$B$6*IF(Bitkiler!$H$16=Topraklar!$H$38,0,1))/Ayarlar!$B$7)+IF(Topraklar!$K$38=Bitkiler!$C$16,0.002,IF(Topraklar!$L$38="Evet",0.001,0)))</f>
        <v/>
      </c>
      <c r="AM17" s="16">
        <f>IF(OR(Topraklar!$J$39="Evet",AND(Topraklar!$L$39&lt;&gt;"Evet",Topraklar!$K$39&lt;&gt;Bitkiler!$C$16)),0,MAX(0,1-(Ayarlar!$B$2*ABS(Bitkiler!$D$16-Topraklar!$D$39)+Ayarlar!$B$3*ABS(Bitkiler!$E$16-Topraklar!$E$39)+Ayarlar!$B$4*ABS(Bitkiler!$F$16-Topraklar!$F$39)+Ayarlar!$B$5*ABS(Bitkiler!$G$16-Topraklar!$G$39)+Ayarlar!$B$6*IF(Bitkiler!$H$16=Topraklar!$H$39,0,1))/Ayarlar!$B$7)+IF(Topraklar!$K$39=Bitkiler!$C$16,0.002,IF(Topraklar!$L$39="Evet",0.001,0)))</f>
        <v/>
      </c>
      <c r="AN17" s="16">
        <f>IF(OR(Topraklar!$J$40="Evet",AND(Topraklar!$L$40&lt;&gt;"Evet",Topraklar!$K$40&lt;&gt;Bitkiler!$C$16)),0,MAX(0,1-(Ayarlar!$B$2*ABS(Bitkiler!$D$16-Topraklar!$D$40)+Ayarlar!$B$3*ABS(Bitkiler!$E$16-Topraklar!$E$40)+Ayarlar!$B$4*ABS(Bitkiler!$F$16-Topraklar!$F$40)+Ayarlar!$B$5*ABS(Bitkiler!$G$16-Topraklar!$G$40)+Ayarlar!$B$6*IF(Bitkiler!$H$16=Topraklar!$H$40,0,1))/Ayarlar!$B$7)+IF(Topraklar!$K$40=Bitkiler!$C$16,0.002,IF(Topraklar!$L$40="Evet",0.001,0)))</f>
        <v/>
      </c>
      <c r="AO17" s="16">
        <f>IF(OR(Topraklar!$J$41="Evet",AND(Topraklar!$L$41&lt;&gt;"Evet",Topraklar!$K$41&lt;&gt;Bitkiler!$C$16)),0,MAX(0,1-(Ayarlar!$B$2*ABS(Bitkiler!$D$16-Topraklar!$D$41)+Ayarlar!$B$3*ABS(Bitkiler!$E$16-Topraklar!$E$41)+Ayarlar!$B$4*ABS(Bitkiler!$F$16-Topraklar!$F$41)+Ayarlar!$B$5*ABS(Bitkiler!$G$16-Topraklar!$G$41)+Ayarlar!$B$6*IF(Bitkiler!$H$16=Topraklar!$H$41,0,1))/Ayarlar!$B$7)+IF(Topraklar!$K$41=Bitkiler!$C$16,0.002,IF(Topraklar!$L$41="Evet",0.001,0)))</f>
        <v/>
      </c>
      <c r="AP17" s="16">
        <f>IF(OR(Topraklar!$J$42="Evet",AND(Topraklar!$L$42&lt;&gt;"Evet",Topraklar!$K$42&lt;&gt;Bitkiler!$C$16)),0,MAX(0,1-(Ayarlar!$B$2*ABS(Bitkiler!$D$16-Topraklar!$D$42)+Ayarlar!$B$3*ABS(Bitkiler!$E$16-Topraklar!$E$42)+Ayarlar!$B$4*ABS(Bitkiler!$F$16-Topraklar!$F$42)+Ayarlar!$B$5*ABS(Bitkiler!$G$16-Topraklar!$G$42)+Ayarlar!$B$6*IF(Bitkiler!$H$16=Topraklar!$H$42,0,1))/Ayarlar!$B$7)+IF(Topraklar!$K$42=Bitkiler!$C$16,0.002,IF(Topraklar!$L$42="Evet",0.001,0)))</f>
        <v/>
      </c>
      <c r="AQ17" s="16">
        <f>IF(OR(Topraklar!$J$43="Evet",AND(Topraklar!$L$43&lt;&gt;"Evet",Topraklar!$K$43&lt;&gt;Bitkiler!$C$16)),0,MAX(0,1-(Ayarlar!$B$2*ABS(Bitkiler!$D$16-Topraklar!$D$43)+Ayarlar!$B$3*ABS(Bitkiler!$E$16-Topraklar!$E$43)+Ayarlar!$B$4*ABS(Bitkiler!$F$16-Topraklar!$F$43)+Ayarlar!$B$5*ABS(Bitkiler!$G$16-Topraklar!$G$43)+Ayarlar!$B$6*IF(Bitkiler!$H$16=Topraklar!$H$43,0,1))/Ayarlar!$B$7)+IF(Topraklar!$K$43=Bitkiler!$C$16,0.002,IF(Topraklar!$L$43="Evet",0.001,0)))</f>
        <v/>
      </c>
      <c r="AR17" s="16">
        <f>IF(OR(Topraklar!$J$44="Evet",AND(Topraklar!$L$44&lt;&gt;"Evet",Topraklar!$K$44&lt;&gt;Bitkiler!$C$16)),0,MAX(0,1-(Ayarlar!$B$2*ABS(Bitkiler!$D$16-Topraklar!$D$44)+Ayarlar!$B$3*ABS(Bitkiler!$E$16-Topraklar!$E$44)+Ayarlar!$B$4*ABS(Bitkiler!$F$16-Topraklar!$F$44)+Ayarlar!$B$5*ABS(Bitkiler!$G$16-Topraklar!$G$44)+Ayarlar!$B$6*IF(Bitkiler!$H$16=Topraklar!$H$44,0,1))/Ayarlar!$B$7)+IF(Topraklar!$K$44=Bitkiler!$C$16,0.002,IF(Topraklar!$L$44="Evet",0.001,0)))</f>
        <v/>
      </c>
      <c r="AS17" s="16">
        <f>IF(OR(Topraklar!$J$45="Evet",AND(Topraklar!$L$45&lt;&gt;"Evet",Topraklar!$K$45&lt;&gt;Bitkiler!$C$16)),0,MAX(0,1-(Ayarlar!$B$2*ABS(Bitkiler!$D$16-Topraklar!$D$45)+Ayarlar!$B$3*ABS(Bitkiler!$E$16-Topraklar!$E$45)+Ayarlar!$B$4*ABS(Bitkiler!$F$16-Topraklar!$F$45)+Ayarlar!$B$5*ABS(Bitkiler!$G$16-Topraklar!$G$45)+Ayarlar!$B$6*IF(Bitkiler!$H$16=Topraklar!$H$45,0,1))/Ayarlar!$B$7)+IF(Topraklar!$K$45=Bitkiler!$C$16,0.002,IF(Topraklar!$L$45="Evet",0.001,0)))</f>
        <v/>
      </c>
      <c r="AT17" s="16">
        <f>IF(OR(Topraklar!$J$46="Evet",AND(Topraklar!$L$46&lt;&gt;"Evet",Topraklar!$K$46&lt;&gt;Bitkiler!$C$16)),0,MAX(0,1-(Ayarlar!$B$2*ABS(Bitkiler!$D$16-Topraklar!$D$46)+Ayarlar!$B$3*ABS(Bitkiler!$E$16-Topraklar!$E$46)+Ayarlar!$B$4*ABS(Bitkiler!$F$16-Topraklar!$F$46)+Ayarlar!$B$5*ABS(Bitkiler!$G$16-Topraklar!$G$46)+Ayarlar!$B$6*IF(Bitkiler!$H$16=Topraklar!$H$46,0,1))/Ayarlar!$B$7)+IF(Topraklar!$K$46=Bitkiler!$C$16,0.002,IF(Topraklar!$L$46="Evet",0.001,0)))</f>
        <v/>
      </c>
      <c r="AU17" s="16">
        <f>IF(OR(Topraklar!$J$47="Evet",AND(Topraklar!$L$47&lt;&gt;"Evet",Topraklar!$K$47&lt;&gt;Bitkiler!$C$16)),0,MAX(0,1-(Ayarlar!$B$2*ABS(Bitkiler!$D$16-Topraklar!$D$47)+Ayarlar!$B$3*ABS(Bitkiler!$E$16-Topraklar!$E$47)+Ayarlar!$B$4*ABS(Bitkiler!$F$16-Topraklar!$F$47)+Ayarlar!$B$5*ABS(Bitkiler!$G$16-Topraklar!$G$47)+Ayarlar!$B$6*IF(Bitkiler!$H$16=Topraklar!$H$47,0,1))/Ayarlar!$B$7)+IF(Topraklar!$K$47=Bitkiler!$C$16,0.002,IF(Topraklar!$L$47="Evet",0.001,0)))</f>
        <v/>
      </c>
      <c r="AV17" s="16">
        <f>IF(OR(Topraklar!$J$48="Evet",AND(Topraklar!$L$48&lt;&gt;"Evet",Topraklar!$K$48&lt;&gt;Bitkiler!$C$16)),0,MAX(0,1-(Ayarlar!$B$2*ABS(Bitkiler!$D$16-Topraklar!$D$48)+Ayarlar!$B$3*ABS(Bitkiler!$E$16-Topraklar!$E$48)+Ayarlar!$B$4*ABS(Bitkiler!$F$16-Topraklar!$F$48)+Ayarlar!$B$5*ABS(Bitkiler!$G$16-Topraklar!$G$48)+Ayarlar!$B$6*IF(Bitkiler!$H$16=Topraklar!$H$48,0,1))/Ayarlar!$B$7)+IF(Topraklar!$K$48=Bitkiler!$C$16,0.002,IF(Topraklar!$L$48="Evet",0.001,0)))</f>
        <v/>
      </c>
      <c r="AW17" s="16">
        <f>IF(OR(Topraklar!$J$49="Evet",AND(Topraklar!$L$49&lt;&gt;"Evet",Topraklar!$K$49&lt;&gt;Bitkiler!$C$16)),0,MAX(0,1-(Ayarlar!$B$2*ABS(Bitkiler!$D$16-Topraklar!$D$49)+Ayarlar!$B$3*ABS(Bitkiler!$E$16-Topraklar!$E$49)+Ayarlar!$B$4*ABS(Bitkiler!$F$16-Topraklar!$F$49)+Ayarlar!$B$5*ABS(Bitkiler!$G$16-Topraklar!$G$49)+Ayarlar!$B$6*IF(Bitkiler!$H$16=Topraklar!$H$49,0,1))/Ayarlar!$B$7)+IF(Topraklar!$K$49=Bitkiler!$C$16,0.002,IF(Topraklar!$L$49="Evet",0.001,0)))</f>
        <v/>
      </c>
      <c r="AX17" s="16">
        <f>IF(OR(Topraklar!$J$50="Evet",AND(Topraklar!$L$50&lt;&gt;"Evet",Topraklar!$K$50&lt;&gt;Bitkiler!$C$16)),0,MAX(0,1-(Ayarlar!$B$2*ABS(Bitkiler!$D$16-Topraklar!$D$50)+Ayarlar!$B$3*ABS(Bitkiler!$E$16-Topraklar!$E$50)+Ayarlar!$B$4*ABS(Bitkiler!$F$16-Topraklar!$F$50)+Ayarlar!$B$5*ABS(Bitkiler!$G$16-Topraklar!$G$50)+Ayarlar!$B$6*IF(Bitkiler!$H$16=Topraklar!$H$50,0,1))/Ayarlar!$B$7)+IF(Topraklar!$K$50=Bitkiler!$C$16,0.002,IF(Topraklar!$L$50="Evet",0.001,0)))</f>
        <v/>
      </c>
      <c r="AY17" s="16">
        <f>IF(OR(Topraklar!$J$51="Evet",AND(Topraklar!$L$51&lt;&gt;"Evet",Topraklar!$K$51&lt;&gt;Bitkiler!$C$16)),0,MAX(0,1-(Ayarlar!$B$2*ABS(Bitkiler!$D$16-Topraklar!$D$51)+Ayarlar!$B$3*ABS(Bitkiler!$E$16-Topraklar!$E$51)+Ayarlar!$B$4*ABS(Bitkiler!$F$16-Topraklar!$F$51)+Ayarlar!$B$5*ABS(Bitkiler!$G$16-Topraklar!$G$51)+Ayarlar!$B$6*IF(Bitkiler!$H$16=Topraklar!$H$51,0,1))/Ayarlar!$B$7)+IF(Topraklar!$K$51=Bitkiler!$C$16,0.002,IF(Topraklar!$L$51="Evet",0.001,0)))</f>
        <v/>
      </c>
    </row>
    <row r="18">
      <c r="A18" s="15">
        <f>Bitkiler!A17</f>
        <v/>
      </c>
      <c r="B18" s="16">
        <f>IF(OR(Topraklar!$J$2="Evet",AND(Topraklar!$L$2&lt;&gt;"Evet",Topraklar!$K$2&lt;&gt;Bitkiler!$C$17)),0,MAX(0,1-(Ayarlar!$B$2*ABS(Bitkiler!$D$17-Topraklar!$D$2)+Ayarlar!$B$3*ABS(Bitkiler!$E$17-Topraklar!$E$2)+Ayarlar!$B$4*ABS(Bitkiler!$F$17-Topraklar!$F$2)+Ayarlar!$B$5*ABS(Bitkiler!$G$17-Topraklar!$G$2)+Ayarlar!$B$6*IF(Bitkiler!$H$17=Topraklar!$H$2,0,1))/Ayarlar!$B$7)+IF(Topraklar!$K$2=Bitkiler!$C$17,0.002,IF(Topraklar!$L$2="Evet",0.001,0)))</f>
        <v/>
      </c>
      <c r="C18" s="16">
        <f>IF(OR(Topraklar!$J$3="Evet",AND(Topraklar!$L$3&lt;&gt;"Evet",Topraklar!$K$3&lt;&gt;Bitkiler!$C$17)),0,MAX(0,1-(Ayarlar!$B$2*ABS(Bitkiler!$D$17-Topraklar!$D$3)+Ayarlar!$B$3*ABS(Bitkiler!$E$17-Topraklar!$E$3)+Ayarlar!$B$4*ABS(Bitkiler!$F$17-Topraklar!$F$3)+Ayarlar!$B$5*ABS(Bitkiler!$G$17-Topraklar!$G$3)+Ayarlar!$B$6*IF(Bitkiler!$H$17=Topraklar!$H$3,0,1))/Ayarlar!$B$7)+IF(Topraklar!$K$3=Bitkiler!$C$17,0.002,IF(Topraklar!$L$3="Evet",0.001,0)))</f>
        <v/>
      </c>
      <c r="D18" s="16">
        <f>IF(OR(Topraklar!$J$4="Evet",AND(Topraklar!$L$4&lt;&gt;"Evet",Topraklar!$K$4&lt;&gt;Bitkiler!$C$17)),0,MAX(0,1-(Ayarlar!$B$2*ABS(Bitkiler!$D$17-Topraklar!$D$4)+Ayarlar!$B$3*ABS(Bitkiler!$E$17-Topraklar!$E$4)+Ayarlar!$B$4*ABS(Bitkiler!$F$17-Topraklar!$F$4)+Ayarlar!$B$5*ABS(Bitkiler!$G$17-Topraklar!$G$4)+Ayarlar!$B$6*IF(Bitkiler!$H$17=Topraklar!$H$4,0,1))/Ayarlar!$B$7)+IF(Topraklar!$K$4=Bitkiler!$C$17,0.002,IF(Topraklar!$L$4="Evet",0.001,0)))</f>
        <v/>
      </c>
      <c r="E18" s="16">
        <f>IF(OR(Topraklar!$J$5="Evet",AND(Topraklar!$L$5&lt;&gt;"Evet",Topraklar!$K$5&lt;&gt;Bitkiler!$C$17)),0,MAX(0,1-(Ayarlar!$B$2*ABS(Bitkiler!$D$17-Topraklar!$D$5)+Ayarlar!$B$3*ABS(Bitkiler!$E$17-Topraklar!$E$5)+Ayarlar!$B$4*ABS(Bitkiler!$F$17-Topraklar!$F$5)+Ayarlar!$B$5*ABS(Bitkiler!$G$17-Topraklar!$G$5)+Ayarlar!$B$6*IF(Bitkiler!$H$17=Topraklar!$H$5,0,1))/Ayarlar!$B$7)+IF(Topraklar!$K$5=Bitkiler!$C$17,0.002,IF(Topraklar!$L$5="Evet",0.001,0)))</f>
        <v/>
      </c>
      <c r="F18" s="16">
        <f>IF(OR(Topraklar!$J$6="Evet",AND(Topraklar!$L$6&lt;&gt;"Evet",Topraklar!$K$6&lt;&gt;Bitkiler!$C$17)),0,MAX(0,1-(Ayarlar!$B$2*ABS(Bitkiler!$D$17-Topraklar!$D$6)+Ayarlar!$B$3*ABS(Bitkiler!$E$17-Topraklar!$E$6)+Ayarlar!$B$4*ABS(Bitkiler!$F$17-Topraklar!$F$6)+Ayarlar!$B$5*ABS(Bitkiler!$G$17-Topraklar!$G$6)+Ayarlar!$B$6*IF(Bitkiler!$H$17=Topraklar!$H$6,0,1))/Ayarlar!$B$7)+IF(Topraklar!$K$6=Bitkiler!$C$17,0.002,IF(Topraklar!$L$6="Evet",0.001,0)))</f>
        <v/>
      </c>
      <c r="G18" s="16">
        <f>IF(OR(Topraklar!$J$7="Evet",AND(Topraklar!$L$7&lt;&gt;"Evet",Topraklar!$K$7&lt;&gt;Bitkiler!$C$17)),0,MAX(0,1-(Ayarlar!$B$2*ABS(Bitkiler!$D$17-Topraklar!$D$7)+Ayarlar!$B$3*ABS(Bitkiler!$E$17-Topraklar!$E$7)+Ayarlar!$B$4*ABS(Bitkiler!$F$17-Topraklar!$F$7)+Ayarlar!$B$5*ABS(Bitkiler!$G$17-Topraklar!$G$7)+Ayarlar!$B$6*IF(Bitkiler!$H$17=Topraklar!$H$7,0,1))/Ayarlar!$B$7)+IF(Topraklar!$K$7=Bitkiler!$C$17,0.002,IF(Topraklar!$L$7="Evet",0.001,0)))</f>
        <v/>
      </c>
      <c r="H18" s="16">
        <f>IF(OR(Topraklar!$J$8="Evet",AND(Topraklar!$L$8&lt;&gt;"Evet",Topraklar!$K$8&lt;&gt;Bitkiler!$C$17)),0,MAX(0,1-(Ayarlar!$B$2*ABS(Bitkiler!$D$17-Topraklar!$D$8)+Ayarlar!$B$3*ABS(Bitkiler!$E$17-Topraklar!$E$8)+Ayarlar!$B$4*ABS(Bitkiler!$F$17-Topraklar!$F$8)+Ayarlar!$B$5*ABS(Bitkiler!$G$17-Topraklar!$G$8)+Ayarlar!$B$6*IF(Bitkiler!$H$17=Topraklar!$H$8,0,1))/Ayarlar!$B$7)+IF(Topraklar!$K$8=Bitkiler!$C$17,0.002,IF(Topraklar!$L$8="Evet",0.001,0)))</f>
        <v/>
      </c>
      <c r="I18" s="16">
        <f>IF(OR(Topraklar!$J$9="Evet",AND(Topraklar!$L$9&lt;&gt;"Evet",Topraklar!$K$9&lt;&gt;Bitkiler!$C$17)),0,MAX(0,1-(Ayarlar!$B$2*ABS(Bitkiler!$D$17-Topraklar!$D$9)+Ayarlar!$B$3*ABS(Bitkiler!$E$17-Topraklar!$E$9)+Ayarlar!$B$4*ABS(Bitkiler!$F$17-Topraklar!$F$9)+Ayarlar!$B$5*ABS(Bitkiler!$G$17-Topraklar!$G$9)+Ayarlar!$B$6*IF(Bitkiler!$H$17=Topraklar!$H$9,0,1))/Ayarlar!$B$7)+IF(Topraklar!$K$9=Bitkiler!$C$17,0.002,IF(Topraklar!$L$9="Evet",0.001,0)))</f>
        <v/>
      </c>
      <c r="J18" s="16">
        <f>IF(OR(Topraklar!$J$10="Evet",AND(Topraklar!$L$10&lt;&gt;"Evet",Topraklar!$K$10&lt;&gt;Bitkiler!$C$17)),0,MAX(0,1-(Ayarlar!$B$2*ABS(Bitkiler!$D$17-Topraklar!$D$10)+Ayarlar!$B$3*ABS(Bitkiler!$E$17-Topraklar!$E$10)+Ayarlar!$B$4*ABS(Bitkiler!$F$17-Topraklar!$F$10)+Ayarlar!$B$5*ABS(Bitkiler!$G$17-Topraklar!$G$10)+Ayarlar!$B$6*IF(Bitkiler!$H$17=Topraklar!$H$10,0,1))/Ayarlar!$B$7)+IF(Topraklar!$K$10=Bitkiler!$C$17,0.002,IF(Topraklar!$L$10="Evet",0.001,0)))</f>
        <v/>
      </c>
      <c r="K18" s="16">
        <f>IF(OR(Topraklar!$J$11="Evet",AND(Topraklar!$L$11&lt;&gt;"Evet",Topraklar!$K$11&lt;&gt;Bitkiler!$C$17)),0,MAX(0,1-(Ayarlar!$B$2*ABS(Bitkiler!$D$17-Topraklar!$D$11)+Ayarlar!$B$3*ABS(Bitkiler!$E$17-Topraklar!$E$11)+Ayarlar!$B$4*ABS(Bitkiler!$F$17-Topraklar!$F$11)+Ayarlar!$B$5*ABS(Bitkiler!$G$17-Topraklar!$G$11)+Ayarlar!$B$6*IF(Bitkiler!$H$17=Topraklar!$H$11,0,1))/Ayarlar!$B$7)+IF(Topraklar!$K$11=Bitkiler!$C$17,0.002,IF(Topraklar!$L$11="Evet",0.001,0)))</f>
        <v/>
      </c>
      <c r="L18" s="16">
        <f>IF(OR(Topraklar!$J$12="Evet",AND(Topraklar!$L$12&lt;&gt;"Evet",Topraklar!$K$12&lt;&gt;Bitkiler!$C$17)),0,MAX(0,1-(Ayarlar!$B$2*ABS(Bitkiler!$D$17-Topraklar!$D$12)+Ayarlar!$B$3*ABS(Bitkiler!$E$17-Topraklar!$E$12)+Ayarlar!$B$4*ABS(Bitkiler!$F$17-Topraklar!$F$12)+Ayarlar!$B$5*ABS(Bitkiler!$G$17-Topraklar!$G$12)+Ayarlar!$B$6*IF(Bitkiler!$H$17=Topraklar!$H$12,0,1))/Ayarlar!$B$7)+IF(Topraklar!$K$12=Bitkiler!$C$17,0.002,IF(Topraklar!$L$12="Evet",0.001,0)))</f>
        <v/>
      </c>
      <c r="M18" s="16">
        <f>IF(OR(Topraklar!$J$13="Evet",AND(Topraklar!$L$13&lt;&gt;"Evet",Topraklar!$K$13&lt;&gt;Bitkiler!$C$17)),0,MAX(0,1-(Ayarlar!$B$2*ABS(Bitkiler!$D$17-Topraklar!$D$13)+Ayarlar!$B$3*ABS(Bitkiler!$E$17-Topraklar!$E$13)+Ayarlar!$B$4*ABS(Bitkiler!$F$17-Topraklar!$F$13)+Ayarlar!$B$5*ABS(Bitkiler!$G$17-Topraklar!$G$13)+Ayarlar!$B$6*IF(Bitkiler!$H$17=Topraklar!$H$13,0,1))/Ayarlar!$B$7)+IF(Topraklar!$K$13=Bitkiler!$C$17,0.002,IF(Topraklar!$L$13="Evet",0.001,0)))</f>
        <v/>
      </c>
      <c r="N18" s="16">
        <f>IF(OR(Topraklar!$J$14="Evet",AND(Topraklar!$L$14&lt;&gt;"Evet",Topraklar!$K$14&lt;&gt;Bitkiler!$C$17)),0,MAX(0,1-(Ayarlar!$B$2*ABS(Bitkiler!$D$17-Topraklar!$D$14)+Ayarlar!$B$3*ABS(Bitkiler!$E$17-Topraklar!$E$14)+Ayarlar!$B$4*ABS(Bitkiler!$F$17-Topraklar!$F$14)+Ayarlar!$B$5*ABS(Bitkiler!$G$17-Topraklar!$G$14)+Ayarlar!$B$6*IF(Bitkiler!$H$17=Topraklar!$H$14,0,1))/Ayarlar!$B$7)+IF(Topraklar!$K$14=Bitkiler!$C$17,0.002,IF(Topraklar!$L$14="Evet",0.001,0)))</f>
        <v/>
      </c>
      <c r="O18" s="16">
        <f>IF(OR(Topraklar!$J$15="Evet",AND(Topraklar!$L$15&lt;&gt;"Evet",Topraklar!$K$15&lt;&gt;Bitkiler!$C$17)),0,MAX(0,1-(Ayarlar!$B$2*ABS(Bitkiler!$D$17-Topraklar!$D$15)+Ayarlar!$B$3*ABS(Bitkiler!$E$17-Topraklar!$E$15)+Ayarlar!$B$4*ABS(Bitkiler!$F$17-Topraklar!$F$15)+Ayarlar!$B$5*ABS(Bitkiler!$G$17-Topraklar!$G$15)+Ayarlar!$B$6*IF(Bitkiler!$H$17=Topraklar!$H$15,0,1))/Ayarlar!$B$7)+IF(Topraklar!$K$15=Bitkiler!$C$17,0.002,IF(Topraklar!$L$15="Evet",0.001,0)))</f>
        <v/>
      </c>
      <c r="P18" s="16">
        <f>IF(OR(Topraklar!$J$16="Evet",AND(Topraklar!$L$16&lt;&gt;"Evet",Topraklar!$K$16&lt;&gt;Bitkiler!$C$17)),0,MAX(0,1-(Ayarlar!$B$2*ABS(Bitkiler!$D$17-Topraklar!$D$16)+Ayarlar!$B$3*ABS(Bitkiler!$E$17-Topraklar!$E$16)+Ayarlar!$B$4*ABS(Bitkiler!$F$17-Topraklar!$F$16)+Ayarlar!$B$5*ABS(Bitkiler!$G$17-Topraklar!$G$16)+Ayarlar!$B$6*IF(Bitkiler!$H$17=Topraklar!$H$16,0,1))/Ayarlar!$B$7)+IF(Topraklar!$K$16=Bitkiler!$C$17,0.002,IF(Topraklar!$L$16="Evet",0.001,0)))</f>
        <v/>
      </c>
      <c r="Q18" s="16">
        <f>IF(OR(Topraklar!$J$17="Evet",AND(Topraklar!$L$17&lt;&gt;"Evet",Topraklar!$K$17&lt;&gt;Bitkiler!$C$17)),0,MAX(0,1-(Ayarlar!$B$2*ABS(Bitkiler!$D$17-Topraklar!$D$17)+Ayarlar!$B$3*ABS(Bitkiler!$E$17-Topraklar!$E$17)+Ayarlar!$B$4*ABS(Bitkiler!$F$17-Topraklar!$F$17)+Ayarlar!$B$5*ABS(Bitkiler!$G$17-Topraklar!$G$17)+Ayarlar!$B$6*IF(Bitkiler!$H$17=Topraklar!$H$17,0,1))/Ayarlar!$B$7)+IF(Topraklar!$K$17=Bitkiler!$C$17,0.002,IF(Topraklar!$L$17="Evet",0.001,0)))</f>
        <v/>
      </c>
      <c r="R18" s="16">
        <f>IF(OR(Topraklar!$J$18="Evet",AND(Topraklar!$L$18&lt;&gt;"Evet",Topraklar!$K$18&lt;&gt;Bitkiler!$C$17)),0,MAX(0,1-(Ayarlar!$B$2*ABS(Bitkiler!$D$17-Topraklar!$D$18)+Ayarlar!$B$3*ABS(Bitkiler!$E$17-Topraklar!$E$18)+Ayarlar!$B$4*ABS(Bitkiler!$F$17-Topraklar!$F$18)+Ayarlar!$B$5*ABS(Bitkiler!$G$17-Topraklar!$G$18)+Ayarlar!$B$6*IF(Bitkiler!$H$17=Topraklar!$H$18,0,1))/Ayarlar!$B$7)+IF(Topraklar!$K$18=Bitkiler!$C$17,0.002,IF(Topraklar!$L$18="Evet",0.001,0)))</f>
        <v/>
      </c>
      <c r="S18" s="16">
        <f>IF(OR(Topraklar!$J$19="Evet",AND(Topraklar!$L$19&lt;&gt;"Evet",Topraklar!$K$19&lt;&gt;Bitkiler!$C$17)),0,MAX(0,1-(Ayarlar!$B$2*ABS(Bitkiler!$D$17-Topraklar!$D$19)+Ayarlar!$B$3*ABS(Bitkiler!$E$17-Topraklar!$E$19)+Ayarlar!$B$4*ABS(Bitkiler!$F$17-Topraklar!$F$19)+Ayarlar!$B$5*ABS(Bitkiler!$G$17-Topraklar!$G$19)+Ayarlar!$B$6*IF(Bitkiler!$H$17=Topraklar!$H$19,0,1))/Ayarlar!$B$7)+IF(Topraklar!$K$19=Bitkiler!$C$17,0.002,IF(Topraklar!$L$19="Evet",0.001,0)))</f>
        <v/>
      </c>
      <c r="T18" s="16">
        <f>IF(OR(Topraklar!$J$20="Evet",AND(Topraklar!$L$20&lt;&gt;"Evet",Topraklar!$K$20&lt;&gt;Bitkiler!$C$17)),0,MAX(0,1-(Ayarlar!$B$2*ABS(Bitkiler!$D$17-Topraklar!$D$20)+Ayarlar!$B$3*ABS(Bitkiler!$E$17-Topraklar!$E$20)+Ayarlar!$B$4*ABS(Bitkiler!$F$17-Topraklar!$F$20)+Ayarlar!$B$5*ABS(Bitkiler!$G$17-Topraklar!$G$20)+Ayarlar!$B$6*IF(Bitkiler!$H$17=Topraklar!$H$20,0,1))/Ayarlar!$B$7)+IF(Topraklar!$K$20=Bitkiler!$C$17,0.002,IF(Topraklar!$L$20="Evet",0.001,0)))</f>
        <v/>
      </c>
      <c r="U18" s="16">
        <f>IF(OR(Topraklar!$J$21="Evet",AND(Topraklar!$L$21&lt;&gt;"Evet",Topraklar!$K$21&lt;&gt;Bitkiler!$C$17)),0,MAX(0,1-(Ayarlar!$B$2*ABS(Bitkiler!$D$17-Topraklar!$D$21)+Ayarlar!$B$3*ABS(Bitkiler!$E$17-Topraklar!$E$21)+Ayarlar!$B$4*ABS(Bitkiler!$F$17-Topraklar!$F$21)+Ayarlar!$B$5*ABS(Bitkiler!$G$17-Topraklar!$G$21)+Ayarlar!$B$6*IF(Bitkiler!$H$17=Topraklar!$H$21,0,1))/Ayarlar!$B$7)+IF(Topraklar!$K$21=Bitkiler!$C$17,0.002,IF(Topraklar!$L$21="Evet",0.001,0)))</f>
        <v/>
      </c>
      <c r="V18" s="16">
        <f>IF(OR(Topraklar!$J$22="Evet",AND(Topraklar!$L$22&lt;&gt;"Evet",Topraklar!$K$22&lt;&gt;Bitkiler!$C$17)),0,MAX(0,1-(Ayarlar!$B$2*ABS(Bitkiler!$D$17-Topraklar!$D$22)+Ayarlar!$B$3*ABS(Bitkiler!$E$17-Topraklar!$E$22)+Ayarlar!$B$4*ABS(Bitkiler!$F$17-Topraklar!$F$22)+Ayarlar!$B$5*ABS(Bitkiler!$G$17-Topraklar!$G$22)+Ayarlar!$B$6*IF(Bitkiler!$H$17=Topraklar!$H$22,0,1))/Ayarlar!$B$7)+IF(Topraklar!$K$22=Bitkiler!$C$17,0.002,IF(Topraklar!$L$22="Evet",0.001,0)))</f>
        <v/>
      </c>
      <c r="W18" s="16">
        <f>IF(OR(Topraklar!$J$23="Evet",AND(Topraklar!$L$23&lt;&gt;"Evet",Topraklar!$K$23&lt;&gt;Bitkiler!$C$17)),0,MAX(0,1-(Ayarlar!$B$2*ABS(Bitkiler!$D$17-Topraklar!$D$23)+Ayarlar!$B$3*ABS(Bitkiler!$E$17-Topraklar!$E$23)+Ayarlar!$B$4*ABS(Bitkiler!$F$17-Topraklar!$F$23)+Ayarlar!$B$5*ABS(Bitkiler!$G$17-Topraklar!$G$23)+Ayarlar!$B$6*IF(Bitkiler!$H$17=Topraklar!$H$23,0,1))/Ayarlar!$B$7)+IF(Topraklar!$K$23=Bitkiler!$C$17,0.002,IF(Topraklar!$L$23="Evet",0.001,0)))</f>
        <v/>
      </c>
      <c r="X18" s="16">
        <f>IF(OR(Topraklar!$J$24="Evet",AND(Topraklar!$L$24&lt;&gt;"Evet",Topraklar!$K$24&lt;&gt;Bitkiler!$C$17)),0,MAX(0,1-(Ayarlar!$B$2*ABS(Bitkiler!$D$17-Topraklar!$D$24)+Ayarlar!$B$3*ABS(Bitkiler!$E$17-Topraklar!$E$24)+Ayarlar!$B$4*ABS(Bitkiler!$F$17-Topraklar!$F$24)+Ayarlar!$B$5*ABS(Bitkiler!$G$17-Topraklar!$G$24)+Ayarlar!$B$6*IF(Bitkiler!$H$17=Topraklar!$H$24,0,1))/Ayarlar!$B$7)+IF(Topraklar!$K$24=Bitkiler!$C$17,0.002,IF(Topraklar!$L$24="Evet",0.001,0)))</f>
        <v/>
      </c>
      <c r="Y18" s="16">
        <f>IF(OR(Topraklar!$J$25="Evet",AND(Topraklar!$L$25&lt;&gt;"Evet",Topraklar!$K$25&lt;&gt;Bitkiler!$C$17)),0,MAX(0,1-(Ayarlar!$B$2*ABS(Bitkiler!$D$17-Topraklar!$D$25)+Ayarlar!$B$3*ABS(Bitkiler!$E$17-Topraklar!$E$25)+Ayarlar!$B$4*ABS(Bitkiler!$F$17-Topraklar!$F$25)+Ayarlar!$B$5*ABS(Bitkiler!$G$17-Topraklar!$G$25)+Ayarlar!$B$6*IF(Bitkiler!$H$17=Topraklar!$H$25,0,1))/Ayarlar!$B$7)+IF(Topraklar!$K$25=Bitkiler!$C$17,0.002,IF(Topraklar!$L$25="Evet",0.001,0)))</f>
        <v/>
      </c>
      <c r="Z18" s="16">
        <f>IF(OR(Topraklar!$J$26="Evet",AND(Topraklar!$L$26&lt;&gt;"Evet",Topraklar!$K$26&lt;&gt;Bitkiler!$C$17)),0,MAX(0,1-(Ayarlar!$B$2*ABS(Bitkiler!$D$17-Topraklar!$D$26)+Ayarlar!$B$3*ABS(Bitkiler!$E$17-Topraklar!$E$26)+Ayarlar!$B$4*ABS(Bitkiler!$F$17-Topraklar!$F$26)+Ayarlar!$B$5*ABS(Bitkiler!$G$17-Topraklar!$G$26)+Ayarlar!$B$6*IF(Bitkiler!$H$17=Topraklar!$H$26,0,1))/Ayarlar!$B$7)+IF(Topraklar!$K$26=Bitkiler!$C$17,0.002,IF(Topraklar!$L$26="Evet",0.001,0)))</f>
        <v/>
      </c>
      <c r="AA18" s="16">
        <f>IF(OR(Topraklar!$J$27="Evet",AND(Topraklar!$L$27&lt;&gt;"Evet",Topraklar!$K$27&lt;&gt;Bitkiler!$C$17)),0,MAX(0,1-(Ayarlar!$B$2*ABS(Bitkiler!$D$17-Topraklar!$D$27)+Ayarlar!$B$3*ABS(Bitkiler!$E$17-Topraklar!$E$27)+Ayarlar!$B$4*ABS(Bitkiler!$F$17-Topraklar!$F$27)+Ayarlar!$B$5*ABS(Bitkiler!$G$17-Topraklar!$G$27)+Ayarlar!$B$6*IF(Bitkiler!$H$17=Topraklar!$H$27,0,1))/Ayarlar!$B$7)+IF(Topraklar!$K$27=Bitkiler!$C$17,0.002,IF(Topraklar!$L$27="Evet",0.001,0)))</f>
        <v/>
      </c>
      <c r="AB18" s="16">
        <f>IF(OR(Topraklar!$J$28="Evet",AND(Topraklar!$L$28&lt;&gt;"Evet",Topraklar!$K$28&lt;&gt;Bitkiler!$C$17)),0,MAX(0,1-(Ayarlar!$B$2*ABS(Bitkiler!$D$17-Topraklar!$D$28)+Ayarlar!$B$3*ABS(Bitkiler!$E$17-Topraklar!$E$28)+Ayarlar!$B$4*ABS(Bitkiler!$F$17-Topraklar!$F$28)+Ayarlar!$B$5*ABS(Bitkiler!$G$17-Topraklar!$G$28)+Ayarlar!$B$6*IF(Bitkiler!$H$17=Topraklar!$H$28,0,1))/Ayarlar!$B$7)+IF(Topraklar!$K$28=Bitkiler!$C$17,0.002,IF(Topraklar!$L$28="Evet",0.001,0)))</f>
        <v/>
      </c>
      <c r="AC18" s="16">
        <f>IF(OR(Topraklar!$J$29="Evet",AND(Topraklar!$L$29&lt;&gt;"Evet",Topraklar!$K$29&lt;&gt;Bitkiler!$C$17)),0,MAX(0,1-(Ayarlar!$B$2*ABS(Bitkiler!$D$17-Topraklar!$D$29)+Ayarlar!$B$3*ABS(Bitkiler!$E$17-Topraklar!$E$29)+Ayarlar!$B$4*ABS(Bitkiler!$F$17-Topraklar!$F$29)+Ayarlar!$B$5*ABS(Bitkiler!$G$17-Topraklar!$G$29)+Ayarlar!$B$6*IF(Bitkiler!$H$17=Topraklar!$H$29,0,1))/Ayarlar!$B$7)+IF(Topraklar!$K$29=Bitkiler!$C$17,0.002,IF(Topraklar!$L$29="Evet",0.001,0)))</f>
        <v/>
      </c>
      <c r="AD18" s="16">
        <f>IF(OR(Topraklar!$J$30="Evet",AND(Topraklar!$L$30&lt;&gt;"Evet",Topraklar!$K$30&lt;&gt;Bitkiler!$C$17)),0,MAX(0,1-(Ayarlar!$B$2*ABS(Bitkiler!$D$17-Topraklar!$D$30)+Ayarlar!$B$3*ABS(Bitkiler!$E$17-Topraklar!$E$30)+Ayarlar!$B$4*ABS(Bitkiler!$F$17-Topraklar!$F$30)+Ayarlar!$B$5*ABS(Bitkiler!$G$17-Topraklar!$G$30)+Ayarlar!$B$6*IF(Bitkiler!$H$17=Topraklar!$H$30,0,1))/Ayarlar!$B$7)+IF(Topraklar!$K$30=Bitkiler!$C$17,0.002,IF(Topraklar!$L$30="Evet",0.001,0)))</f>
        <v/>
      </c>
      <c r="AE18" s="16">
        <f>IF(OR(Topraklar!$J$31="Evet",AND(Topraklar!$L$31&lt;&gt;"Evet",Topraklar!$K$31&lt;&gt;Bitkiler!$C$17)),0,MAX(0,1-(Ayarlar!$B$2*ABS(Bitkiler!$D$17-Topraklar!$D$31)+Ayarlar!$B$3*ABS(Bitkiler!$E$17-Topraklar!$E$31)+Ayarlar!$B$4*ABS(Bitkiler!$F$17-Topraklar!$F$31)+Ayarlar!$B$5*ABS(Bitkiler!$G$17-Topraklar!$G$31)+Ayarlar!$B$6*IF(Bitkiler!$H$17=Topraklar!$H$31,0,1))/Ayarlar!$B$7)+IF(Topraklar!$K$31=Bitkiler!$C$17,0.002,IF(Topraklar!$L$31="Evet",0.001,0)))</f>
        <v/>
      </c>
      <c r="AF18" s="16">
        <f>IF(OR(Topraklar!$J$32="Evet",AND(Topraklar!$L$32&lt;&gt;"Evet",Topraklar!$K$32&lt;&gt;Bitkiler!$C$17)),0,MAX(0,1-(Ayarlar!$B$2*ABS(Bitkiler!$D$17-Topraklar!$D$32)+Ayarlar!$B$3*ABS(Bitkiler!$E$17-Topraklar!$E$32)+Ayarlar!$B$4*ABS(Bitkiler!$F$17-Topraklar!$F$32)+Ayarlar!$B$5*ABS(Bitkiler!$G$17-Topraklar!$G$32)+Ayarlar!$B$6*IF(Bitkiler!$H$17=Topraklar!$H$32,0,1))/Ayarlar!$B$7)+IF(Topraklar!$K$32=Bitkiler!$C$17,0.002,IF(Topraklar!$L$32="Evet",0.001,0)))</f>
        <v/>
      </c>
      <c r="AG18" s="16">
        <f>IF(OR(Topraklar!$J$33="Evet",AND(Topraklar!$L$33&lt;&gt;"Evet",Topraklar!$K$33&lt;&gt;Bitkiler!$C$17)),0,MAX(0,1-(Ayarlar!$B$2*ABS(Bitkiler!$D$17-Topraklar!$D$33)+Ayarlar!$B$3*ABS(Bitkiler!$E$17-Topraklar!$E$33)+Ayarlar!$B$4*ABS(Bitkiler!$F$17-Topraklar!$F$33)+Ayarlar!$B$5*ABS(Bitkiler!$G$17-Topraklar!$G$33)+Ayarlar!$B$6*IF(Bitkiler!$H$17=Topraklar!$H$33,0,1))/Ayarlar!$B$7)+IF(Topraklar!$K$33=Bitkiler!$C$17,0.002,IF(Topraklar!$L$33="Evet",0.001,0)))</f>
        <v/>
      </c>
      <c r="AH18" s="16">
        <f>IF(OR(Topraklar!$J$34="Evet",AND(Topraklar!$L$34&lt;&gt;"Evet",Topraklar!$K$34&lt;&gt;Bitkiler!$C$17)),0,MAX(0,1-(Ayarlar!$B$2*ABS(Bitkiler!$D$17-Topraklar!$D$34)+Ayarlar!$B$3*ABS(Bitkiler!$E$17-Topraklar!$E$34)+Ayarlar!$B$4*ABS(Bitkiler!$F$17-Topraklar!$F$34)+Ayarlar!$B$5*ABS(Bitkiler!$G$17-Topraklar!$G$34)+Ayarlar!$B$6*IF(Bitkiler!$H$17=Topraklar!$H$34,0,1))/Ayarlar!$B$7)+IF(Topraklar!$K$34=Bitkiler!$C$17,0.002,IF(Topraklar!$L$34="Evet",0.001,0)))</f>
        <v/>
      </c>
      <c r="AI18" s="16">
        <f>IF(OR(Topraklar!$J$35="Evet",AND(Topraklar!$L$35&lt;&gt;"Evet",Topraklar!$K$35&lt;&gt;Bitkiler!$C$17)),0,MAX(0,1-(Ayarlar!$B$2*ABS(Bitkiler!$D$17-Topraklar!$D$35)+Ayarlar!$B$3*ABS(Bitkiler!$E$17-Topraklar!$E$35)+Ayarlar!$B$4*ABS(Bitkiler!$F$17-Topraklar!$F$35)+Ayarlar!$B$5*ABS(Bitkiler!$G$17-Topraklar!$G$35)+Ayarlar!$B$6*IF(Bitkiler!$H$17=Topraklar!$H$35,0,1))/Ayarlar!$B$7)+IF(Topraklar!$K$35=Bitkiler!$C$17,0.002,IF(Topraklar!$L$35="Evet",0.001,0)))</f>
        <v/>
      </c>
      <c r="AJ18" s="16">
        <f>IF(OR(Topraklar!$J$36="Evet",AND(Topraklar!$L$36&lt;&gt;"Evet",Topraklar!$K$36&lt;&gt;Bitkiler!$C$17)),0,MAX(0,1-(Ayarlar!$B$2*ABS(Bitkiler!$D$17-Topraklar!$D$36)+Ayarlar!$B$3*ABS(Bitkiler!$E$17-Topraklar!$E$36)+Ayarlar!$B$4*ABS(Bitkiler!$F$17-Topraklar!$F$36)+Ayarlar!$B$5*ABS(Bitkiler!$G$17-Topraklar!$G$36)+Ayarlar!$B$6*IF(Bitkiler!$H$17=Topraklar!$H$36,0,1))/Ayarlar!$B$7)+IF(Topraklar!$K$36=Bitkiler!$C$17,0.002,IF(Topraklar!$L$36="Evet",0.001,0)))</f>
        <v/>
      </c>
      <c r="AK18" s="16">
        <f>IF(OR(Topraklar!$J$37="Evet",AND(Topraklar!$L$37&lt;&gt;"Evet",Topraklar!$K$37&lt;&gt;Bitkiler!$C$17)),0,MAX(0,1-(Ayarlar!$B$2*ABS(Bitkiler!$D$17-Topraklar!$D$37)+Ayarlar!$B$3*ABS(Bitkiler!$E$17-Topraklar!$E$37)+Ayarlar!$B$4*ABS(Bitkiler!$F$17-Topraklar!$F$37)+Ayarlar!$B$5*ABS(Bitkiler!$G$17-Topraklar!$G$37)+Ayarlar!$B$6*IF(Bitkiler!$H$17=Topraklar!$H$37,0,1))/Ayarlar!$B$7)+IF(Topraklar!$K$37=Bitkiler!$C$17,0.002,IF(Topraklar!$L$37="Evet",0.001,0)))</f>
        <v/>
      </c>
      <c r="AL18" s="16">
        <f>IF(OR(Topraklar!$J$38="Evet",AND(Topraklar!$L$38&lt;&gt;"Evet",Topraklar!$K$38&lt;&gt;Bitkiler!$C$17)),0,MAX(0,1-(Ayarlar!$B$2*ABS(Bitkiler!$D$17-Topraklar!$D$38)+Ayarlar!$B$3*ABS(Bitkiler!$E$17-Topraklar!$E$38)+Ayarlar!$B$4*ABS(Bitkiler!$F$17-Topraklar!$F$38)+Ayarlar!$B$5*ABS(Bitkiler!$G$17-Topraklar!$G$38)+Ayarlar!$B$6*IF(Bitkiler!$H$17=Topraklar!$H$38,0,1))/Ayarlar!$B$7)+IF(Topraklar!$K$38=Bitkiler!$C$17,0.002,IF(Topraklar!$L$38="Evet",0.001,0)))</f>
        <v/>
      </c>
      <c r="AM18" s="16">
        <f>IF(OR(Topraklar!$J$39="Evet",AND(Topraklar!$L$39&lt;&gt;"Evet",Topraklar!$K$39&lt;&gt;Bitkiler!$C$17)),0,MAX(0,1-(Ayarlar!$B$2*ABS(Bitkiler!$D$17-Topraklar!$D$39)+Ayarlar!$B$3*ABS(Bitkiler!$E$17-Topraklar!$E$39)+Ayarlar!$B$4*ABS(Bitkiler!$F$17-Topraklar!$F$39)+Ayarlar!$B$5*ABS(Bitkiler!$G$17-Topraklar!$G$39)+Ayarlar!$B$6*IF(Bitkiler!$H$17=Topraklar!$H$39,0,1))/Ayarlar!$B$7)+IF(Topraklar!$K$39=Bitkiler!$C$17,0.002,IF(Topraklar!$L$39="Evet",0.001,0)))</f>
        <v/>
      </c>
      <c r="AN18" s="16">
        <f>IF(OR(Topraklar!$J$40="Evet",AND(Topraklar!$L$40&lt;&gt;"Evet",Topraklar!$K$40&lt;&gt;Bitkiler!$C$17)),0,MAX(0,1-(Ayarlar!$B$2*ABS(Bitkiler!$D$17-Topraklar!$D$40)+Ayarlar!$B$3*ABS(Bitkiler!$E$17-Topraklar!$E$40)+Ayarlar!$B$4*ABS(Bitkiler!$F$17-Topraklar!$F$40)+Ayarlar!$B$5*ABS(Bitkiler!$G$17-Topraklar!$G$40)+Ayarlar!$B$6*IF(Bitkiler!$H$17=Topraklar!$H$40,0,1))/Ayarlar!$B$7)+IF(Topraklar!$K$40=Bitkiler!$C$17,0.002,IF(Topraklar!$L$40="Evet",0.001,0)))</f>
        <v/>
      </c>
      <c r="AO18" s="16">
        <f>IF(OR(Topraklar!$J$41="Evet",AND(Topraklar!$L$41&lt;&gt;"Evet",Topraklar!$K$41&lt;&gt;Bitkiler!$C$17)),0,MAX(0,1-(Ayarlar!$B$2*ABS(Bitkiler!$D$17-Topraklar!$D$41)+Ayarlar!$B$3*ABS(Bitkiler!$E$17-Topraklar!$E$41)+Ayarlar!$B$4*ABS(Bitkiler!$F$17-Topraklar!$F$41)+Ayarlar!$B$5*ABS(Bitkiler!$G$17-Topraklar!$G$41)+Ayarlar!$B$6*IF(Bitkiler!$H$17=Topraklar!$H$41,0,1))/Ayarlar!$B$7)+IF(Topraklar!$K$41=Bitkiler!$C$17,0.002,IF(Topraklar!$L$41="Evet",0.001,0)))</f>
        <v/>
      </c>
      <c r="AP18" s="16">
        <f>IF(OR(Topraklar!$J$42="Evet",AND(Topraklar!$L$42&lt;&gt;"Evet",Topraklar!$K$42&lt;&gt;Bitkiler!$C$17)),0,MAX(0,1-(Ayarlar!$B$2*ABS(Bitkiler!$D$17-Topraklar!$D$42)+Ayarlar!$B$3*ABS(Bitkiler!$E$17-Topraklar!$E$42)+Ayarlar!$B$4*ABS(Bitkiler!$F$17-Topraklar!$F$42)+Ayarlar!$B$5*ABS(Bitkiler!$G$17-Topraklar!$G$42)+Ayarlar!$B$6*IF(Bitkiler!$H$17=Topraklar!$H$42,0,1))/Ayarlar!$B$7)+IF(Topraklar!$K$42=Bitkiler!$C$17,0.002,IF(Topraklar!$L$42="Evet",0.001,0)))</f>
        <v/>
      </c>
      <c r="AQ18" s="16">
        <f>IF(OR(Topraklar!$J$43="Evet",AND(Topraklar!$L$43&lt;&gt;"Evet",Topraklar!$K$43&lt;&gt;Bitkiler!$C$17)),0,MAX(0,1-(Ayarlar!$B$2*ABS(Bitkiler!$D$17-Topraklar!$D$43)+Ayarlar!$B$3*ABS(Bitkiler!$E$17-Topraklar!$E$43)+Ayarlar!$B$4*ABS(Bitkiler!$F$17-Topraklar!$F$43)+Ayarlar!$B$5*ABS(Bitkiler!$G$17-Topraklar!$G$43)+Ayarlar!$B$6*IF(Bitkiler!$H$17=Topraklar!$H$43,0,1))/Ayarlar!$B$7)+IF(Topraklar!$K$43=Bitkiler!$C$17,0.002,IF(Topraklar!$L$43="Evet",0.001,0)))</f>
        <v/>
      </c>
      <c r="AR18" s="16">
        <f>IF(OR(Topraklar!$J$44="Evet",AND(Topraklar!$L$44&lt;&gt;"Evet",Topraklar!$K$44&lt;&gt;Bitkiler!$C$17)),0,MAX(0,1-(Ayarlar!$B$2*ABS(Bitkiler!$D$17-Topraklar!$D$44)+Ayarlar!$B$3*ABS(Bitkiler!$E$17-Topraklar!$E$44)+Ayarlar!$B$4*ABS(Bitkiler!$F$17-Topraklar!$F$44)+Ayarlar!$B$5*ABS(Bitkiler!$G$17-Topraklar!$G$44)+Ayarlar!$B$6*IF(Bitkiler!$H$17=Topraklar!$H$44,0,1))/Ayarlar!$B$7)+IF(Topraklar!$K$44=Bitkiler!$C$17,0.002,IF(Topraklar!$L$44="Evet",0.001,0)))</f>
        <v/>
      </c>
      <c r="AS18" s="16">
        <f>IF(OR(Topraklar!$J$45="Evet",AND(Topraklar!$L$45&lt;&gt;"Evet",Topraklar!$K$45&lt;&gt;Bitkiler!$C$17)),0,MAX(0,1-(Ayarlar!$B$2*ABS(Bitkiler!$D$17-Topraklar!$D$45)+Ayarlar!$B$3*ABS(Bitkiler!$E$17-Topraklar!$E$45)+Ayarlar!$B$4*ABS(Bitkiler!$F$17-Topraklar!$F$45)+Ayarlar!$B$5*ABS(Bitkiler!$G$17-Topraklar!$G$45)+Ayarlar!$B$6*IF(Bitkiler!$H$17=Topraklar!$H$45,0,1))/Ayarlar!$B$7)+IF(Topraklar!$K$45=Bitkiler!$C$17,0.002,IF(Topraklar!$L$45="Evet",0.001,0)))</f>
        <v/>
      </c>
      <c r="AT18" s="16">
        <f>IF(OR(Topraklar!$J$46="Evet",AND(Topraklar!$L$46&lt;&gt;"Evet",Topraklar!$K$46&lt;&gt;Bitkiler!$C$17)),0,MAX(0,1-(Ayarlar!$B$2*ABS(Bitkiler!$D$17-Topraklar!$D$46)+Ayarlar!$B$3*ABS(Bitkiler!$E$17-Topraklar!$E$46)+Ayarlar!$B$4*ABS(Bitkiler!$F$17-Topraklar!$F$46)+Ayarlar!$B$5*ABS(Bitkiler!$G$17-Topraklar!$G$46)+Ayarlar!$B$6*IF(Bitkiler!$H$17=Topraklar!$H$46,0,1))/Ayarlar!$B$7)+IF(Topraklar!$K$46=Bitkiler!$C$17,0.002,IF(Topraklar!$L$46="Evet",0.001,0)))</f>
        <v/>
      </c>
      <c r="AU18" s="16">
        <f>IF(OR(Topraklar!$J$47="Evet",AND(Topraklar!$L$47&lt;&gt;"Evet",Topraklar!$K$47&lt;&gt;Bitkiler!$C$17)),0,MAX(0,1-(Ayarlar!$B$2*ABS(Bitkiler!$D$17-Topraklar!$D$47)+Ayarlar!$B$3*ABS(Bitkiler!$E$17-Topraklar!$E$47)+Ayarlar!$B$4*ABS(Bitkiler!$F$17-Topraklar!$F$47)+Ayarlar!$B$5*ABS(Bitkiler!$G$17-Topraklar!$G$47)+Ayarlar!$B$6*IF(Bitkiler!$H$17=Topraklar!$H$47,0,1))/Ayarlar!$B$7)+IF(Topraklar!$K$47=Bitkiler!$C$17,0.002,IF(Topraklar!$L$47="Evet",0.001,0)))</f>
        <v/>
      </c>
      <c r="AV18" s="16">
        <f>IF(OR(Topraklar!$J$48="Evet",AND(Topraklar!$L$48&lt;&gt;"Evet",Topraklar!$K$48&lt;&gt;Bitkiler!$C$17)),0,MAX(0,1-(Ayarlar!$B$2*ABS(Bitkiler!$D$17-Topraklar!$D$48)+Ayarlar!$B$3*ABS(Bitkiler!$E$17-Topraklar!$E$48)+Ayarlar!$B$4*ABS(Bitkiler!$F$17-Topraklar!$F$48)+Ayarlar!$B$5*ABS(Bitkiler!$G$17-Topraklar!$G$48)+Ayarlar!$B$6*IF(Bitkiler!$H$17=Topraklar!$H$48,0,1))/Ayarlar!$B$7)+IF(Topraklar!$K$48=Bitkiler!$C$17,0.002,IF(Topraklar!$L$48="Evet",0.001,0)))</f>
        <v/>
      </c>
      <c r="AW18" s="16">
        <f>IF(OR(Topraklar!$J$49="Evet",AND(Topraklar!$L$49&lt;&gt;"Evet",Topraklar!$K$49&lt;&gt;Bitkiler!$C$17)),0,MAX(0,1-(Ayarlar!$B$2*ABS(Bitkiler!$D$17-Topraklar!$D$49)+Ayarlar!$B$3*ABS(Bitkiler!$E$17-Topraklar!$E$49)+Ayarlar!$B$4*ABS(Bitkiler!$F$17-Topraklar!$F$49)+Ayarlar!$B$5*ABS(Bitkiler!$G$17-Topraklar!$G$49)+Ayarlar!$B$6*IF(Bitkiler!$H$17=Topraklar!$H$49,0,1))/Ayarlar!$B$7)+IF(Topraklar!$K$49=Bitkiler!$C$17,0.002,IF(Topraklar!$L$49="Evet",0.001,0)))</f>
        <v/>
      </c>
      <c r="AX18" s="16">
        <f>IF(OR(Topraklar!$J$50="Evet",AND(Topraklar!$L$50&lt;&gt;"Evet",Topraklar!$K$50&lt;&gt;Bitkiler!$C$17)),0,MAX(0,1-(Ayarlar!$B$2*ABS(Bitkiler!$D$17-Topraklar!$D$50)+Ayarlar!$B$3*ABS(Bitkiler!$E$17-Topraklar!$E$50)+Ayarlar!$B$4*ABS(Bitkiler!$F$17-Topraklar!$F$50)+Ayarlar!$B$5*ABS(Bitkiler!$G$17-Topraklar!$G$50)+Ayarlar!$B$6*IF(Bitkiler!$H$17=Topraklar!$H$50,0,1))/Ayarlar!$B$7)+IF(Topraklar!$K$50=Bitkiler!$C$17,0.002,IF(Topraklar!$L$50="Evet",0.001,0)))</f>
        <v/>
      </c>
      <c r="AY18" s="16">
        <f>IF(OR(Topraklar!$J$51="Evet",AND(Topraklar!$L$51&lt;&gt;"Evet",Topraklar!$K$51&lt;&gt;Bitkiler!$C$17)),0,MAX(0,1-(Ayarlar!$B$2*ABS(Bitkiler!$D$17-Topraklar!$D$51)+Ayarlar!$B$3*ABS(Bitkiler!$E$17-Topraklar!$E$51)+Ayarlar!$B$4*ABS(Bitkiler!$F$17-Topraklar!$F$51)+Ayarlar!$B$5*ABS(Bitkiler!$G$17-Topraklar!$G$51)+Ayarlar!$B$6*IF(Bitkiler!$H$17=Topraklar!$H$51,0,1))/Ayarlar!$B$7)+IF(Topraklar!$K$51=Bitkiler!$C$17,0.002,IF(Topraklar!$L$51="Evet",0.001,0)))</f>
        <v/>
      </c>
    </row>
    <row r="19">
      <c r="A19" s="15">
        <f>Bitkiler!A18</f>
        <v/>
      </c>
      <c r="B19" s="16">
        <f>IF(OR(Topraklar!$J$2="Evet",AND(Topraklar!$L$2&lt;&gt;"Evet",Topraklar!$K$2&lt;&gt;Bitkiler!$C$18)),0,MAX(0,1-(Ayarlar!$B$2*ABS(Bitkiler!$D$18-Topraklar!$D$2)+Ayarlar!$B$3*ABS(Bitkiler!$E$18-Topraklar!$E$2)+Ayarlar!$B$4*ABS(Bitkiler!$F$18-Topraklar!$F$2)+Ayarlar!$B$5*ABS(Bitkiler!$G$18-Topraklar!$G$2)+Ayarlar!$B$6*IF(Bitkiler!$H$18=Topraklar!$H$2,0,1))/Ayarlar!$B$7)+IF(Topraklar!$K$2=Bitkiler!$C$18,0.002,IF(Topraklar!$L$2="Evet",0.001,0)))</f>
        <v/>
      </c>
      <c r="C19" s="16">
        <f>IF(OR(Topraklar!$J$3="Evet",AND(Topraklar!$L$3&lt;&gt;"Evet",Topraklar!$K$3&lt;&gt;Bitkiler!$C$18)),0,MAX(0,1-(Ayarlar!$B$2*ABS(Bitkiler!$D$18-Topraklar!$D$3)+Ayarlar!$B$3*ABS(Bitkiler!$E$18-Topraklar!$E$3)+Ayarlar!$B$4*ABS(Bitkiler!$F$18-Topraklar!$F$3)+Ayarlar!$B$5*ABS(Bitkiler!$G$18-Topraklar!$G$3)+Ayarlar!$B$6*IF(Bitkiler!$H$18=Topraklar!$H$3,0,1))/Ayarlar!$B$7)+IF(Topraklar!$K$3=Bitkiler!$C$18,0.002,IF(Topraklar!$L$3="Evet",0.001,0)))</f>
        <v/>
      </c>
      <c r="D19" s="16">
        <f>IF(OR(Topraklar!$J$4="Evet",AND(Topraklar!$L$4&lt;&gt;"Evet",Topraklar!$K$4&lt;&gt;Bitkiler!$C$18)),0,MAX(0,1-(Ayarlar!$B$2*ABS(Bitkiler!$D$18-Topraklar!$D$4)+Ayarlar!$B$3*ABS(Bitkiler!$E$18-Topraklar!$E$4)+Ayarlar!$B$4*ABS(Bitkiler!$F$18-Topraklar!$F$4)+Ayarlar!$B$5*ABS(Bitkiler!$G$18-Topraklar!$G$4)+Ayarlar!$B$6*IF(Bitkiler!$H$18=Topraklar!$H$4,0,1))/Ayarlar!$B$7)+IF(Topraklar!$K$4=Bitkiler!$C$18,0.002,IF(Topraklar!$L$4="Evet",0.001,0)))</f>
        <v/>
      </c>
      <c r="E19" s="16">
        <f>IF(OR(Topraklar!$J$5="Evet",AND(Topraklar!$L$5&lt;&gt;"Evet",Topraklar!$K$5&lt;&gt;Bitkiler!$C$18)),0,MAX(0,1-(Ayarlar!$B$2*ABS(Bitkiler!$D$18-Topraklar!$D$5)+Ayarlar!$B$3*ABS(Bitkiler!$E$18-Topraklar!$E$5)+Ayarlar!$B$4*ABS(Bitkiler!$F$18-Topraklar!$F$5)+Ayarlar!$B$5*ABS(Bitkiler!$G$18-Topraklar!$G$5)+Ayarlar!$B$6*IF(Bitkiler!$H$18=Topraklar!$H$5,0,1))/Ayarlar!$B$7)+IF(Topraklar!$K$5=Bitkiler!$C$18,0.002,IF(Topraklar!$L$5="Evet",0.001,0)))</f>
        <v/>
      </c>
      <c r="F19" s="16">
        <f>IF(OR(Topraklar!$J$6="Evet",AND(Topraklar!$L$6&lt;&gt;"Evet",Topraklar!$K$6&lt;&gt;Bitkiler!$C$18)),0,MAX(0,1-(Ayarlar!$B$2*ABS(Bitkiler!$D$18-Topraklar!$D$6)+Ayarlar!$B$3*ABS(Bitkiler!$E$18-Topraklar!$E$6)+Ayarlar!$B$4*ABS(Bitkiler!$F$18-Topraklar!$F$6)+Ayarlar!$B$5*ABS(Bitkiler!$G$18-Topraklar!$G$6)+Ayarlar!$B$6*IF(Bitkiler!$H$18=Topraklar!$H$6,0,1))/Ayarlar!$B$7)+IF(Topraklar!$K$6=Bitkiler!$C$18,0.002,IF(Topraklar!$L$6="Evet",0.001,0)))</f>
        <v/>
      </c>
      <c r="G19" s="16">
        <f>IF(OR(Topraklar!$J$7="Evet",AND(Topraklar!$L$7&lt;&gt;"Evet",Topraklar!$K$7&lt;&gt;Bitkiler!$C$18)),0,MAX(0,1-(Ayarlar!$B$2*ABS(Bitkiler!$D$18-Topraklar!$D$7)+Ayarlar!$B$3*ABS(Bitkiler!$E$18-Topraklar!$E$7)+Ayarlar!$B$4*ABS(Bitkiler!$F$18-Topraklar!$F$7)+Ayarlar!$B$5*ABS(Bitkiler!$G$18-Topraklar!$G$7)+Ayarlar!$B$6*IF(Bitkiler!$H$18=Topraklar!$H$7,0,1))/Ayarlar!$B$7)+IF(Topraklar!$K$7=Bitkiler!$C$18,0.002,IF(Topraklar!$L$7="Evet",0.001,0)))</f>
        <v/>
      </c>
      <c r="H19" s="16">
        <f>IF(OR(Topraklar!$J$8="Evet",AND(Topraklar!$L$8&lt;&gt;"Evet",Topraklar!$K$8&lt;&gt;Bitkiler!$C$18)),0,MAX(0,1-(Ayarlar!$B$2*ABS(Bitkiler!$D$18-Topraklar!$D$8)+Ayarlar!$B$3*ABS(Bitkiler!$E$18-Topraklar!$E$8)+Ayarlar!$B$4*ABS(Bitkiler!$F$18-Topraklar!$F$8)+Ayarlar!$B$5*ABS(Bitkiler!$G$18-Topraklar!$G$8)+Ayarlar!$B$6*IF(Bitkiler!$H$18=Topraklar!$H$8,0,1))/Ayarlar!$B$7)+IF(Topraklar!$K$8=Bitkiler!$C$18,0.002,IF(Topraklar!$L$8="Evet",0.001,0)))</f>
        <v/>
      </c>
      <c r="I19" s="16">
        <f>IF(OR(Topraklar!$J$9="Evet",AND(Topraklar!$L$9&lt;&gt;"Evet",Topraklar!$K$9&lt;&gt;Bitkiler!$C$18)),0,MAX(0,1-(Ayarlar!$B$2*ABS(Bitkiler!$D$18-Topraklar!$D$9)+Ayarlar!$B$3*ABS(Bitkiler!$E$18-Topraklar!$E$9)+Ayarlar!$B$4*ABS(Bitkiler!$F$18-Topraklar!$F$9)+Ayarlar!$B$5*ABS(Bitkiler!$G$18-Topraklar!$G$9)+Ayarlar!$B$6*IF(Bitkiler!$H$18=Topraklar!$H$9,0,1))/Ayarlar!$B$7)+IF(Topraklar!$K$9=Bitkiler!$C$18,0.002,IF(Topraklar!$L$9="Evet",0.001,0)))</f>
        <v/>
      </c>
      <c r="J19" s="16">
        <f>IF(OR(Topraklar!$J$10="Evet",AND(Topraklar!$L$10&lt;&gt;"Evet",Topraklar!$K$10&lt;&gt;Bitkiler!$C$18)),0,MAX(0,1-(Ayarlar!$B$2*ABS(Bitkiler!$D$18-Topraklar!$D$10)+Ayarlar!$B$3*ABS(Bitkiler!$E$18-Topraklar!$E$10)+Ayarlar!$B$4*ABS(Bitkiler!$F$18-Topraklar!$F$10)+Ayarlar!$B$5*ABS(Bitkiler!$G$18-Topraklar!$G$10)+Ayarlar!$B$6*IF(Bitkiler!$H$18=Topraklar!$H$10,0,1))/Ayarlar!$B$7)+IF(Topraklar!$K$10=Bitkiler!$C$18,0.002,IF(Topraklar!$L$10="Evet",0.001,0)))</f>
        <v/>
      </c>
      <c r="K19" s="16">
        <f>IF(OR(Topraklar!$J$11="Evet",AND(Topraklar!$L$11&lt;&gt;"Evet",Topraklar!$K$11&lt;&gt;Bitkiler!$C$18)),0,MAX(0,1-(Ayarlar!$B$2*ABS(Bitkiler!$D$18-Topraklar!$D$11)+Ayarlar!$B$3*ABS(Bitkiler!$E$18-Topraklar!$E$11)+Ayarlar!$B$4*ABS(Bitkiler!$F$18-Topraklar!$F$11)+Ayarlar!$B$5*ABS(Bitkiler!$G$18-Topraklar!$G$11)+Ayarlar!$B$6*IF(Bitkiler!$H$18=Topraklar!$H$11,0,1))/Ayarlar!$B$7)+IF(Topraklar!$K$11=Bitkiler!$C$18,0.002,IF(Topraklar!$L$11="Evet",0.001,0)))</f>
        <v/>
      </c>
      <c r="L19" s="16">
        <f>IF(OR(Topraklar!$J$12="Evet",AND(Topraklar!$L$12&lt;&gt;"Evet",Topraklar!$K$12&lt;&gt;Bitkiler!$C$18)),0,MAX(0,1-(Ayarlar!$B$2*ABS(Bitkiler!$D$18-Topraklar!$D$12)+Ayarlar!$B$3*ABS(Bitkiler!$E$18-Topraklar!$E$12)+Ayarlar!$B$4*ABS(Bitkiler!$F$18-Topraklar!$F$12)+Ayarlar!$B$5*ABS(Bitkiler!$G$18-Topraklar!$G$12)+Ayarlar!$B$6*IF(Bitkiler!$H$18=Topraklar!$H$12,0,1))/Ayarlar!$B$7)+IF(Topraklar!$K$12=Bitkiler!$C$18,0.002,IF(Topraklar!$L$12="Evet",0.001,0)))</f>
        <v/>
      </c>
      <c r="M19" s="16">
        <f>IF(OR(Topraklar!$J$13="Evet",AND(Topraklar!$L$13&lt;&gt;"Evet",Topraklar!$K$13&lt;&gt;Bitkiler!$C$18)),0,MAX(0,1-(Ayarlar!$B$2*ABS(Bitkiler!$D$18-Topraklar!$D$13)+Ayarlar!$B$3*ABS(Bitkiler!$E$18-Topraklar!$E$13)+Ayarlar!$B$4*ABS(Bitkiler!$F$18-Topraklar!$F$13)+Ayarlar!$B$5*ABS(Bitkiler!$G$18-Topraklar!$G$13)+Ayarlar!$B$6*IF(Bitkiler!$H$18=Topraklar!$H$13,0,1))/Ayarlar!$B$7)+IF(Topraklar!$K$13=Bitkiler!$C$18,0.002,IF(Topraklar!$L$13="Evet",0.001,0)))</f>
        <v/>
      </c>
      <c r="N19" s="16">
        <f>IF(OR(Topraklar!$J$14="Evet",AND(Topraklar!$L$14&lt;&gt;"Evet",Topraklar!$K$14&lt;&gt;Bitkiler!$C$18)),0,MAX(0,1-(Ayarlar!$B$2*ABS(Bitkiler!$D$18-Topraklar!$D$14)+Ayarlar!$B$3*ABS(Bitkiler!$E$18-Topraklar!$E$14)+Ayarlar!$B$4*ABS(Bitkiler!$F$18-Topraklar!$F$14)+Ayarlar!$B$5*ABS(Bitkiler!$G$18-Topraklar!$G$14)+Ayarlar!$B$6*IF(Bitkiler!$H$18=Topraklar!$H$14,0,1))/Ayarlar!$B$7)+IF(Topraklar!$K$14=Bitkiler!$C$18,0.002,IF(Topraklar!$L$14="Evet",0.001,0)))</f>
        <v/>
      </c>
      <c r="O19" s="16">
        <f>IF(OR(Topraklar!$J$15="Evet",AND(Topraklar!$L$15&lt;&gt;"Evet",Topraklar!$K$15&lt;&gt;Bitkiler!$C$18)),0,MAX(0,1-(Ayarlar!$B$2*ABS(Bitkiler!$D$18-Topraklar!$D$15)+Ayarlar!$B$3*ABS(Bitkiler!$E$18-Topraklar!$E$15)+Ayarlar!$B$4*ABS(Bitkiler!$F$18-Topraklar!$F$15)+Ayarlar!$B$5*ABS(Bitkiler!$G$18-Topraklar!$G$15)+Ayarlar!$B$6*IF(Bitkiler!$H$18=Topraklar!$H$15,0,1))/Ayarlar!$B$7)+IF(Topraklar!$K$15=Bitkiler!$C$18,0.002,IF(Topraklar!$L$15="Evet",0.001,0)))</f>
        <v/>
      </c>
      <c r="P19" s="16">
        <f>IF(OR(Topraklar!$J$16="Evet",AND(Topraklar!$L$16&lt;&gt;"Evet",Topraklar!$K$16&lt;&gt;Bitkiler!$C$18)),0,MAX(0,1-(Ayarlar!$B$2*ABS(Bitkiler!$D$18-Topraklar!$D$16)+Ayarlar!$B$3*ABS(Bitkiler!$E$18-Topraklar!$E$16)+Ayarlar!$B$4*ABS(Bitkiler!$F$18-Topraklar!$F$16)+Ayarlar!$B$5*ABS(Bitkiler!$G$18-Topraklar!$G$16)+Ayarlar!$B$6*IF(Bitkiler!$H$18=Topraklar!$H$16,0,1))/Ayarlar!$B$7)+IF(Topraklar!$K$16=Bitkiler!$C$18,0.002,IF(Topraklar!$L$16="Evet",0.001,0)))</f>
        <v/>
      </c>
      <c r="Q19" s="16">
        <f>IF(OR(Topraklar!$J$17="Evet",AND(Topraklar!$L$17&lt;&gt;"Evet",Topraklar!$K$17&lt;&gt;Bitkiler!$C$18)),0,MAX(0,1-(Ayarlar!$B$2*ABS(Bitkiler!$D$18-Topraklar!$D$17)+Ayarlar!$B$3*ABS(Bitkiler!$E$18-Topraklar!$E$17)+Ayarlar!$B$4*ABS(Bitkiler!$F$18-Topraklar!$F$17)+Ayarlar!$B$5*ABS(Bitkiler!$G$18-Topraklar!$G$17)+Ayarlar!$B$6*IF(Bitkiler!$H$18=Topraklar!$H$17,0,1))/Ayarlar!$B$7)+IF(Topraklar!$K$17=Bitkiler!$C$18,0.002,IF(Topraklar!$L$17="Evet",0.001,0)))</f>
        <v/>
      </c>
      <c r="R19" s="16">
        <f>IF(OR(Topraklar!$J$18="Evet",AND(Topraklar!$L$18&lt;&gt;"Evet",Topraklar!$K$18&lt;&gt;Bitkiler!$C$18)),0,MAX(0,1-(Ayarlar!$B$2*ABS(Bitkiler!$D$18-Topraklar!$D$18)+Ayarlar!$B$3*ABS(Bitkiler!$E$18-Topraklar!$E$18)+Ayarlar!$B$4*ABS(Bitkiler!$F$18-Topraklar!$F$18)+Ayarlar!$B$5*ABS(Bitkiler!$G$18-Topraklar!$G$18)+Ayarlar!$B$6*IF(Bitkiler!$H$18=Topraklar!$H$18,0,1))/Ayarlar!$B$7)+IF(Topraklar!$K$18=Bitkiler!$C$18,0.002,IF(Topraklar!$L$18="Evet",0.001,0)))</f>
        <v/>
      </c>
      <c r="S19" s="16">
        <f>IF(OR(Topraklar!$J$19="Evet",AND(Topraklar!$L$19&lt;&gt;"Evet",Topraklar!$K$19&lt;&gt;Bitkiler!$C$18)),0,MAX(0,1-(Ayarlar!$B$2*ABS(Bitkiler!$D$18-Topraklar!$D$19)+Ayarlar!$B$3*ABS(Bitkiler!$E$18-Topraklar!$E$19)+Ayarlar!$B$4*ABS(Bitkiler!$F$18-Topraklar!$F$19)+Ayarlar!$B$5*ABS(Bitkiler!$G$18-Topraklar!$G$19)+Ayarlar!$B$6*IF(Bitkiler!$H$18=Topraklar!$H$19,0,1))/Ayarlar!$B$7)+IF(Topraklar!$K$19=Bitkiler!$C$18,0.002,IF(Topraklar!$L$19="Evet",0.001,0)))</f>
        <v/>
      </c>
      <c r="T19" s="16">
        <f>IF(OR(Topraklar!$J$20="Evet",AND(Topraklar!$L$20&lt;&gt;"Evet",Topraklar!$K$20&lt;&gt;Bitkiler!$C$18)),0,MAX(0,1-(Ayarlar!$B$2*ABS(Bitkiler!$D$18-Topraklar!$D$20)+Ayarlar!$B$3*ABS(Bitkiler!$E$18-Topraklar!$E$20)+Ayarlar!$B$4*ABS(Bitkiler!$F$18-Topraklar!$F$20)+Ayarlar!$B$5*ABS(Bitkiler!$G$18-Topraklar!$G$20)+Ayarlar!$B$6*IF(Bitkiler!$H$18=Topraklar!$H$20,0,1))/Ayarlar!$B$7)+IF(Topraklar!$K$20=Bitkiler!$C$18,0.002,IF(Topraklar!$L$20="Evet",0.001,0)))</f>
        <v/>
      </c>
      <c r="U19" s="16">
        <f>IF(OR(Topraklar!$J$21="Evet",AND(Topraklar!$L$21&lt;&gt;"Evet",Topraklar!$K$21&lt;&gt;Bitkiler!$C$18)),0,MAX(0,1-(Ayarlar!$B$2*ABS(Bitkiler!$D$18-Topraklar!$D$21)+Ayarlar!$B$3*ABS(Bitkiler!$E$18-Topraklar!$E$21)+Ayarlar!$B$4*ABS(Bitkiler!$F$18-Topraklar!$F$21)+Ayarlar!$B$5*ABS(Bitkiler!$G$18-Topraklar!$G$21)+Ayarlar!$B$6*IF(Bitkiler!$H$18=Topraklar!$H$21,0,1))/Ayarlar!$B$7)+IF(Topraklar!$K$21=Bitkiler!$C$18,0.002,IF(Topraklar!$L$21="Evet",0.001,0)))</f>
        <v/>
      </c>
      <c r="V19" s="16">
        <f>IF(OR(Topraklar!$J$22="Evet",AND(Topraklar!$L$22&lt;&gt;"Evet",Topraklar!$K$22&lt;&gt;Bitkiler!$C$18)),0,MAX(0,1-(Ayarlar!$B$2*ABS(Bitkiler!$D$18-Topraklar!$D$22)+Ayarlar!$B$3*ABS(Bitkiler!$E$18-Topraklar!$E$22)+Ayarlar!$B$4*ABS(Bitkiler!$F$18-Topraklar!$F$22)+Ayarlar!$B$5*ABS(Bitkiler!$G$18-Topraklar!$G$22)+Ayarlar!$B$6*IF(Bitkiler!$H$18=Topraklar!$H$22,0,1))/Ayarlar!$B$7)+IF(Topraklar!$K$22=Bitkiler!$C$18,0.002,IF(Topraklar!$L$22="Evet",0.001,0)))</f>
        <v/>
      </c>
      <c r="W19" s="16">
        <f>IF(OR(Topraklar!$J$23="Evet",AND(Topraklar!$L$23&lt;&gt;"Evet",Topraklar!$K$23&lt;&gt;Bitkiler!$C$18)),0,MAX(0,1-(Ayarlar!$B$2*ABS(Bitkiler!$D$18-Topraklar!$D$23)+Ayarlar!$B$3*ABS(Bitkiler!$E$18-Topraklar!$E$23)+Ayarlar!$B$4*ABS(Bitkiler!$F$18-Topraklar!$F$23)+Ayarlar!$B$5*ABS(Bitkiler!$G$18-Topraklar!$G$23)+Ayarlar!$B$6*IF(Bitkiler!$H$18=Topraklar!$H$23,0,1))/Ayarlar!$B$7)+IF(Topraklar!$K$23=Bitkiler!$C$18,0.002,IF(Topraklar!$L$23="Evet",0.001,0)))</f>
        <v/>
      </c>
      <c r="X19" s="16">
        <f>IF(OR(Topraklar!$J$24="Evet",AND(Topraklar!$L$24&lt;&gt;"Evet",Topraklar!$K$24&lt;&gt;Bitkiler!$C$18)),0,MAX(0,1-(Ayarlar!$B$2*ABS(Bitkiler!$D$18-Topraklar!$D$24)+Ayarlar!$B$3*ABS(Bitkiler!$E$18-Topraklar!$E$24)+Ayarlar!$B$4*ABS(Bitkiler!$F$18-Topraklar!$F$24)+Ayarlar!$B$5*ABS(Bitkiler!$G$18-Topraklar!$G$24)+Ayarlar!$B$6*IF(Bitkiler!$H$18=Topraklar!$H$24,0,1))/Ayarlar!$B$7)+IF(Topraklar!$K$24=Bitkiler!$C$18,0.002,IF(Topraklar!$L$24="Evet",0.001,0)))</f>
        <v/>
      </c>
      <c r="Y19" s="16">
        <f>IF(OR(Topraklar!$J$25="Evet",AND(Topraklar!$L$25&lt;&gt;"Evet",Topraklar!$K$25&lt;&gt;Bitkiler!$C$18)),0,MAX(0,1-(Ayarlar!$B$2*ABS(Bitkiler!$D$18-Topraklar!$D$25)+Ayarlar!$B$3*ABS(Bitkiler!$E$18-Topraklar!$E$25)+Ayarlar!$B$4*ABS(Bitkiler!$F$18-Topraklar!$F$25)+Ayarlar!$B$5*ABS(Bitkiler!$G$18-Topraklar!$G$25)+Ayarlar!$B$6*IF(Bitkiler!$H$18=Topraklar!$H$25,0,1))/Ayarlar!$B$7)+IF(Topraklar!$K$25=Bitkiler!$C$18,0.002,IF(Topraklar!$L$25="Evet",0.001,0)))</f>
        <v/>
      </c>
      <c r="Z19" s="16">
        <f>IF(OR(Topraklar!$J$26="Evet",AND(Topraklar!$L$26&lt;&gt;"Evet",Topraklar!$K$26&lt;&gt;Bitkiler!$C$18)),0,MAX(0,1-(Ayarlar!$B$2*ABS(Bitkiler!$D$18-Topraklar!$D$26)+Ayarlar!$B$3*ABS(Bitkiler!$E$18-Topraklar!$E$26)+Ayarlar!$B$4*ABS(Bitkiler!$F$18-Topraklar!$F$26)+Ayarlar!$B$5*ABS(Bitkiler!$G$18-Topraklar!$G$26)+Ayarlar!$B$6*IF(Bitkiler!$H$18=Topraklar!$H$26,0,1))/Ayarlar!$B$7)+IF(Topraklar!$K$26=Bitkiler!$C$18,0.002,IF(Topraklar!$L$26="Evet",0.001,0)))</f>
        <v/>
      </c>
      <c r="AA19" s="16">
        <f>IF(OR(Topraklar!$J$27="Evet",AND(Topraklar!$L$27&lt;&gt;"Evet",Topraklar!$K$27&lt;&gt;Bitkiler!$C$18)),0,MAX(0,1-(Ayarlar!$B$2*ABS(Bitkiler!$D$18-Topraklar!$D$27)+Ayarlar!$B$3*ABS(Bitkiler!$E$18-Topraklar!$E$27)+Ayarlar!$B$4*ABS(Bitkiler!$F$18-Topraklar!$F$27)+Ayarlar!$B$5*ABS(Bitkiler!$G$18-Topraklar!$G$27)+Ayarlar!$B$6*IF(Bitkiler!$H$18=Topraklar!$H$27,0,1))/Ayarlar!$B$7)+IF(Topraklar!$K$27=Bitkiler!$C$18,0.002,IF(Topraklar!$L$27="Evet",0.001,0)))</f>
        <v/>
      </c>
      <c r="AB19" s="16">
        <f>IF(OR(Topraklar!$J$28="Evet",AND(Topraklar!$L$28&lt;&gt;"Evet",Topraklar!$K$28&lt;&gt;Bitkiler!$C$18)),0,MAX(0,1-(Ayarlar!$B$2*ABS(Bitkiler!$D$18-Topraklar!$D$28)+Ayarlar!$B$3*ABS(Bitkiler!$E$18-Topraklar!$E$28)+Ayarlar!$B$4*ABS(Bitkiler!$F$18-Topraklar!$F$28)+Ayarlar!$B$5*ABS(Bitkiler!$G$18-Topraklar!$G$28)+Ayarlar!$B$6*IF(Bitkiler!$H$18=Topraklar!$H$28,0,1))/Ayarlar!$B$7)+IF(Topraklar!$K$28=Bitkiler!$C$18,0.002,IF(Topraklar!$L$28="Evet",0.001,0)))</f>
        <v/>
      </c>
      <c r="AC19" s="16">
        <f>IF(OR(Topraklar!$J$29="Evet",AND(Topraklar!$L$29&lt;&gt;"Evet",Topraklar!$K$29&lt;&gt;Bitkiler!$C$18)),0,MAX(0,1-(Ayarlar!$B$2*ABS(Bitkiler!$D$18-Topraklar!$D$29)+Ayarlar!$B$3*ABS(Bitkiler!$E$18-Topraklar!$E$29)+Ayarlar!$B$4*ABS(Bitkiler!$F$18-Topraklar!$F$29)+Ayarlar!$B$5*ABS(Bitkiler!$G$18-Topraklar!$G$29)+Ayarlar!$B$6*IF(Bitkiler!$H$18=Topraklar!$H$29,0,1))/Ayarlar!$B$7)+IF(Topraklar!$K$29=Bitkiler!$C$18,0.002,IF(Topraklar!$L$29="Evet",0.001,0)))</f>
        <v/>
      </c>
      <c r="AD19" s="16">
        <f>IF(OR(Topraklar!$J$30="Evet",AND(Topraklar!$L$30&lt;&gt;"Evet",Topraklar!$K$30&lt;&gt;Bitkiler!$C$18)),0,MAX(0,1-(Ayarlar!$B$2*ABS(Bitkiler!$D$18-Topraklar!$D$30)+Ayarlar!$B$3*ABS(Bitkiler!$E$18-Topraklar!$E$30)+Ayarlar!$B$4*ABS(Bitkiler!$F$18-Topraklar!$F$30)+Ayarlar!$B$5*ABS(Bitkiler!$G$18-Topraklar!$G$30)+Ayarlar!$B$6*IF(Bitkiler!$H$18=Topraklar!$H$30,0,1))/Ayarlar!$B$7)+IF(Topraklar!$K$30=Bitkiler!$C$18,0.002,IF(Topraklar!$L$30="Evet",0.001,0)))</f>
        <v/>
      </c>
      <c r="AE19" s="16">
        <f>IF(OR(Topraklar!$J$31="Evet",AND(Topraklar!$L$31&lt;&gt;"Evet",Topraklar!$K$31&lt;&gt;Bitkiler!$C$18)),0,MAX(0,1-(Ayarlar!$B$2*ABS(Bitkiler!$D$18-Topraklar!$D$31)+Ayarlar!$B$3*ABS(Bitkiler!$E$18-Topraklar!$E$31)+Ayarlar!$B$4*ABS(Bitkiler!$F$18-Topraklar!$F$31)+Ayarlar!$B$5*ABS(Bitkiler!$G$18-Topraklar!$G$31)+Ayarlar!$B$6*IF(Bitkiler!$H$18=Topraklar!$H$31,0,1))/Ayarlar!$B$7)+IF(Topraklar!$K$31=Bitkiler!$C$18,0.002,IF(Topraklar!$L$31="Evet",0.001,0)))</f>
        <v/>
      </c>
      <c r="AF19" s="16">
        <f>IF(OR(Topraklar!$J$32="Evet",AND(Topraklar!$L$32&lt;&gt;"Evet",Topraklar!$K$32&lt;&gt;Bitkiler!$C$18)),0,MAX(0,1-(Ayarlar!$B$2*ABS(Bitkiler!$D$18-Topraklar!$D$32)+Ayarlar!$B$3*ABS(Bitkiler!$E$18-Topraklar!$E$32)+Ayarlar!$B$4*ABS(Bitkiler!$F$18-Topraklar!$F$32)+Ayarlar!$B$5*ABS(Bitkiler!$G$18-Topraklar!$G$32)+Ayarlar!$B$6*IF(Bitkiler!$H$18=Topraklar!$H$32,0,1))/Ayarlar!$B$7)+IF(Topraklar!$K$32=Bitkiler!$C$18,0.002,IF(Topraklar!$L$32="Evet",0.001,0)))</f>
        <v/>
      </c>
      <c r="AG19" s="16">
        <f>IF(OR(Topraklar!$J$33="Evet",AND(Topraklar!$L$33&lt;&gt;"Evet",Topraklar!$K$33&lt;&gt;Bitkiler!$C$18)),0,MAX(0,1-(Ayarlar!$B$2*ABS(Bitkiler!$D$18-Topraklar!$D$33)+Ayarlar!$B$3*ABS(Bitkiler!$E$18-Topraklar!$E$33)+Ayarlar!$B$4*ABS(Bitkiler!$F$18-Topraklar!$F$33)+Ayarlar!$B$5*ABS(Bitkiler!$G$18-Topraklar!$G$33)+Ayarlar!$B$6*IF(Bitkiler!$H$18=Topraklar!$H$33,0,1))/Ayarlar!$B$7)+IF(Topraklar!$K$33=Bitkiler!$C$18,0.002,IF(Topraklar!$L$33="Evet",0.001,0)))</f>
        <v/>
      </c>
      <c r="AH19" s="16">
        <f>IF(OR(Topraklar!$J$34="Evet",AND(Topraklar!$L$34&lt;&gt;"Evet",Topraklar!$K$34&lt;&gt;Bitkiler!$C$18)),0,MAX(0,1-(Ayarlar!$B$2*ABS(Bitkiler!$D$18-Topraklar!$D$34)+Ayarlar!$B$3*ABS(Bitkiler!$E$18-Topraklar!$E$34)+Ayarlar!$B$4*ABS(Bitkiler!$F$18-Topraklar!$F$34)+Ayarlar!$B$5*ABS(Bitkiler!$G$18-Topraklar!$G$34)+Ayarlar!$B$6*IF(Bitkiler!$H$18=Topraklar!$H$34,0,1))/Ayarlar!$B$7)+IF(Topraklar!$K$34=Bitkiler!$C$18,0.002,IF(Topraklar!$L$34="Evet",0.001,0)))</f>
        <v/>
      </c>
      <c r="AI19" s="16">
        <f>IF(OR(Topraklar!$J$35="Evet",AND(Topraklar!$L$35&lt;&gt;"Evet",Topraklar!$K$35&lt;&gt;Bitkiler!$C$18)),0,MAX(0,1-(Ayarlar!$B$2*ABS(Bitkiler!$D$18-Topraklar!$D$35)+Ayarlar!$B$3*ABS(Bitkiler!$E$18-Topraklar!$E$35)+Ayarlar!$B$4*ABS(Bitkiler!$F$18-Topraklar!$F$35)+Ayarlar!$B$5*ABS(Bitkiler!$G$18-Topraklar!$G$35)+Ayarlar!$B$6*IF(Bitkiler!$H$18=Topraklar!$H$35,0,1))/Ayarlar!$B$7)+IF(Topraklar!$K$35=Bitkiler!$C$18,0.002,IF(Topraklar!$L$35="Evet",0.001,0)))</f>
        <v/>
      </c>
      <c r="AJ19" s="16">
        <f>IF(OR(Topraklar!$J$36="Evet",AND(Topraklar!$L$36&lt;&gt;"Evet",Topraklar!$K$36&lt;&gt;Bitkiler!$C$18)),0,MAX(0,1-(Ayarlar!$B$2*ABS(Bitkiler!$D$18-Topraklar!$D$36)+Ayarlar!$B$3*ABS(Bitkiler!$E$18-Topraklar!$E$36)+Ayarlar!$B$4*ABS(Bitkiler!$F$18-Topraklar!$F$36)+Ayarlar!$B$5*ABS(Bitkiler!$G$18-Topraklar!$G$36)+Ayarlar!$B$6*IF(Bitkiler!$H$18=Topraklar!$H$36,0,1))/Ayarlar!$B$7)+IF(Topraklar!$K$36=Bitkiler!$C$18,0.002,IF(Topraklar!$L$36="Evet",0.001,0)))</f>
        <v/>
      </c>
      <c r="AK19" s="16">
        <f>IF(OR(Topraklar!$J$37="Evet",AND(Topraklar!$L$37&lt;&gt;"Evet",Topraklar!$K$37&lt;&gt;Bitkiler!$C$18)),0,MAX(0,1-(Ayarlar!$B$2*ABS(Bitkiler!$D$18-Topraklar!$D$37)+Ayarlar!$B$3*ABS(Bitkiler!$E$18-Topraklar!$E$37)+Ayarlar!$B$4*ABS(Bitkiler!$F$18-Topraklar!$F$37)+Ayarlar!$B$5*ABS(Bitkiler!$G$18-Topraklar!$G$37)+Ayarlar!$B$6*IF(Bitkiler!$H$18=Topraklar!$H$37,0,1))/Ayarlar!$B$7)+IF(Topraklar!$K$37=Bitkiler!$C$18,0.002,IF(Topraklar!$L$37="Evet",0.001,0)))</f>
        <v/>
      </c>
      <c r="AL19" s="16">
        <f>IF(OR(Topraklar!$J$38="Evet",AND(Topraklar!$L$38&lt;&gt;"Evet",Topraklar!$K$38&lt;&gt;Bitkiler!$C$18)),0,MAX(0,1-(Ayarlar!$B$2*ABS(Bitkiler!$D$18-Topraklar!$D$38)+Ayarlar!$B$3*ABS(Bitkiler!$E$18-Topraklar!$E$38)+Ayarlar!$B$4*ABS(Bitkiler!$F$18-Topraklar!$F$38)+Ayarlar!$B$5*ABS(Bitkiler!$G$18-Topraklar!$G$38)+Ayarlar!$B$6*IF(Bitkiler!$H$18=Topraklar!$H$38,0,1))/Ayarlar!$B$7)+IF(Topraklar!$K$38=Bitkiler!$C$18,0.002,IF(Topraklar!$L$38="Evet",0.001,0)))</f>
        <v/>
      </c>
      <c r="AM19" s="16">
        <f>IF(OR(Topraklar!$J$39="Evet",AND(Topraklar!$L$39&lt;&gt;"Evet",Topraklar!$K$39&lt;&gt;Bitkiler!$C$18)),0,MAX(0,1-(Ayarlar!$B$2*ABS(Bitkiler!$D$18-Topraklar!$D$39)+Ayarlar!$B$3*ABS(Bitkiler!$E$18-Topraklar!$E$39)+Ayarlar!$B$4*ABS(Bitkiler!$F$18-Topraklar!$F$39)+Ayarlar!$B$5*ABS(Bitkiler!$G$18-Topraklar!$G$39)+Ayarlar!$B$6*IF(Bitkiler!$H$18=Topraklar!$H$39,0,1))/Ayarlar!$B$7)+IF(Topraklar!$K$39=Bitkiler!$C$18,0.002,IF(Topraklar!$L$39="Evet",0.001,0)))</f>
        <v/>
      </c>
      <c r="AN19" s="16">
        <f>IF(OR(Topraklar!$J$40="Evet",AND(Topraklar!$L$40&lt;&gt;"Evet",Topraklar!$K$40&lt;&gt;Bitkiler!$C$18)),0,MAX(0,1-(Ayarlar!$B$2*ABS(Bitkiler!$D$18-Topraklar!$D$40)+Ayarlar!$B$3*ABS(Bitkiler!$E$18-Topraklar!$E$40)+Ayarlar!$B$4*ABS(Bitkiler!$F$18-Topraklar!$F$40)+Ayarlar!$B$5*ABS(Bitkiler!$G$18-Topraklar!$G$40)+Ayarlar!$B$6*IF(Bitkiler!$H$18=Topraklar!$H$40,0,1))/Ayarlar!$B$7)+IF(Topraklar!$K$40=Bitkiler!$C$18,0.002,IF(Topraklar!$L$40="Evet",0.001,0)))</f>
        <v/>
      </c>
      <c r="AO19" s="16">
        <f>IF(OR(Topraklar!$J$41="Evet",AND(Topraklar!$L$41&lt;&gt;"Evet",Topraklar!$K$41&lt;&gt;Bitkiler!$C$18)),0,MAX(0,1-(Ayarlar!$B$2*ABS(Bitkiler!$D$18-Topraklar!$D$41)+Ayarlar!$B$3*ABS(Bitkiler!$E$18-Topraklar!$E$41)+Ayarlar!$B$4*ABS(Bitkiler!$F$18-Topraklar!$F$41)+Ayarlar!$B$5*ABS(Bitkiler!$G$18-Topraklar!$G$41)+Ayarlar!$B$6*IF(Bitkiler!$H$18=Topraklar!$H$41,0,1))/Ayarlar!$B$7)+IF(Topraklar!$K$41=Bitkiler!$C$18,0.002,IF(Topraklar!$L$41="Evet",0.001,0)))</f>
        <v/>
      </c>
      <c r="AP19" s="16">
        <f>IF(OR(Topraklar!$J$42="Evet",AND(Topraklar!$L$42&lt;&gt;"Evet",Topraklar!$K$42&lt;&gt;Bitkiler!$C$18)),0,MAX(0,1-(Ayarlar!$B$2*ABS(Bitkiler!$D$18-Topraklar!$D$42)+Ayarlar!$B$3*ABS(Bitkiler!$E$18-Topraklar!$E$42)+Ayarlar!$B$4*ABS(Bitkiler!$F$18-Topraklar!$F$42)+Ayarlar!$B$5*ABS(Bitkiler!$G$18-Topraklar!$G$42)+Ayarlar!$B$6*IF(Bitkiler!$H$18=Topraklar!$H$42,0,1))/Ayarlar!$B$7)+IF(Topraklar!$K$42=Bitkiler!$C$18,0.002,IF(Topraklar!$L$42="Evet",0.001,0)))</f>
        <v/>
      </c>
      <c r="AQ19" s="16">
        <f>IF(OR(Topraklar!$J$43="Evet",AND(Topraklar!$L$43&lt;&gt;"Evet",Topraklar!$K$43&lt;&gt;Bitkiler!$C$18)),0,MAX(0,1-(Ayarlar!$B$2*ABS(Bitkiler!$D$18-Topraklar!$D$43)+Ayarlar!$B$3*ABS(Bitkiler!$E$18-Topraklar!$E$43)+Ayarlar!$B$4*ABS(Bitkiler!$F$18-Topraklar!$F$43)+Ayarlar!$B$5*ABS(Bitkiler!$G$18-Topraklar!$G$43)+Ayarlar!$B$6*IF(Bitkiler!$H$18=Topraklar!$H$43,0,1))/Ayarlar!$B$7)+IF(Topraklar!$K$43=Bitkiler!$C$18,0.002,IF(Topraklar!$L$43="Evet",0.001,0)))</f>
        <v/>
      </c>
      <c r="AR19" s="16">
        <f>IF(OR(Topraklar!$J$44="Evet",AND(Topraklar!$L$44&lt;&gt;"Evet",Topraklar!$K$44&lt;&gt;Bitkiler!$C$18)),0,MAX(0,1-(Ayarlar!$B$2*ABS(Bitkiler!$D$18-Topraklar!$D$44)+Ayarlar!$B$3*ABS(Bitkiler!$E$18-Topraklar!$E$44)+Ayarlar!$B$4*ABS(Bitkiler!$F$18-Topraklar!$F$44)+Ayarlar!$B$5*ABS(Bitkiler!$G$18-Topraklar!$G$44)+Ayarlar!$B$6*IF(Bitkiler!$H$18=Topraklar!$H$44,0,1))/Ayarlar!$B$7)+IF(Topraklar!$K$44=Bitkiler!$C$18,0.002,IF(Topraklar!$L$44="Evet",0.001,0)))</f>
        <v/>
      </c>
      <c r="AS19" s="16">
        <f>IF(OR(Topraklar!$J$45="Evet",AND(Topraklar!$L$45&lt;&gt;"Evet",Topraklar!$K$45&lt;&gt;Bitkiler!$C$18)),0,MAX(0,1-(Ayarlar!$B$2*ABS(Bitkiler!$D$18-Topraklar!$D$45)+Ayarlar!$B$3*ABS(Bitkiler!$E$18-Topraklar!$E$45)+Ayarlar!$B$4*ABS(Bitkiler!$F$18-Topraklar!$F$45)+Ayarlar!$B$5*ABS(Bitkiler!$G$18-Topraklar!$G$45)+Ayarlar!$B$6*IF(Bitkiler!$H$18=Topraklar!$H$45,0,1))/Ayarlar!$B$7)+IF(Topraklar!$K$45=Bitkiler!$C$18,0.002,IF(Topraklar!$L$45="Evet",0.001,0)))</f>
        <v/>
      </c>
      <c r="AT19" s="16">
        <f>IF(OR(Topraklar!$J$46="Evet",AND(Topraklar!$L$46&lt;&gt;"Evet",Topraklar!$K$46&lt;&gt;Bitkiler!$C$18)),0,MAX(0,1-(Ayarlar!$B$2*ABS(Bitkiler!$D$18-Topraklar!$D$46)+Ayarlar!$B$3*ABS(Bitkiler!$E$18-Topraklar!$E$46)+Ayarlar!$B$4*ABS(Bitkiler!$F$18-Topraklar!$F$46)+Ayarlar!$B$5*ABS(Bitkiler!$G$18-Topraklar!$G$46)+Ayarlar!$B$6*IF(Bitkiler!$H$18=Topraklar!$H$46,0,1))/Ayarlar!$B$7)+IF(Topraklar!$K$46=Bitkiler!$C$18,0.002,IF(Topraklar!$L$46="Evet",0.001,0)))</f>
        <v/>
      </c>
      <c r="AU19" s="16">
        <f>IF(OR(Topraklar!$J$47="Evet",AND(Topraklar!$L$47&lt;&gt;"Evet",Topraklar!$K$47&lt;&gt;Bitkiler!$C$18)),0,MAX(0,1-(Ayarlar!$B$2*ABS(Bitkiler!$D$18-Topraklar!$D$47)+Ayarlar!$B$3*ABS(Bitkiler!$E$18-Topraklar!$E$47)+Ayarlar!$B$4*ABS(Bitkiler!$F$18-Topraklar!$F$47)+Ayarlar!$B$5*ABS(Bitkiler!$G$18-Topraklar!$G$47)+Ayarlar!$B$6*IF(Bitkiler!$H$18=Topraklar!$H$47,0,1))/Ayarlar!$B$7)+IF(Topraklar!$K$47=Bitkiler!$C$18,0.002,IF(Topraklar!$L$47="Evet",0.001,0)))</f>
        <v/>
      </c>
      <c r="AV19" s="16">
        <f>IF(OR(Topraklar!$J$48="Evet",AND(Topraklar!$L$48&lt;&gt;"Evet",Topraklar!$K$48&lt;&gt;Bitkiler!$C$18)),0,MAX(0,1-(Ayarlar!$B$2*ABS(Bitkiler!$D$18-Topraklar!$D$48)+Ayarlar!$B$3*ABS(Bitkiler!$E$18-Topraklar!$E$48)+Ayarlar!$B$4*ABS(Bitkiler!$F$18-Topraklar!$F$48)+Ayarlar!$B$5*ABS(Bitkiler!$G$18-Topraklar!$G$48)+Ayarlar!$B$6*IF(Bitkiler!$H$18=Topraklar!$H$48,0,1))/Ayarlar!$B$7)+IF(Topraklar!$K$48=Bitkiler!$C$18,0.002,IF(Topraklar!$L$48="Evet",0.001,0)))</f>
        <v/>
      </c>
      <c r="AW19" s="16">
        <f>IF(OR(Topraklar!$J$49="Evet",AND(Topraklar!$L$49&lt;&gt;"Evet",Topraklar!$K$49&lt;&gt;Bitkiler!$C$18)),0,MAX(0,1-(Ayarlar!$B$2*ABS(Bitkiler!$D$18-Topraklar!$D$49)+Ayarlar!$B$3*ABS(Bitkiler!$E$18-Topraklar!$E$49)+Ayarlar!$B$4*ABS(Bitkiler!$F$18-Topraklar!$F$49)+Ayarlar!$B$5*ABS(Bitkiler!$G$18-Topraklar!$G$49)+Ayarlar!$B$6*IF(Bitkiler!$H$18=Topraklar!$H$49,0,1))/Ayarlar!$B$7)+IF(Topraklar!$K$49=Bitkiler!$C$18,0.002,IF(Topraklar!$L$49="Evet",0.001,0)))</f>
        <v/>
      </c>
      <c r="AX19" s="16">
        <f>IF(OR(Topraklar!$J$50="Evet",AND(Topraklar!$L$50&lt;&gt;"Evet",Topraklar!$K$50&lt;&gt;Bitkiler!$C$18)),0,MAX(0,1-(Ayarlar!$B$2*ABS(Bitkiler!$D$18-Topraklar!$D$50)+Ayarlar!$B$3*ABS(Bitkiler!$E$18-Topraklar!$E$50)+Ayarlar!$B$4*ABS(Bitkiler!$F$18-Topraklar!$F$50)+Ayarlar!$B$5*ABS(Bitkiler!$G$18-Topraklar!$G$50)+Ayarlar!$B$6*IF(Bitkiler!$H$18=Topraklar!$H$50,0,1))/Ayarlar!$B$7)+IF(Topraklar!$K$50=Bitkiler!$C$18,0.002,IF(Topraklar!$L$50="Evet",0.001,0)))</f>
        <v/>
      </c>
      <c r="AY19" s="16">
        <f>IF(OR(Topraklar!$J$51="Evet",AND(Topraklar!$L$51&lt;&gt;"Evet",Topraklar!$K$51&lt;&gt;Bitkiler!$C$18)),0,MAX(0,1-(Ayarlar!$B$2*ABS(Bitkiler!$D$18-Topraklar!$D$51)+Ayarlar!$B$3*ABS(Bitkiler!$E$18-Topraklar!$E$51)+Ayarlar!$B$4*ABS(Bitkiler!$F$18-Topraklar!$F$51)+Ayarlar!$B$5*ABS(Bitkiler!$G$18-Topraklar!$G$51)+Ayarlar!$B$6*IF(Bitkiler!$H$18=Topraklar!$H$51,0,1))/Ayarlar!$B$7)+IF(Topraklar!$K$51=Bitkiler!$C$18,0.002,IF(Topraklar!$L$51="Evet",0.001,0)))</f>
        <v/>
      </c>
    </row>
    <row r="20">
      <c r="A20" s="15">
        <f>Bitkiler!A19</f>
        <v/>
      </c>
      <c r="B20" s="16">
        <f>IF(OR(Topraklar!$J$2="Evet",AND(Topraklar!$L$2&lt;&gt;"Evet",Topraklar!$K$2&lt;&gt;Bitkiler!$C$19)),0,MAX(0,1-(Ayarlar!$B$2*ABS(Bitkiler!$D$19-Topraklar!$D$2)+Ayarlar!$B$3*ABS(Bitkiler!$E$19-Topraklar!$E$2)+Ayarlar!$B$4*ABS(Bitkiler!$F$19-Topraklar!$F$2)+Ayarlar!$B$5*ABS(Bitkiler!$G$19-Topraklar!$G$2)+Ayarlar!$B$6*IF(Bitkiler!$H$19=Topraklar!$H$2,0,1))/Ayarlar!$B$7)+IF(Topraklar!$K$2=Bitkiler!$C$19,0.002,IF(Topraklar!$L$2="Evet",0.001,0)))</f>
        <v/>
      </c>
      <c r="C20" s="16">
        <f>IF(OR(Topraklar!$J$3="Evet",AND(Topraklar!$L$3&lt;&gt;"Evet",Topraklar!$K$3&lt;&gt;Bitkiler!$C$19)),0,MAX(0,1-(Ayarlar!$B$2*ABS(Bitkiler!$D$19-Topraklar!$D$3)+Ayarlar!$B$3*ABS(Bitkiler!$E$19-Topraklar!$E$3)+Ayarlar!$B$4*ABS(Bitkiler!$F$19-Topraklar!$F$3)+Ayarlar!$B$5*ABS(Bitkiler!$G$19-Topraklar!$G$3)+Ayarlar!$B$6*IF(Bitkiler!$H$19=Topraklar!$H$3,0,1))/Ayarlar!$B$7)+IF(Topraklar!$K$3=Bitkiler!$C$19,0.002,IF(Topraklar!$L$3="Evet",0.001,0)))</f>
        <v/>
      </c>
      <c r="D20" s="16">
        <f>IF(OR(Topraklar!$J$4="Evet",AND(Topraklar!$L$4&lt;&gt;"Evet",Topraklar!$K$4&lt;&gt;Bitkiler!$C$19)),0,MAX(0,1-(Ayarlar!$B$2*ABS(Bitkiler!$D$19-Topraklar!$D$4)+Ayarlar!$B$3*ABS(Bitkiler!$E$19-Topraklar!$E$4)+Ayarlar!$B$4*ABS(Bitkiler!$F$19-Topraklar!$F$4)+Ayarlar!$B$5*ABS(Bitkiler!$G$19-Topraklar!$G$4)+Ayarlar!$B$6*IF(Bitkiler!$H$19=Topraklar!$H$4,0,1))/Ayarlar!$B$7)+IF(Topraklar!$K$4=Bitkiler!$C$19,0.002,IF(Topraklar!$L$4="Evet",0.001,0)))</f>
        <v/>
      </c>
      <c r="E20" s="16">
        <f>IF(OR(Topraklar!$J$5="Evet",AND(Topraklar!$L$5&lt;&gt;"Evet",Topraklar!$K$5&lt;&gt;Bitkiler!$C$19)),0,MAX(0,1-(Ayarlar!$B$2*ABS(Bitkiler!$D$19-Topraklar!$D$5)+Ayarlar!$B$3*ABS(Bitkiler!$E$19-Topraklar!$E$5)+Ayarlar!$B$4*ABS(Bitkiler!$F$19-Topraklar!$F$5)+Ayarlar!$B$5*ABS(Bitkiler!$G$19-Topraklar!$G$5)+Ayarlar!$B$6*IF(Bitkiler!$H$19=Topraklar!$H$5,0,1))/Ayarlar!$B$7)+IF(Topraklar!$K$5=Bitkiler!$C$19,0.002,IF(Topraklar!$L$5="Evet",0.001,0)))</f>
        <v/>
      </c>
      <c r="F20" s="16">
        <f>IF(OR(Topraklar!$J$6="Evet",AND(Topraklar!$L$6&lt;&gt;"Evet",Topraklar!$K$6&lt;&gt;Bitkiler!$C$19)),0,MAX(0,1-(Ayarlar!$B$2*ABS(Bitkiler!$D$19-Topraklar!$D$6)+Ayarlar!$B$3*ABS(Bitkiler!$E$19-Topraklar!$E$6)+Ayarlar!$B$4*ABS(Bitkiler!$F$19-Topraklar!$F$6)+Ayarlar!$B$5*ABS(Bitkiler!$G$19-Topraklar!$G$6)+Ayarlar!$B$6*IF(Bitkiler!$H$19=Topraklar!$H$6,0,1))/Ayarlar!$B$7)+IF(Topraklar!$K$6=Bitkiler!$C$19,0.002,IF(Topraklar!$L$6="Evet",0.001,0)))</f>
        <v/>
      </c>
      <c r="G20" s="16">
        <f>IF(OR(Topraklar!$J$7="Evet",AND(Topraklar!$L$7&lt;&gt;"Evet",Topraklar!$K$7&lt;&gt;Bitkiler!$C$19)),0,MAX(0,1-(Ayarlar!$B$2*ABS(Bitkiler!$D$19-Topraklar!$D$7)+Ayarlar!$B$3*ABS(Bitkiler!$E$19-Topraklar!$E$7)+Ayarlar!$B$4*ABS(Bitkiler!$F$19-Topraklar!$F$7)+Ayarlar!$B$5*ABS(Bitkiler!$G$19-Topraklar!$G$7)+Ayarlar!$B$6*IF(Bitkiler!$H$19=Topraklar!$H$7,0,1))/Ayarlar!$B$7)+IF(Topraklar!$K$7=Bitkiler!$C$19,0.002,IF(Topraklar!$L$7="Evet",0.001,0)))</f>
        <v/>
      </c>
      <c r="H20" s="16">
        <f>IF(OR(Topraklar!$J$8="Evet",AND(Topraklar!$L$8&lt;&gt;"Evet",Topraklar!$K$8&lt;&gt;Bitkiler!$C$19)),0,MAX(0,1-(Ayarlar!$B$2*ABS(Bitkiler!$D$19-Topraklar!$D$8)+Ayarlar!$B$3*ABS(Bitkiler!$E$19-Topraklar!$E$8)+Ayarlar!$B$4*ABS(Bitkiler!$F$19-Topraklar!$F$8)+Ayarlar!$B$5*ABS(Bitkiler!$G$19-Topraklar!$G$8)+Ayarlar!$B$6*IF(Bitkiler!$H$19=Topraklar!$H$8,0,1))/Ayarlar!$B$7)+IF(Topraklar!$K$8=Bitkiler!$C$19,0.002,IF(Topraklar!$L$8="Evet",0.001,0)))</f>
        <v/>
      </c>
      <c r="I20" s="16">
        <f>IF(OR(Topraklar!$J$9="Evet",AND(Topraklar!$L$9&lt;&gt;"Evet",Topraklar!$K$9&lt;&gt;Bitkiler!$C$19)),0,MAX(0,1-(Ayarlar!$B$2*ABS(Bitkiler!$D$19-Topraklar!$D$9)+Ayarlar!$B$3*ABS(Bitkiler!$E$19-Topraklar!$E$9)+Ayarlar!$B$4*ABS(Bitkiler!$F$19-Topraklar!$F$9)+Ayarlar!$B$5*ABS(Bitkiler!$G$19-Topraklar!$G$9)+Ayarlar!$B$6*IF(Bitkiler!$H$19=Topraklar!$H$9,0,1))/Ayarlar!$B$7)+IF(Topraklar!$K$9=Bitkiler!$C$19,0.002,IF(Topraklar!$L$9="Evet",0.001,0)))</f>
        <v/>
      </c>
      <c r="J20" s="16">
        <f>IF(OR(Topraklar!$J$10="Evet",AND(Topraklar!$L$10&lt;&gt;"Evet",Topraklar!$K$10&lt;&gt;Bitkiler!$C$19)),0,MAX(0,1-(Ayarlar!$B$2*ABS(Bitkiler!$D$19-Topraklar!$D$10)+Ayarlar!$B$3*ABS(Bitkiler!$E$19-Topraklar!$E$10)+Ayarlar!$B$4*ABS(Bitkiler!$F$19-Topraklar!$F$10)+Ayarlar!$B$5*ABS(Bitkiler!$G$19-Topraklar!$G$10)+Ayarlar!$B$6*IF(Bitkiler!$H$19=Topraklar!$H$10,0,1))/Ayarlar!$B$7)+IF(Topraklar!$K$10=Bitkiler!$C$19,0.002,IF(Topraklar!$L$10="Evet",0.001,0)))</f>
        <v/>
      </c>
      <c r="K20" s="16">
        <f>IF(OR(Topraklar!$J$11="Evet",AND(Topraklar!$L$11&lt;&gt;"Evet",Topraklar!$K$11&lt;&gt;Bitkiler!$C$19)),0,MAX(0,1-(Ayarlar!$B$2*ABS(Bitkiler!$D$19-Topraklar!$D$11)+Ayarlar!$B$3*ABS(Bitkiler!$E$19-Topraklar!$E$11)+Ayarlar!$B$4*ABS(Bitkiler!$F$19-Topraklar!$F$11)+Ayarlar!$B$5*ABS(Bitkiler!$G$19-Topraklar!$G$11)+Ayarlar!$B$6*IF(Bitkiler!$H$19=Topraklar!$H$11,0,1))/Ayarlar!$B$7)+IF(Topraklar!$K$11=Bitkiler!$C$19,0.002,IF(Topraklar!$L$11="Evet",0.001,0)))</f>
        <v/>
      </c>
      <c r="L20" s="16">
        <f>IF(OR(Topraklar!$J$12="Evet",AND(Topraklar!$L$12&lt;&gt;"Evet",Topraklar!$K$12&lt;&gt;Bitkiler!$C$19)),0,MAX(0,1-(Ayarlar!$B$2*ABS(Bitkiler!$D$19-Topraklar!$D$12)+Ayarlar!$B$3*ABS(Bitkiler!$E$19-Topraklar!$E$12)+Ayarlar!$B$4*ABS(Bitkiler!$F$19-Topraklar!$F$12)+Ayarlar!$B$5*ABS(Bitkiler!$G$19-Topraklar!$G$12)+Ayarlar!$B$6*IF(Bitkiler!$H$19=Topraklar!$H$12,0,1))/Ayarlar!$B$7)+IF(Topraklar!$K$12=Bitkiler!$C$19,0.002,IF(Topraklar!$L$12="Evet",0.001,0)))</f>
        <v/>
      </c>
      <c r="M20" s="16">
        <f>IF(OR(Topraklar!$J$13="Evet",AND(Topraklar!$L$13&lt;&gt;"Evet",Topraklar!$K$13&lt;&gt;Bitkiler!$C$19)),0,MAX(0,1-(Ayarlar!$B$2*ABS(Bitkiler!$D$19-Topraklar!$D$13)+Ayarlar!$B$3*ABS(Bitkiler!$E$19-Topraklar!$E$13)+Ayarlar!$B$4*ABS(Bitkiler!$F$19-Topraklar!$F$13)+Ayarlar!$B$5*ABS(Bitkiler!$G$19-Topraklar!$G$13)+Ayarlar!$B$6*IF(Bitkiler!$H$19=Topraklar!$H$13,0,1))/Ayarlar!$B$7)+IF(Topraklar!$K$13=Bitkiler!$C$19,0.002,IF(Topraklar!$L$13="Evet",0.001,0)))</f>
        <v/>
      </c>
      <c r="N20" s="16">
        <f>IF(OR(Topraklar!$J$14="Evet",AND(Topraklar!$L$14&lt;&gt;"Evet",Topraklar!$K$14&lt;&gt;Bitkiler!$C$19)),0,MAX(0,1-(Ayarlar!$B$2*ABS(Bitkiler!$D$19-Topraklar!$D$14)+Ayarlar!$B$3*ABS(Bitkiler!$E$19-Topraklar!$E$14)+Ayarlar!$B$4*ABS(Bitkiler!$F$19-Topraklar!$F$14)+Ayarlar!$B$5*ABS(Bitkiler!$G$19-Topraklar!$G$14)+Ayarlar!$B$6*IF(Bitkiler!$H$19=Topraklar!$H$14,0,1))/Ayarlar!$B$7)+IF(Topraklar!$K$14=Bitkiler!$C$19,0.002,IF(Topraklar!$L$14="Evet",0.001,0)))</f>
        <v/>
      </c>
      <c r="O20" s="16">
        <f>IF(OR(Topraklar!$J$15="Evet",AND(Topraklar!$L$15&lt;&gt;"Evet",Topraklar!$K$15&lt;&gt;Bitkiler!$C$19)),0,MAX(0,1-(Ayarlar!$B$2*ABS(Bitkiler!$D$19-Topraklar!$D$15)+Ayarlar!$B$3*ABS(Bitkiler!$E$19-Topraklar!$E$15)+Ayarlar!$B$4*ABS(Bitkiler!$F$19-Topraklar!$F$15)+Ayarlar!$B$5*ABS(Bitkiler!$G$19-Topraklar!$G$15)+Ayarlar!$B$6*IF(Bitkiler!$H$19=Topraklar!$H$15,0,1))/Ayarlar!$B$7)+IF(Topraklar!$K$15=Bitkiler!$C$19,0.002,IF(Topraklar!$L$15="Evet",0.001,0)))</f>
        <v/>
      </c>
      <c r="P20" s="16">
        <f>IF(OR(Topraklar!$J$16="Evet",AND(Topraklar!$L$16&lt;&gt;"Evet",Topraklar!$K$16&lt;&gt;Bitkiler!$C$19)),0,MAX(0,1-(Ayarlar!$B$2*ABS(Bitkiler!$D$19-Topraklar!$D$16)+Ayarlar!$B$3*ABS(Bitkiler!$E$19-Topraklar!$E$16)+Ayarlar!$B$4*ABS(Bitkiler!$F$19-Topraklar!$F$16)+Ayarlar!$B$5*ABS(Bitkiler!$G$19-Topraklar!$G$16)+Ayarlar!$B$6*IF(Bitkiler!$H$19=Topraklar!$H$16,0,1))/Ayarlar!$B$7)+IF(Topraklar!$K$16=Bitkiler!$C$19,0.002,IF(Topraklar!$L$16="Evet",0.001,0)))</f>
        <v/>
      </c>
      <c r="Q20" s="16">
        <f>IF(OR(Topraklar!$J$17="Evet",AND(Topraklar!$L$17&lt;&gt;"Evet",Topraklar!$K$17&lt;&gt;Bitkiler!$C$19)),0,MAX(0,1-(Ayarlar!$B$2*ABS(Bitkiler!$D$19-Topraklar!$D$17)+Ayarlar!$B$3*ABS(Bitkiler!$E$19-Topraklar!$E$17)+Ayarlar!$B$4*ABS(Bitkiler!$F$19-Topraklar!$F$17)+Ayarlar!$B$5*ABS(Bitkiler!$G$19-Topraklar!$G$17)+Ayarlar!$B$6*IF(Bitkiler!$H$19=Topraklar!$H$17,0,1))/Ayarlar!$B$7)+IF(Topraklar!$K$17=Bitkiler!$C$19,0.002,IF(Topraklar!$L$17="Evet",0.001,0)))</f>
        <v/>
      </c>
      <c r="R20" s="16">
        <f>IF(OR(Topraklar!$J$18="Evet",AND(Topraklar!$L$18&lt;&gt;"Evet",Topraklar!$K$18&lt;&gt;Bitkiler!$C$19)),0,MAX(0,1-(Ayarlar!$B$2*ABS(Bitkiler!$D$19-Topraklar!$D$18)+Ayarlar!$B$3*ABS(Bitkiler!$E$19-Topraklar!$E$18)+Ayarlar!$B$4*ABS(Bitkiler!$F$19-Topraklar!$F$18)+Ayarlar!$B$5*ABS(Bitkiler!$G$19-Topraklar!$G$18)+Ayarlar!$B$6*IF(Bitkiler!$H$19=Topraklar!$H$18,0,1))/Ayarlar!$B$7)+IF(Topraklar!$K$18=Bitkiler!$C$19,0.002,IF(Topraklar!$L$18="Evet",0.001,0)))</f>
        <v/>
      </c>
      <c r="S20" s="16">
        <f>IF(OR(Topraklar!$J$19="Evet",AND(Topraklar!$L$19&lt;&gt;"Evet",Topraklar!$K$19&lt;&gt;Bitkiler!$C$19)),0,MAX(0,1-(Ayarlar!$B$2*ABS(Bitkiler!$D$19-Topraklar!$D$19)+Ayarlar!$B$3*ABS(Bitkiler!$E$19-Topraklar!$E$19)+Ayarlar!$B$4*ABS(Bitkiler!$F$19-Topraklar!$F$19)+Ayarlar!$B$5*ABS(Bitkiler!$G$19-Topraklar!$G$19)+Ayarlar!$B$6*IF(Bitkiler!$H$19=Topraklar!$H$19,0,1))/Ayarlar!$B$7)+IF(Topraklar!$K$19=Bitkiler!$C$19,0.002,IF(Topraklar!$L$19="Evet",0.001,0)))</f>
        <v/>
      </c>
      <c r="T20" s="16">
        <f>IF(OR(Topraklar!$J$20="Evet",AND(Topraklar!$L$20&lt;&gt;"Evet",Topraklar!$K$20&lt;&gt;Bitkiler!$C$19)),0,MAX(0,1-(Ayarlar!$B$2*ABS(Bitkiler!$D$19-Topraklar!$D$20)+Ayarlar!$B$3*ABS(Bitkiler!$E$19-Topraklar!$E$20)+Ayarlar!$B$4*ABS(Bitkiler!$F$19-Topraklar!$F$20)+Ayarlar!$B$5*ABS(Bitkiler!$G$19-Topraklar!$G$20)+Ayarlar!$B$6*IF(Bitkiler!$H$19=Topraklar!$H$20,0,1))/Ayarlar!$B$7)+IF(Topraklar!$K$20=Bitkiler!$C$19,0.002,IF(Topraklar!$L$20="Evet",0.001,0)))</f>
        <v/>
      </c>
      <c r="U20" s="16">
        <f>IF(OR(Topraklar!$J$21="Evet",AND(Topraklar!$L$21&lt;&gt;"Evet",Topraklar!$K$21&lt;&gt;Bitkiler!$C$19)),0,MAX(0,1-(Ayarlar!$B$2*ABS(Bitkiler!$D$19-Topraklar!$D$21)+Ayarlar!$B$3*ABS(Bitkiler!$E$19-Topraklar!$E$21)+Ayarlar!$B$4*ABS(Bitkiler!$F$19-Topraklar!$F$21)+Ayarlar!$B$5*ABS(Bitkiler!$G$19-Topraklar!$G$21)+Ayarlar!$B$6*IF(Bitkiler!$H$19=Topraklar!$H$21,0,1))/Ayarlar!$B$7)+IF(Topraklar!$K$21=Bitkiler!$C$19,0.002,IF(Topraklar!$L$21="Evet",0.001,0)))</f>
        <v/>
      </c>
      <c r="V20" s="16">
        <f>IF(OR(Topraklar!$J$22="Evet",AND(Topraklar!$L$22&lt;&gt;"Evet",Topraklar!$K$22&lt;&gt;Bitkiler!$C$19)),0,MAX(0,1-(Ayarlar!$B$2*ABS(Bitkiler!$D$19-Topraklar!$D$22)+Ayarlar!$B$3*ABS(Bitkiler!$E$19-Topraklar!$E$22)+Ayarlar!$B$4*ABS(Bitkiler!$F$19-Topraklar!$F$22)+Ayarlar!$B$5*ABS(Bitkiler!$G$19-Topraklar!$G$22)+Ayarlar!$B$6*IF(Bitkiler!$H$19=Topraklar!$H$22,0,1))/Ayarlar!$B$7)+IF(Topraklar!$K$22=Bitkiler!$C$19,0.002,IF(Topraklar!$L$22="Evet",0.001,0)))</f>
        <v/>
      </c>
      <c r="W20" s="16">
        <f>IF(OR(Topraklar!$J$23="Evet",AND(Topraklar!$L$23&lt;&gt;"Evet",Topraklar!$K$23&lt;&gt;Bitkiler!$C$19)),0,MAX(0,1-(Ayarlar!$B$2*ABS(Bitkiler!$D$19-Topraklar!$D$23)+Ayarlar!$B$3*ABS(Bitkiler!$E$19-Topraklar!$E$23)+Ayarlar!$B$4*ABS(Bitkiler!$F$19-Topraklar!$F$23)+Ayarlar!$B$5*ABS(Bitkiler!$G$19-Topraklar!$G$23)+Ayarlar!$B$6*IF(Bitkiler!$H$19=Topraklar!$H$23,0,1))/Ayarlar!$B$7)+IF(Topraklar!$K$23=Bitkiler!$C$19,0.002,IF(Topraklar!$L$23="Evet",0.001,0)))</f>
        <v/>
      </c>
      <c r="X20" s="16">
        <f>IF(OR(Topraklar!$J$24="Evet",AND(Topraklar!$L$24&lt;&gt;"Evet",Topraklar!$K$24&lt;&gt;Bitkiler!$C$19)),0,MAX(0,1-(Ayarlar!$B$2*ABS(Bitkiler!$D$19-Topraklar!$D$24)+Ayarlar!$B$3*ABS(Bitkiler!$E$19-Topraklar!$E$24)+Ayarlar!$B$4*ABS(Bitkiler!$F$19-Topraklar!$F$24)+Ayarlar!$B$5*ABS(Bitkiler!$G$19-Topraklar!$G$24)+Ayarlar!$B$6*IF(Bitkiler!$H$19=Topraklar!$H$24,0,1))/Ayarlar!$B$7)+IF(Topraklar!$K$24=Bitkiler!$C$19,0.002,IF(Topraklar!$L$24="Evet",0.001,0)))</f>
        <v/>
      </c>
      <c r="Y20" s="16">
        <f>IF(OR(Topraklar!$J$25="Evet",AND(Topraklar!$L$25&lt;&gt;"Evet",Topraklar!$K$25&lt;&gt;Bitkiler!$C$19)),0,MAX(0,1-(Ayarlar!$B$2*ABS(Bitkiler!$D$19-Topraklar!$D$25)+Ayarlar!$B$3*ABS(Bitkiler!$E$19-Topraklar!$E$25)+Ayarlar!$B$4*ABS(Bitkiler!$F$19-Topraklar!$F$25)+Ayarlar!$B$5*ABS(Bitkiler!$G$19-Topraklar!$G$25)+Ayarlar!$B$6*IF(Bitkiler!$H$19=Topraklar!$H$25,0,1))/Ayarlar!$B$7)+IF(Topraklar!$K$25=Bitkiler!$C$19,0.002,IF(Topraklar!$L$25="Evet",0.001,0)))</f>
        <v/>
      </c>
      <c r="Z20" s="16">
        <f>IF(OR(Topraklar!$J$26="Evet",AND(Topraklar!$L$26&lt;&gt;"Evet",Topraklar!$K$26&lt;&gt;Bitkiler!$C$19)),0,MAX(0,1-(Ayarlar!$B$2*ABS(Bitkiler!$D$19-Topraklar!$D$26)+Ayarlar!$B$3*ABS(Bitkiler!$E$19-Topraklar!$E$26)+Ayarlar!$B$4*ABS(Bitkiler!$F$19-Topraklar!$F$26)+Ayarlar!$B$5*ABS(Bitkiler!$G$19-Topraklar!$G$26)+Ayarlar!$B$6*IF(Bitkiler!$H$19=Topraklar!$H$26,0,1))/Ayarlar!$B$7)+IF(Topraklar!$K$26=Bitkiler!$C$19,0.002,IF(Topraklar!$L$26="Evet",0.001,0)))</f>
        <v/>
      </c>
      <c r="AA20" s="16">
        <f>IF(OR(Topraklar!$J$27="Evet",AND(Topraklar!$L$27&lt;&gt;"Evet",Topraklar!$K$27&lt;&gt;Bitkiler!$C$19)),0,MAX(0,1-(Ayarlar!$B$2*ABS(Bitkiler!$D$19-Topraklar!$D$27)+Ayarlar!$B$3*ABS(Bitkiler!$E$19-Topraklar!$E$27)+Ayarlar!$B$4*ABS(Bitkiler!$F$19-Topraklar!$F$27)+Ayarlar!$B$5*ABS(Bitkiler!$G$19-Topraklar!$G$27)+Ayarlar!$B$6*IF(Bitkiler!$H$19=Topraklar!$H$27,0,1))/Ayarlar!$B$7)+IF(Topraklar!$K$27=Bitkiler!$C$19,0.002,IF(Topraklar!$L$27="Evet",0.001,0)))</f>
        <v/>
      </c>
      <c r="AB20" s="16">
        <f>IF(OR(Topraklar!$J$28="Evet",AND(Topraklar!$L$28&lt;&gt;"Evet",Topraklar!$K$28&lt;&gt;Bitkiler!$C$19)),0,MAX(0,1-(Ayarlar!$B$2*ABS(Bitkiler!$D$19-Topraklar!$D$28)+Ayarlar!$B$3*ABS(Bitkiler!$E$19-Topraklar!$E$28)+Ayarlar!$B$4*ABS(Bitkiler!$F$19-Topraklar!$F$28)+Ayarlar!$B$5*ABS(Bitkiler!$G$19-Topraklar!$G$28)+Ayarlar!$B$6*IF(Bitkiler!$H$19=Topraklar!$H$28,0,1))/Ayarlar!$B$7)+IF(Topraklar!$K$28=Bitkiler!$C$19,0.002,IF(Topraklar!$L$28="Evet",0.001,0)))</f>
        <v/>
      </c>
      <c r="AC20" s="16">
        <f>IF(OR(Topraklar!$J$29="Evet",AND(Topraklar!$L$29&lt;&gt;"Evet",Topraklar!$K$29&lt;&gt;Bitkiler!$C$19)),0,MAX(0,1-(Ayarlar!$B$2*ABS(Bitkiler!$D$19-Topraklar!$D$29)+Ayarlar!$B$3*ABS(Bitkiler!$E$19-Topraklar!$E$29)+Ayarlar!$B$4*ABS(Bitkiler!$F$19-Topraklar!$F$29)+Ayarlar!$B$5*ABS(Bitkiler!$G$19-Topraklar!$G$29)+Ayarlar!$B$6*IF(Bitkiler!$H$19=Topraklar!$H$29,0,1))/Ayarlar!$B$7)+IF(Topraklar!$K$29=Bitkiler!$C$19,0.002,IF(Topraklar!$L$29="Evet",0.001,0)))</f>
        <v/>
      </c>
      <c r="AD20" s="16">
        <f>IF(OR(Topraklar!$J$30="Evet",AND(Topraklar!$L$30&lt;&gt;"Evet",Topraklar!$K$30&lt;&gt;Bitkiler!$C$19)),0,MAX(0,1-(Ayarlar!$B$2*ABS(Bitkiler!$D$19-Topraklar!$D$30)+Ayarlar!$B$3*ABS(Bitkiler!$E$19-Topraklar!$E$30)+Ayarlar!$B$4*ABS(Bitkiler!$F$19-Topraklar!$F$30)+Ayarlar!$B$5*ABS(Bitkiler!$G$19-Topraklar!$G$30)+Ayarlar!$B$6*IF(Bitkiler!$H$19=Topraklar!$H$30,0,1))/Ayarlar!$B$7)+IF(Topraklar!$K$30=Bitkiler!$C$19,0.002,IF(Topraklar!$L$30="Evet",0.001,0)))</f>
        <v/>
      </c>
      <c r="AE20" s="16">
        <f>IF(OR(Topraklar!$J$31="Evet",AND(Topraklar!$L$31&lt;&gt;"Evet",Topraklar!$K$31&lt;&gt;Bitkiler!$C$19)),0,MAX(0,1-(Ayarlar!$B$2*ABS(Bitkiler!$D$19-Topraklar!$D$31)+Ayarlar!$B$3*ABS(Bitkiler!$E$19-Topraklar!$E$31)+Ayarlar!$B$4*ABS(Bitkiler!$F$19-Topraklar!$F$31)+Ayarlar!$B$5*ABS(Bitkiler!$G$19-Topraklar!$G$31)+Ayarlar!$B$6*IF(Bitkiler!$H$19=Topraklar!$H$31,0,1))/Ayarlar!$B$7)+IF(Topraklar!$K$31=Bitkiler!$C$19,0.002,IF(Topraklar!$L$31="Evet",0.001,0)))</f>
        <v/>
      </c>
      <c r="AF20" s="16">
        <f>IF(OR(Topraklar!$J$32="Evet",AND(Topraklar!$L$32&lt;&gt;"Evet",Topraklar!$K$32&lt;&gt;Bitkiler!$C$19)),0,MAX(0,1-(Ayarlar!$B$2*ABS(Bitkiler!$D$19-Topraklar!$D$32)+Ayarlar!$B$3*ABS(Bitkiler!$E$19-Topraklar!$E$32)+Ayarlar!$B$4*ABS(Bitkiler!$F$19-Topraklar!$F$32)+Ayarlar!$B$5*ABS(Bitkiler!$G$19-Topraklar!$G$32)+Ayarlar!$B$6*IF(Bitkiler!$H$19=Topraklar!$H$32,0,1))/Ayarlar!$B$7)+IF(Topraklar!$K$32=Bitkiler!$C$19,0.002,IF(Topraklar!$L$32="Evet",0.001,0)))</f>
        <v/>
      </c>
      <c r="AG20" s="16">
        <f>IF(OR(Topraklar!$J$33="Evet",AND(Topraklar!$L$33&lt;&gt;"Evet",Topraklar!$K$33&lt;&gt;Bitkiler!$C$19)),0,MAX(0,1-(Ayarlar!$B$2*ABS(Bitkiler!$D$19-Topraklar!$D$33)+Ayarlar!$B$3*ABS(Bitkiler!$E$19-Topraklar!$E$33)+Ayarlar!$B$4*ABS(Bitkiler!$F$19-Topraklar!$F$33)+Ayarlar!$B$5*ABS(Bitkiler!$G$19-Topraklar!$G$33)+Ayarlar!$B$6*IF(Bitkiler!$H$19=Topraklar!$H$33,0,1))/Ayarlar!$B$7)+IF(Topraklar!$K$33=Bitkiler!$C$19,0.002,IF(Topraklar!$L$33="Evet",0.001,0)))</f>
        <v/>
      </c>
      <c r="AH20" s="16">
        <f>IF(OR(Topraklar!$J$34="Evet",AND(Topraklar!$L$34&lt;&gt;"Evet",Topraklar!$K$34&lt;&gt;Bitkiler!$C$19)),0,MAX(0,1-(Ayarlar!$B$2*ABS(Bitkiler!$D$19-Topraklar!$D$34)+Ayarlar!$B$3*ABS(Bitkiler!$E$19-Topraklar!$E$34)+Ayarlar!$B$4*ABS(Bitkiler!$F$19-Topraklar!$F$34)+Ayarlar!$B$5*ABS(Bitkiler!$G$19-Topraklar!$G$34)+Ayarlar!$B$6*IF(Bitkiler!$H$19=Topraklar!$H$34,0,1))/Ayarlar!$B$7)+IF(Topraklar!$K$34=Bitkiler!$C$19,0.002,IF(Topraklar!$L$34="Evet",0.001,0)))</f>
        <v/>
      </c>
      <c r="AI20" s="16">
        <f>IF(OR(Topraklar!$J$35="Evet",AND(Topraklar!$L$35&lt;&gt;"Evet",Topraklar!$K$35&lt;&gt;Bitkiler!$C$19)),0,MAX(0,1-(Ayarlar!$B$2*ABS(Bitkiler!$D$19-Topraklar!$D$35)+Ayarlar!$B$3*ABS(Bitkiler!$E$19-Topraklar!$E$35)+Ayarlar!$B$4*ABS(Bitkiler!$F$19-Topraklar!$F$35)+Ayarlar!$B$5*ABS(Bitkiler!$G$19-Topraklar!$G$35)+Ayarlar!$B$6*IF(Bitkiler!$H$19=Topraklar!$H$35,0,1))/Ayarlar!$B$7)+IF(Topraklar!$K$35=Bitkiler!$C$19,0.002,IF(Topraklar!$L$35="Evet",0.001,0)))</f>
        <v/>
      </c>
      <c r="AJ20" s="16">
        <f>IF(OR(Topraklar!$J$36="Evet",AND(Topraklar!$L$36&lt;&gt;"Evet",Topraklar!$K$36&lt;&gt;Bitkiler!$C$19)),0,MAX(0,1-(Ayarlar!$B$2*ABS(Bitkiler!$D$19-Topraklar!$D$36)+Ayarlar!$B$3*ABS(Bitkiler!$E$19-Topraklar!$E$36)+Ayarlar!$B$4*ABS(Bitkiler!$F$19-Topraklar!$F$36)+Ayarlar!$B$5*ABS(Bitkiler!$G$19-Topraklar!$G$36)+Ayarlar!$B$6*IF(Bitkiler!$H$19=Topraklar!$H$36,0,1))/Ayarlar!$B$7)+IF(Topraklar!$K$36=Bitkiler!$C$19,0.002,IF(Topraklar!$L$36="Evet",0.001,0)))</f>
        <v/>
      </c>
      <c r="AK20" s="16">
        <f>IF(OR(Topraklar!$J$37="Evet",AND(Topraklar!$L$37&lt;&gt;"Evet",Topraklar!$K$37&lt;&gt;Bitkiler!$C$19)),0,MAX(0,1-(Ayarlar!$B$2*ABS(Bitkiler!$D$19-Topraklar!$D$37)+Ayarlar!$B$3*ABS(Bitkiler!$E$19-Topraklar!$E$37)+Ayarlar!$B$4*ABS(Bitkiler!$F$19-Topraklar!$F$37)+Ayarlar!$B$5*ABS(Bitkiler!$G$19-Topraklar!$G$37)+Ayarlar!$B$6*IF(Bitkiler!$H$19=Topraklar!$H$37,0,1))/Ayarlar!$B$7)+IF(Topraklar!$K$37=Bitkiler!$C$19,0.002,IF(Topraklar!$L$37="Evet",0.001,0)))</f>
        <v/>
      </c>
      <c r="AL20" s="16">
        <f>IF(OR(Topraklar!$J$38="Evet",AND(Topraklar!$L$38&lt;&gt;"Evet",Topraklar!$K$38&lt;&gt;Bitkiler!$C$19)),0,MAX(0,1-(Ayarlar!$B$2*ABS(Bitkiler!$D$19-Topraklar!$D$38)+Ayarlar!$B$3*ABS(Bitkiler!$E$19-Topraklar!$E$38)+Ayarlar!$B$4*ABS(Bitkiler!$F$19-Topraklar!$F$38)+Ayarlar!$B$5*ABS(Bitkiler!$G$19-Topraklar!$G$38)+Ayarlar!$B$6*IF(Bitkiler!$H$19=Topraklar!$H$38,0,1))/Ayarlar!$B$7)+IF(Topraklar!$K$38=Bitkiler!$C$19,0.002,IF(Topraklar!$L$38="Evet",0.001,0)))</f>
        <v/>
      </c>
      <c r="AM20" s="16">
        <f>IF(OR(Topraklar!$J$39="Evet",AND(Topraklar!$L$39&lt;&gt;"Evet",Topraklar!$K$39&lt;&gt;Bitkiler!$C$19)),0,MAX(0,1-(Ayarlar!$B$2*ABS(Bitkiler!$D$19-Topraklar!$D$39)+Ayarlar!$B$3*ABS(Bitkiler!$E$19-Topraklar!$E$39)+Ayarlar!$B$4*ABS(Bitkiler!$F$19-Topraklar!$F$39)+Ayarlar!$B$5*ABS(Bitkiler!$G$19-Topraklar!$G$39)+Ayarlar!$B$6*IF(Bitkiler!$H$19=Topraklar!$H$39,0,1))/Ayarlar!$B$7)+IF(Topraklar!$K$39=Bitkiler!$C$19,0.002,IF(Topraklar!$L$39="Evet",0.001,0)))</f>
        <v/>
      </c>
      <c r="AN20" s="16">
        <f>IF(OR(Topraklar!$J$40="Evet",AND(Topraklar!$L$40&lt;&gt;"Evet",Topraklar!$K$40&lt;&gt;Bitkiler!$C$19)),0,MAX(0,1-(Ayarlar!$B$2*ABS(Bitkiler!$D$19-Topraklar!$D$40)+Ayarlar!$B$3*ABS(Bitkiler!$E$19-Topraklar!$E$40)+Ayarlar!$B$4*ABS(Bitkiler!$F$19-Topraklar!$F$40)+Ayarlar!$B$5*ABS(Bitkiler!$G$19-Topraklar!$G$40)+Ayarlar!$B$6*IF(Bitkiler!$H$19=Topraklar!$H$40,0,1))/Ayarlar!$B$7)+IF(Topraklar!$K$40=Bitkiler!$C$19,0.002,IF(Topraklar!$L$40="Evet",0.001,0)))</f>
        <v/>
      </c>
      <c r="AO20" s="16">
        <f>IF(OR(Topraklar!$J$41="Evet",AND(Topraklar!$L$41&lt;&gt;"Evet",Topraklar!$K$41&lt;&gt;Bitkiler!$C$19)),0,MAX(0,1-(Ayarlar!$B$2*ABS(Bitkiler!$D$19-Topraklar!$D$41)+Ayarlar!$B$3*ABS(Bitkiler!$E$19-Topraklar!$E$41)+Ayarlar!$B$4*ABS(Bitkiler!$F$19-Topraklar!$F$41)+Ayarlar!$B$5*ABS(Bitkiler!$G$19-Topraklar!$G$41)+Ayarlar!$B$6*IF(Bitkiler!$H$19=Topraklar!$H$41,0,1))/Ayarlar!$B$7)+IF(Topraklar!$K$41=Bitkiler!$C$19,0.002,IF(Topraklar!$L$41="Evet",0.001,0)))</f>
        <v/>
      </c>
      <c r="AP20" s="16">
        <f>IF(OR(Topraklar!$J$42="Evet",AND(Topraklar!$L$42&lt;&gt;"Evet",Topraklar!$K$42&lt;&gt;Bitkiler!$C$19)),0,MAX(0,1-(Ayarlar!$B$2*ABS(Bitkiler!$D$19-Topraklar!$D$42)+Ayarlar!$B$3*ABS(Bitkiler!$E$19-Topraklar!$E$42)+Ayarlar!$B$4*ABS(Bitkiler!$F$19-Topraklar!$F$42)+Ayarlar!$B$5*ABS(Bitkiler!$G$19-Topraklar!$G$42)+Ayarlar!$B$6*IF(Bitkiler!$H$19=Topraklar!$H$42,0,1))/Ayarlar!$B$7)+IF(Topraklar!$K$42=Bitkiler!$C$19,0.002,IF(Topraklar!$L$42="Evet",0.001,0)))</f>
        <v/>
      </c>
      <c r="AQ20" s="16">
        <f>IF(OR(Topraklar!$J$43="Evet",AND(Topraklar!$L$43&lt;&gt;"Evet",Topraklar!$K$43&lt;&gt;Bitkiler!$C$19)),0,MAX(0,1-(Ayarlar!$B$2*ABS(Bitkiler!$D$19-Topraklar!$D$43)+Ayarlar!$B$3*ABS(Bitkiler!$E$19-Topraklar!$E$43)+Ayarlar!$B$4*ABS(Bitkiler!$F$19-Topraklar!$F$43)+Ayarlar!$B$5*ABS(Bitkiler!$G$19-Topraklar!$G$43)+Ayarlar!$B$6*IF(Bitkiler!$H$19=Topraklar!$H$43,0,1))/Ayarlar!$B$7)+IF(Topraklar!$K$43=Bitkiler!$C$19,0.002,IF(Topraklar!$L$43="Evet",0.001,0)))</f>
        <v/>
      </c>
      <c r="AR20" s="16">
        <f>IF(OR(Topraklar!$J$44="Evet",AND(Topraklar!$L$44&lt;&gt;"Evet",Topraklar!$K$44&lt;&gt;Bitkiler!$C$19)),0,MAX(0,1-(Ayarlar!$B$2*ABS(Bitkiler!$D$19-Topraklar!$D$44)+Ayarlar!$B$3*ABS(Bitkiler!$E$19-Topraklar!$E$44)+Ayarlar!$B$4*ABS(Bitkiler!$F$19-Topraklar!$F$44)+Ayarlar!$B$5*ABS(Bitkiler!$G$19-Topraklar!$G$44)+Ayarlar!$B$6*IF(Bitkiler!$H$19=Topraklar!$H$44,0,1))/Ayarlar!$B$7)+IF(Topraklar!$K$44=Bitkiler!$C$19,0.002,IF(Topraklar!$L$44="Evet",0.001,0)))</f>
        <v/>
      </c>
      <c r="AS20" s="16">
        <f>IF(OR(Topraklar!$J$45="Evet",AND(Topraklar!$L$45&lt;&gt;"Evet",Topraklar!$K$45&lt;&gt;Bitkiler!$C$19)),0,MAX(0,1-(Ayarlar!$B$2*ABS(Bitkiler!$D$19-Topraklar!$D$45)+Ayarlar!$B$3*ABS(Bitkiler!$E$19-Topraklar!$E$45)+Ayarlar!$B$4*ABS(Bitkiler!$F$19-Topraklar!$F$45)+Ayarlar!$B$5*ABS(Bitkiler!$G$19-Topraklar!$G$45)+Ayarlar!$B$6*IF(Bitkiler!$H$19=Topraklar!$H$45,0,1))/Ayarlar!$B$7)+IF(Topraklar!$K$45=Bitkiler!$C$19,0.002,IF(Topraklar!$L$45="Evet",0.001,0)))</f>
        <v/>
      </c>
      <c r="AT20" s="16">
        <f>IF(OR(Topraklar!$J$46="Evet",AND(Topraklar!$L$46&lt;&gt;"Evet",Topraklar!$K$46&lt;&gt;Bitkiler!$C$19)),0,MAX(0,1-(Ayarlar!$B$2*ABS(Bitkiler!$D$19-Topraklar!$D$46)+Ayarlar!$B$3*ABS(Bitkiler!$E$19-Topraklar!$E$46)+Ayarlar!$B$4*ABS(Bitkiler!$F$19-Topraklar!$F$46)+Ayarlar!$B$5*ABS(Bitkiler!$G$19-Topraklar!$G$46)+Ayarlar!$B$6*IF(Bitkiler!$H$19=Topraklar!$H$46,0,1))/Ayarlar!$B$7)+IF(Topraklar!$K$46=Bitkiler!$C$19,0.002,IF(Topraklar!$L$46="Evet",0.001,0)))</f>
        <v/>
      </c>
      <c r="AU20" s="16">
        <f>IF(OR(Topraklar!$J$47="Evet",AND(Topraklar!$L$47&lt;&gt;"Evet",Topraklar!$K$47&lt;&gt;Bitkiler!$C$19)),0,MAX(0,1-(Ayarlar!$B$2*ABS(Bitkiler!$D$19-Topraklar!$D$47)+Ayarlar!$B$3*ABS(Bitkiler!$E$19-Topraklar!$E$47)+Ayarlar!$B$4*ABS(Bitkiler!$F$19-Topraklar!$F$47)+Ayarlar!$B$5*ABS(Bitkiler!$G$19-Topraklar!$G$47)+Ayarlar!$B$6*IF(Bitkiler!$H$19=Topraklar!$H$47,0,1))/Ayarlar!$B$7)+IF(Topraklar!$K$47=Bitkiler!$C$19,0.002,IF(Topraklar!$L$47="Evet",0.001,0)))</f>
        <v/>
      </c>
      <c r="AV20" s="16">
        <f>IF(OR(Topraklar!$J$48="Evet",AND(Topraklar!$L$48&lt;&gt;"Evet",Topraklar!$K$48&lt;&gt;Bitkiler!$C$19)),0,MAX(0,1-(Ayarlar!$B$2*ABS(Bitkiler!$D$19-Topraklar!$D$48)+Ayarlar!$B$3*ABS(Bitkiler!$E$19-Topraklar!$E$48)+Ayarlar!$B$4*ABS(Bitkiler!$F$19-Topraklar!$F$48)+Ayarlar!$B$5*ABS(Bitkiler!$G$19-Topraklar!$G$48)+Ayarlar!$B$6*IF(Bitkiler!$H$19=Topraklar!$H$48,0,1))/Ayarlar!$B$7)+IF(Topraklar!$K$48=Bitkiler!$C$19,0.002,IF(Topraklar!$L$48="Evet",0.001,0)))</f>
        <v/>
      </c>
      <c r="AW20" s="16">
        <f>IF(OR(Topraklar!$J$49="Evet",AND(Topraklar!$L$49&lt;&gt;"Evet",Topraklar!$K$49&lt;&gt;Bitkiler!$C$19)),0,MAX(0,1-(Ayarlar!$B$2*ABS(Bitkiler!$D$19-Topraklar!$D$49)+Ayarlar!$B$3*ABS(Bitkiler!$E$19-Topraklar!$E$49)+Ayarlar!$B$4*ABS(Bitkiler!$F$19-Topraklar!$F$49)+Ayarlar!$B$5*ABS(Bitkiler!$G$19-Topraklar!$G$49)+Ayarlar!$B$6*IF(Bitkiler!$H$19=Topraklar!$H$49,0,1))/Ayarlar!$B$7)+IF(Topraklar!$K$49=Bitkiler!$C$19,0.002,IF(Topraklar!$L$49="Evet",0.001,0)))</f>
        <v/>
      </c>
      <c r="AX20" s="16">
        <f>IF(OR(Topraklar!$J$50="Evet",AND(Topraklar!$L$50&lt;&gt;"Evet",Topraklar!$K$50&lt;&gt;Bitkiler!$C$19)),0,MAX(0,1-(Ayarlar!$B$2*ABS(Bitkiler!$D$19-Topraklar!$D$50)+Ayarlar!$B$3*ABS(Bitkiler!$E$19-Topraklar!$E$50)+Ayarlar!$B$4*ABS(Bitkiler!$F$19-Topraklar!$F$50)+Ayarlar!$B$5*ABS(Bitkiler!$G$19-Topraklar!$G$50)+Ayarlar!$B$6*IF(Bitkiler!$H$19=Topraklar!$H$50,0,1))/Ayarlar!$B$7)+IF(Topraklar!$K$50=Bitkiler!$C$19,0.002,IF(Topraklar!$L$50="Evet",0.001,0)))</f>
        <v/>
      </c>
      <c r="AY20" s="16">
        <f>IF(OR(Topraklar!$J$51="Evet",AND(Topraklar!$L$51&lt;&gt;"Evet",Topraklar!$K$51&lt;&gt;Bitkiler!$C$19)),0,MAX(0,1-(Ayarlar!$B$2*ABS(Bitkiler!$D$19-Topraklar!$D$51)+Ayarlar!$B$3*ABS(Bitkiler!$E$19-Topraklar!$E$51)+Ayarlar!$B$4*ABS(Bitkiler!$F$19-Topraklar!$F$51)+Ayarlar!$B$5*ABS(Bitkiler!$G$19-Topraklar!$G$51)+Ayarlar!$B$6*IF(Bitkiler!$H$19=Topraklar!$H$51,0,1))/Ayarlar!$B$7)+IF(Topraklar!$K$51=Bitkiler!$C$19,0.002,IF(Topraklar!$L$51="Evet",0.001,0)))</f>
        <v/>
      </c>
    </row>
    <row r="21">
      <c r="A21" s="15">
        <f>Bitkiler!A20</f>
        <v/>
      </c>
      <c r="B21" s="16">
        <f>IF(OR(Topraklar!$J$2="Evet",AND(Topraklar!$L$2&lt;&gt;"Evet",Topraklar!$K$2&lt;&gt;Bitkiler!$C$20)),0,MAX(0,1-(Ayarlar!$B$2*ABS(Bitkiler!$D$20-Topraklar!$D$2)+Ayarlar!$B$3*ABS(Bitkiler!$E$20-Topraklar!$E$2)+Ayarlar!$B$4*ABS(Bitkiler!$F$20-Topraklar!$F$2)+Ayarlar!$B$5*ABS(Bitkiler!$G$20-Topraklar!$G$2)+Ayarlar!$B$6*IF(Bitkiler!$H$20=Topraklar!$H$2,0,1))/Ayarlar!$B$7)+IF(Topraklar!$K$2=Bitkiler!$C$20,0.002,IF(Topraklar!$L$2="Evet",0.001,0)))</f>
        <v/>
      </c>
      <c r="C21" s="16">
        <f>IF(OR(Topraklar!$J$3="Evet",AND(Topraklar!$L$3&lt;&gt;"Evet",Topraklar!$K$3&lt;&gt;Bitkiler!$C$20)),0,MAX(0,1-(Ayarlar!$B$2*ABS(Bitkiler!$D$20-Topraklar!$D$3)+Ayarlar!$B$3*ABS(Bitkiler!$E$20-Topraklar!$E$3)+Ayarlar!$B$4*ABS(Bitkiler!$F$20-Topraklar!$F$3)+Ayarlar!$B$5*ABS(Bitkiler!$G$20-Topraklar!$G$3)+Ayarlar!$B$6*IF(Bitkiler!$H$20=Topraklar!$H$3,0,1))/Ayarlar!$B$7)+IF(Topraklar!$K$3=Bitkiler!$C$20,0.002,IF(Topraklar!$L$3="Evet",0.001,0)))</f>
        <v/>
      </c>
      <c r="D21" s="16">
        <f>IF(OR(Topraklar!$J$4="Evet",AND(Topraklar!$L$4&lt;&gt;"Evet",Topraklar!$K$4&lt;&gt;Bitkiler!$C$20)),0,MAX(0,1-(Ayarlar!$B$2*ABS(Bitkiler!$D$20-Topraklar!$D$4)+Ayarlar!$B$3*ABS(Bitkiler!$E$20-Topraklar!$E$4)+Ayarlar!$B$4*ABS(Bitkiler!$F$20-Topraklar!$F$4)+Ayarlar!$B$5*ABS(Bitkiler!$G$20-Topraklar!$G$4)+Ayarlar!$B$6*IF(Bitkiler!$H$20=Topraklar!$H$4,0,1))/Ayarlar!$B$7)+IF(Topraklar!$K$4=Bitkiler!$C$20,0.002,IF(Topraklar!$L$4="Evet",0.001,0)))</f>
        <v/>
      </c>
      <c r="E21" s="16">
        <f>IF(OR(Topraklar!$J$5="Evet",AND(Topraklar!$L$5&lt;&gt;"Evet",Topraklar!$K$5&lt;&gt;Bitkiler!$C$20)),0,MAX(0,1-(Ayarlar!$B$2*ABS(Bitkiler!$D$20-Topraklar!$D$5)+Ayarlar!$B$3*ABS(Bitkiler!$E$20-Topraklar!$E$5)+Ayarlar!$B$4*ABS(Bitkiler!$F$20-Topraklar!$F$5)+Ayarlar!$B$5*ABS(Bitkiler!$G$20-Topraklar!$G$5)+Ayarlar!$B$6*IF(Bitkiler!$H$20=Topraklar!$H$5,0,1))/Ayarlar!$B$7)+IF(Topraklar!$K$5=Bitkiler!$C$20,0.002,IF(Topraklar!$L$5="Evet",0.001,0)))</f>
        <v/>
      </c>
      <c r="F21" s="16">
        <f>IF(OR(Topraklar!$J$6="Evet",AND(Topraklar!$L$6&lt;&gt;"Evet",Topraklar!$K$6&lt;&gt;Bitkiler!$C$20)),0,MAX(0,1-(Ayarlar!$B$2*ABS(Bitkiler!$D$20-Topraklar!$D$6)+Ayarlar!$B$3*ABS(Bitkiler!$E$20-Topraklar!$E$6)+Ayarlar!$B$4*ABS(Bitkiler!$F$20-Topraklar!$F$6)+Ayarlar!$B$5*ABS(Bitkiler!$G$20-Topraklar!$G$6)+Ayarlar!$B$6*IF(Bitkiler!$H$20=Topraklar!$H$6,0,1))/Ayarlar!$B$7)+IF(Topraklar!$K$6=Bitkiler!$C$20,0.002,IF(Topraklar!$L$6="Evet",0.001,0)))</f>
        <v/>
      </c>
      <c r="G21" s="16">
        <f>IF(OR(Topraklar!$J$7="Evet",AND(Topraklar!$L$7&lt;&gt;"Evet",Topraklar!$K$7&lt;&gt;Bitkiler!$C$20)),0,MAX(0,1-(Ayarlar!$B$2*ABS(Bitkiler!$D$20-Topraklar!$D$7)+Ayarlar!$B$3*ABS(Bitkiler!$E$20-Topraklar!$E$7)+Ayarlar!$B$4*ABS(Bitkiler!$F$20-Topraklar!$F$7)+Ayarlar!$B$5*ABS(Bitkiler!$G$20-Topraklar!$G$7)+Ayarlar!$B$6*IF(Bitkiler!$H$20=Topraklar!$H$7,0,1))/Ayarlar!$B$7)+IF(Topraklar!$K$7=Bitkiler!$C$20,0.002,IF(Topraklar!$L$7="Evet",0.001,0)))</f>
        <v/>
      </c>
      <c r="H21" s="16">
        <f>IF(OR(Topraklar!$J$8="Evet",AND(Topraklar!$L$8&lt;&gt;"Evet",Topraklar!$K$8&lt;&gt;Bitkiler!$C$20)),0,MAX(0,1-(Ayarlar!$B$2*ABS(Bitkiler!$D$20-Topraklar!$D$8)+Ayarlar!$B$3*ABS(Bitkiler!$E$20-Topraklar!$E$8)+Ayarlar!$B$4*ABS(Bitkiler!$F$20-Topraklar!$F$8)+Ayarlar!$B$5*ABS(Bitkiler!$G$20-Topraklar!$G$8)+Ayarlar!$B$6*IF(Bitkiler!$H$20=Topraklar!$H$8,0,1))/Ayarlar!$B$7)+IF(Topraklar!$K$8=Bitkiler!$C$20,0.002,IF(Topraklar!$L$8="Evet",0.001,0)))</f>
        <v/>
      </c>
      <c r="I21" s="16">
        <f>IF(OR(Topraklar!$J$9="Evet",AND(Topraklar!$L$9&lt;&gt;"Evet",Topraklar!$K$9&lt;&gt;Bitkiler!$C$20)),0,MAX(0,1-(Ayarlar!$B$2*ABS(Bitkiler!$D$20-Topraklar!$D$9)+Ayarlar!$B$3*ABS(Bitkiler!$E$20-Topraklar!$E$9)+Ayarlar!$B$4*ABS(Bitkiler!$F$20-Topraklar!$F$9)+Ayarlar!$B$5*ABS(Bitkiler!$G$20-Topraklar!$G$9)+Ayarlar!$B$6*IF(Bitkiler!$H$20=Topraklar!$H$9,0,1))/Ayarlar!$B$7)+IF(Topraklar!$K$9=Bitkiler!$C$20,0.002,IF(Topraklar!$L$9="Evet",0.001,0)))</f>
        <v/>
      </c>
      <c r="J21" s="16">
        <f>IF(OR(Topraklar!$J$10="Evet",AND(Topraklar!$L$10&lt;&gt;"Evet",Topraklar!$K$10&lt;&gt;Bitkiler!$C$20)),0,MAX(0,1-(Ayarlar!$B$2*ABS(Bitkiler!$D$20-Topraklar!$D$10)+Ayarlar!$B$3*ABS(Bitkiler!$E$20-Topraklar!$E$10)+Ayarlar!$B$4*ABS(Bitkiler!$F$20-Topraklar!$F$10)+Ayarlar!$B$5*ABS(Bitkiler!$G$20-Topraklar!$G$10)+Ayarlar!$B$6*IF(Bitkiler!$H$20=Topraklar!$H$10,0,1))/Ayarlar!$B$7)+IF(Topraklar!$K$10=Bitkiler!$C$20,0.002,IF(Topraklar!$L$10="Evet",0.001,0)))</f>
        <v/>
      </c>
      <c r="K21" s="16">
        <f>IF(OR(Topraklar!$J$11="Evet",AND(Topraklar!$L$11&lt;&gt;"Evet",Topraklar!$K$11&lt;&gt;Bitkiler!$C$20)),0,MAX(0,1-(Ayarlar!$B$2*ABS(Bitkiler!$D$20-Topraklar!$D$11)+Ayarlar!$B$3*ABS(Bitkiler!$E$20-Topraklar!$E$11)+Ayarlar!$B$4*ABS(Bitkiler!$F$20-Topraklar!$F$11)+Ayarlar!$B$5*ABS(Bitkiler!$G$20-Topraklar!$G$11)+Ayarlar!$B$6*IF(Bitkiler!$H$20=Topraklar!$H$11,0,1))/Ayarlar!$B$7)+IF(Topraklar!$K$11=Bitkiler!$C$20,0.002,IF(Topraklar!$L$11="Evet",0.001,0)))</f>
        <v/>
      </c>
      <c r="L21" s="16">
        <f>IF(OR(Topraklar!$J$12="Evet",AND(Topraklar!$L$12&lt;&gt;"Evet",Topraklar!$K$12&lt;&gt;Bitkiler!$C$20)),0,MAX(0,1-(Ayarlar!$B$2*ABS(Bitkiler!$D$20-Topraklar!$D$12)+Ayarlar!$B$3*ABS(Bitkiler!$E$20-Topraklar!$E$12)+Ayarlar!$B$4*ABS(Bitkiler!$F$20-Topraklar!$F$12)+Ayarlar!$B$5*ABS(Bitkiler!$G$20-Topraklar!$G$12)+Ayarlar!$B$6*IF(Bitkiler!$H$20=Topraklar!$H$12,0,1))/Ayarlar!$B$7)+IF(Topraklar!$K$12=Bitkiler!$C$20,0.002,IF(Topraklar!$L$12="Evet",0.001,0)))</f>
        <v/>
      </c>
      <c r="M21" s="16">
        <f>IF(OR(Topraklar!$J$13="Evet",AND(Topraklar!$L$13&lt;&gt;"Evet",Topraklar!$K$13&lt;&gt;Bitkiler!$C$20)),0,MAX(0,1-(Ayarlar!$B$2*ABS(Bitkiler!$D$20-Topraklar!$D$13)+Ayarlar!$B$3*ABS(Bitkiler!$E$20-Topraklar!$E$13)+Ayarlar!$B$4*ABS(Bitkiler!$F$20-Topraklar!$F$13)+Ayarlar!$B$5*ABS(Bitkiler!$G$20-Topraklar!$G$13)+Ayarlar!$B$6*IF(Bitkiler!$H$20=Topraklar!$H$13,0,1))/Ayarlar!$B$7)+IF(Topraklar!$K$13=Bitkiler!$C$20,0.002,IF(Topraklar!$L$13="Evet",0.001,0)))</f>
        <v/>
      </c>
      <c r="N21" s="16">
        <f>IF(OR(Topraklar!$J$14="Evet",AND(Topraklar!$L$14&lt;&gt;"Evet",Topraklar!$K$14&lt;&gt;Bitkiler!$C$20)),0,MAX(0,1-(Ayarlar!$B$2*ABS(Bitkiler!$D$20-Topraklar!$D$14)+Ayarlar!$B$3*ABS(Bitkiler!$E$20-Topraklar!$E$14)+Ayarlar!$B$4*ABS(Bitkiler!$F$20-Topraklar!$F$14)+Ayarlar!$B$5*ABS(Bitkiler!$G$20-Topraklar!$G$14)+Ayarlar!$B$6*IF(Bitkiler!$H$20=Topraklar!$H$14,0,1))/Ayarlar!$B$7)+IF(Topraklar!$K$14=Bitkiler!$C$20,0.002,IF(Topraklar!$L$14="Evet",0.001,0)))</f>
        <v/>
      </c>
      <c r="O21" s="16">
        <f>IF(OR(Topraklar!$J$15="Evet",AND(Topraklar!$L$15&lt;&gt;"Evet",Topraklar!$K$15&lt;&gt;Bitkiler!$C$20)),0,MAX(0,1-(Ayarlar!$B$2*ABS(Bitkiler!$D$20-Topraklar!$D$15)+Ayarlar!$B$3*ABS(Bitkiler!$E$20-Topraklar!$E$15)+Ayarlar!$B$4*ABS(Bitkiler!$F$20-Topraklar!$F$15)+Ayarlar!$B$5*ABS(Bitkiler!$G$20-Topraklar!$G$15)+Ayarlar!$B$6*IF(Bitkiler!$H$20=Topraklar!$H$15,0,1))/Ayarlar!$B$7)+IF(Topraklar!$K$15=Bitkiler!$C$20,0.002,IF(Topraklar!$L$15="Evet",0.001,0)))</f>
        <v/>
      </c>
      <c r="P21" s="16">
        <f>IF(OR(Topraklar!$J$16="Evet",AND(Topraklar!$L$16&lt;&gt;"Evet",Topraklar!$K$16&lt;&gt;Bitkiler!$C$20)),0,MAX(0,1-(Ayarlar!$B$2*ABS(Bitkiler!$D$20-Topraklar!$D$16)+Ayarlar!$B$3*ABS(Bitkiler!$E$20-Topraklar!$E$16)+Ayarlar!$B$4*ABS(Bitkiler!$F$20-Topraklar!$F$16)+Ayarlar!$B$5*ABS(Bitkiler!$G$20-Topraklar!$G$16)+Ayarlar!$B$6*IF(Bitkiler!$H$20=Topraklar!$H$16,0,1))/Ayarlar!$B$7)+IF(Topraklar!$K$16=Bitkiler!$C$20,0.002,IF(Topraklar!$L$16="Evet",0.001,0)))</f>
        <v/>
      </c>
      <c r="Q21" s="16">
        <f>IF(OR(Topraklar!$J$17="Evet",AND(Topraklar!$L$17&lt;&gt;"Evet",Topraklar!$K$17&lt;&gt;Bitkiler!$C$20)),0,MAX(0,1-(Ayarlar!$B$2*ABS(Bitkiler!$D$20-Topraklar!$D$17)+Ayarlar!$B$3*ABS(Bitkiler!$E$20-Topraklar!$E$17)+Ayarlar!$B$4*ABS(Bitkiler!$F$20-Topraklar!$F$17)+Ayarlar!$B$5*ABS(Bitkiler!$G$20-Topraklar!$G$17)+Ayarlar!$B$6*IF(Bitkiler!$H$20=Topraklar!$H$17,0,1))/Ayarlar!$B$7)+IF(Topraklar!$K$17=Bitkiler!$C$20,0.002,IF(Topraklar!$L$17="Evet",0.001,0)))</f>
        <v/>
      </c>
      <c r="R21" s="16">
        <f>IF(OR(Topraklar!$J$18="Evet",AND(Topraklar!$L$18&lt;&gt;"Evet",Topraklar!$K$18&lt;&gt;Bitkiler!$C$20)),0,MAX(0,1-(Ayarlar!$B$2*ABS(Bitkiler!$D$20-Topraklar!$D$18)+Ayarlar!$B$3*ABS(Bitkiler!$E$20-Topraklar!$E$18)+Ayarlar!$B$4*ABS(Bitkiler!$F$20-Topraklar!$F$18)+Ayarlar!$B$5*ABS(Bitkiler!$G$20-Topraklar!$G$18)+Ayarlar!$B$6*IF(Bitkiler!$H$20=Topraklar!$H$18,0,1))/Ayarlar!$B$7)+IF(Topraklar!$K$18=Bitkiler!$C$20,0.002,IF(Topraklar!$L$18="Evet",0.001,0)))</f>
        <v/>
      </c>
      <c r="S21" s="16">
        <f>IF(OR(Topraklar!$J$19="Evet",AND(Topraklar!$L$19&lt;&gt;"Evet",Topraklar!$K$19&lt;&gt;Bitkiler!$C$20)),0,MAX(0,1-(Ayarlar!$B$2*ABS(Bitkiler!$D$20-Topraklar!$D$19)+Ayarlar!$B$3*ABS(Bitkiler!$E$20-Topraklar!$E$19)+Ayarlar!$B$4*ABS(Bitkiler!$F$20-Topraklar!$F$19)+Ayarlar!$B$5*ABS(Bitkiler!$G$20-Topraklar!$G$19)+Ayarlar!$B$6*IF(Bitkiler!$H$20=Topraklar!$H$19,0,1))/Ayarlar!$B$7)+IF(Topraklar!$K$19=Bitkiler!$C$20,0.002,IF(Topraklar!$L$19="Evet",0.001,0)))</f>
        <v/>
      </c>
      <c r="T21" s="16">
        <f>IF(OR(Topraklar!$J$20="Evet",AND(Topraklar!$L$20&lt;&gt;"Evet",Topraklar!$K$20&lt;&gt;Bitkiler!$C$20)),0,MAX(0,1-(Ayarlar!$B$2*ABS(Bitkiler!$D$20-Topraklar!$D$20)+Ayarlar!$B$3*ABS(Bitkiler!$E$20-Topraklar!$E$20)+Ayarlar!$B$4*ABS(Bitkiler!$F$20-Topraklar!$F$20)+Ayarlar!$B$5*ABS(Bitkiler!$G$20-Topraklar!$G$20)+Ayarlar!$B$6*IF(Bitkiler!$H$20=Topraklar!$H$20,0,1))/Ayarlar!$B$7)+IF(Topraklar!$K$20=Bitkiler!$C$20,0.002,IF(Topraklar!$L$20="Evet",0.001,0)))</f>
        <v/>
      </c>
      <c r="U21" s="16">
        <f>IF(OR(Topraklar!$J$21="Evet",AND(Topraklar!$L$21&lt;&gt;"Evet",Topraklar!$K$21&lt;&gt;Bitkiler!$C$20)),0,MAX(0,1-(Ayarlar!$B$2*ABS(Bitkiler!$D$20-Topraklar!$D$21)+Ayarlar!$B$3*ABS(Bitkiler!$E$20-Topraklar!$E$21)+Ayarlar!$B$4*ABS(Bitkiler!$F$20-Topraklar!$F$21)+Ayarlar!$B$5*ABS(Bitkiler!$G$20-Topraklar!$G$21)+Ayarlar!$B$6*IF(Bitkiler!$H$20=Topraklar!$H$21,0,1))/Ayarlar!$B$7)+IF(Topraklar!$K$21=Bitkiler!$C$20,0.002,IF(Topraklar!$L$21="Evet",0.001,0)))</f>
        <v/>
      </c>
      <c r="V21" s="16">
        <f>IF(OR(Topraklar!$J$22="Evet",AND(Topraklar!$L$22&lt;&gt;"Evet",Topraklar!$K$22&lt;&gt;Bitkiler!$C$20)),0,MAX(0,1-(Ayarlar!$B$2*ABS(Bitkiler!$D$20-Topraklar!$D$22)+Ayarlar!$B$3*ABS(Bitkiler!$E$20-Topraklar!$E$22)+Ayarlar!$B$4*ABS(Bitkiler!$F$20-Topraklar!$F$22)+Ayarlar!$B$5*ABS(Bitkiler!$G$20-Topraklar!$G$22)+Ayarlar!$B$6*IF(Bitkiler!$H$20=Topraklar!$H$22,0,1))/Ayarlar!$B$7)+IF(Topraklar!$K$22=Bitkiler!$C$20,0.002,IF(Topraklar!$L$22="Evet",0.001,0)))</f>
        <v/>
      </c>
      <c r="W21" s="16">
        <f>IF(OR(Topraklar!$J$23="Evet",AND(Topraklar!$L$23&lt;&gt;"Evet",Topraklar!$K$23&lt;&gt;Bitkiler!$C$20)),0,MAX(0,1-(Ayarlar!$B$2*ABS(Bitkiler!$D$20-Topraklar!$D$23)+Ayarlar!$B$3*ABS(Bitkiler!$E$20-Topraklar!$E$23)+Ayarlar!$B$4*ABS(Bitkiler!$F$20-Topraklar!$F$23)+Ayarlar!$B$5*ABS(Bitkiler!$G$20-Topraklar!$G$23)+Ayarlar!$B$6*IF(Bitkiler!$H$20=Topraklar!$H$23,0,1))/Ayarlar!$B$7)+IF(Topraklar!$K$23=Bitkiler!$C$20,0.002,IF(Topraklar!$L$23="Evet",0.001,0)))</f>
        <v/>
      </c>
      <c r="X21" s="16">
        <f>IF(OR(Topraklar!$J$24="Evet",AND(Topraklar!$L$24&lt;&gt;"Evet",Topraklar!$K$24&lt;&gt;Bitkiler!$C$20)),0,MAX(0,1-(Ayarlar!$B$2*ABS(Bitkiler!$D$20-Topraklar!$D$24)+Ayarlar!$B$3*ABS(Bitkiler!$E$20-Topraklar!$E$24)+Ayarlar!$B$4*ABS(Bitkiler!$F$20-Topraklar!$F$24)+Ayarlar!$B$5*ABS(Bitkiler!$G$20-Topraklar!$G$24)+Ayarlar!$B$6*IF(Bitkiler!$H$20=Topraklar!$H$24,0,1))/Ayarlar!$B$7)+IF(Topraklar!$K$24=Bitkiler!$C$20,0.002,IF(Topraklar!$L$24="Evet",0.001,0)))</f>
        <v/>
      </c>
      <c r="Y21" s="16">
        <f>IF(OR(Topraklar!$J$25="Evet",AND(Topraklar!$L$25&lt;&gt;"Evet",Topraklar!$K$25&lt;&gt;Bitkiler!$C$20)),0,MAX(0,1-(Ayarlar!$B$2*ABS(Bitkiler!$D$20-Topraklar!$D$25)+Ayarlar!$B$3*ABS(Bitkiler!$E$20-Topraklar!$E$25)+Ayarlar!$B$4*ABS(Bitkiler!$F$20-Topraklar!$F$25)+Ayarlar!$B$5*ABS(Bitkiler!$G$20-Topraklar!$G$25)+Ayarlar!$B$6*IF(Bitkiler!$H$20=Topraklar!$H$25,0,1))/Ayarlar!$B$7)+IF(Topraklar!$K$25=Bitkiler!$C$20,0.002,IF(Topraklar!$L$25="Evet",0.001,0)))</f>
        <v/>
      </c>
      <c r="Z21" s="16">
        <f>IF(OR(Topraklar!$J$26="Evet",AND(Topraklar!$L$26&lt;&gt;"Evet",Topraklar!$K$26&lt;&gt;Bitkiler!$C$20)),0,MAX(0,1-(Ayarlar!$B$2*ABS(Bitkiler!$D$20-Topraklar!$D$26)+Ayarlar!$B$3*ABS(Bitkiler!$E$20-Topraklar!$E$26)+Ayarlar!$B$4*ABS(Bitkiler!$F$20-Topraklar!$F$26)+Ayarlar!$B$5*ABS(Bitkiler!$G$20-Topraklar!$G$26)+Ayarlar!$B$6*IF(Bitkiler!$H$20=Topraklar!$H$26,0,1))/Ayarlar!$B$7)+IF(Topraklar!$K$26=Bitkiler!$C$20,0.002,IF(Topraklar!$L$26="Evet",0.001,0)))</f>
        <v/>
      </c>
      <c r="AA21" s="16">
        <f>IF(OR(Topraklar!$J$27="Evet",AND(Topraklar!$L$27&lt;&gt;"Evet",Topraklar!$K$27&lt;&gt;Bitkiler!$C$20)),0,MAX(0,1-(Ayarlar!$B$2*ABS(Bitkiler!$D$20-Topraklar!$D$27)+Ayarlar!$B$3*ABS(Bitkiler!$E$20-Topraklar!$E$27)+Ayarlar!$B$4*ABS(Bitkiler!$F$20-Topraklar!$F$27)+Ayarlar!$B$5*ABS(Bitkiler!$G$20-Topraklar!$G$27)+Ayarlar!$B$6*IF(Bitkiler!$H$20=Topraklar!$H$27,0,1))/Ayarlar!$B$7)+IF(Topraklar!$K$27=Bitkiler!$C$20,0.002,IF(Topraklar!$L$27="Evet",0.001,0)))</f>
        <v/>
      </c>
      <c r="AB21" s="16">
        <f>IF(OR(Topraklar!$J$28="Evet",AND(Topraklar!$L$28&lt;&gt;"Evet",Topraklar!$K$28&lt;&gt;Bitkiler!$C$20)),0,MAX(0,1-(Ayarlar!$B$2*ABS(Bitkiler!$D$20-Topraklar!$D$28)+Ayarlar!$B$3*ABS(Bitkiler!$E$20-Topraklar!$E$28)+Ayarlar!$B$4*ABS(Bitkiler!$F$20-Topraklar!$F$28)+Ayarlar!$B$5*ABS(Bitkiler!$G$20-Topraklar!$G$28)+Ayarlar!$B$6*IF(Bitkiler!$H$20=Topraklar!$H$28,0,1))/Ayarlar!$B$7)+IF(Topraklar!$K$28=Bitkiler!$C$20,0.002,IF(Topraklar!$L$28="Evet",0.001,0)))</f>
        <v/>
      </c>
      <c r="AC21" s="16">
        <f>IF(OR(Topraklar!$J$29="Evet",AND(Topraklar!$L$29&lt;&gt;"Evet",Topraklar!$K$29&lt;&gt;Bitkiler!$C$20)),0,MAX(0,1-(Ayarlar!$B$2*ABS(Bitkiler!$D$20-Topraklar!$D$29)+Ayarlar!$B$3*ABS(Bitkiler!$E$20-Topraklar!$E$29)+Ayarlar!$B$4*ABS(Bitkiler!$F$20-Topraklar!$F$29)+Ayarlar!$B$5*ABS(Bitkiler!$G$20-Topraklar!$G$29)+Ayarlar!$B$6*IF(Bitkiler!$H$20=Topraklar!$H$29,0,1))/Ayarlar!$B$7)+IF(Topraklar!$K$29=Bitkiler!$C$20,0.002,IF(Topraklar!$L$29="Evet",0.001,0)))</f>
        <v/>
      </c>
      <c r="AD21" s="16">
        <f>IF(OR(Topraklar!$J$30="Evet",AND(Topraklar!$L$30&lt;&gt;"Evet",Topraklar!$K$30&lt;&gt;Bitkiler!$C$20)),0,MAX(0,1-(Ayarlar!$B$2*ABS(Bitkiler!$D$20-Topraklar!$D$30)+Ayarlar!$B$3*ABS(Bitkiler!$E$20-Topraklar!$E$30)+Ayarlar!$B$4*ABS(Bitkiler!$F$20-Topraklar!$F$30)+Ayarlar!$B$5*ABS(Bitkiler!$G$20-Topraklar!$G$30)+Ayarlar!$B$6*IF(Bitkiler!$H$20=Topraklar!$H$30,0,1))/Ayarlar!$B$7)+IF(Topraklar!$K$30=Bitkiler!$C$20,0.002,IF(Topraklar!$L$30="Evet",0.001,0)))</f>
        <v/>
      </c>
      <c r="AE21" s="16">
        <f>IF(OR(Topraklar!$J$31="Evet",AND(Topraklar!$L$31&lt;&gt;"Evet",Topraklar!$K$31&lt;&gt;Bitkiler!$C$20)),0,MAX(0,1-(Ayarlar!$B$2*ABS(Bitkiler!$D$20-Topraklar!$D$31)+Ayarlar!$B$3*ABS(Bitkiler!$E$20-Topraklar!$E$31)+Ayarlar!$B$4*ABS(Bitkiler!$F$20-Topraklar!$F$31)+Ayarlar!$B$5*ABS(Bitkiler!$G$20-Topraklar!$G$31)+Ayarlar!$B$6*IF(Bitkiler!$H$20=Topraklar!$H$31,0,1))/Ayarlar!$B$7)+IF(Topraklar!$K$31=Bitkiler!$C$20,0.002,IF(Topraklar!$L$31="Evet",0.001,0)))</f>
        <v/>
      </c>
      <c r="AF21" s="16">
        <f>IF(OR(Topraklar!$J$32="Evet",AND(Topraklar!$L$32&lt;&gt;"Evet",Topraklar!$K$32&lt;&gt;Bitkiler!$C$20)),0,MAX(0,1-(Ayarlar!$B$2*ABS(Bitkiler!$D$20-Topraklar!$D$32)+Ayarlar!$B$3*ABS(Bitkiler!$E$20-Topraklar!$E$32)+Ayarlar!$B$4*ABS(Bitkiler!$F$20-Topraklar!$F$32)+Ayarlar!$B$5*ABS(Bitkiler!$G$20-Topraklar!$G$32)+Ayarlar!$B$6*IF(Bitkiler!$H$20=Topraklar!$H$32,0,1))/Ayarlar!$B$7)+IF(Topraklar!$K$32=Bitkiler!$C$20,0.002,IF(Topraklar!$L$32="Evet",0.001,0)))</f>
        <v/>
      </c>
      <c r="AG21" s="16">
        <f>IF(OR(Topraklar!$J$33="Evet",AND(Topraklar!$L$33&lt;&gt;"Evet",Topraklar!$K$33&lt;&gt;Bitkiler!$C$20)),0,MAX(0,1-(Ayarlar!$B$2*ABS(Bitkiler!$D$20-Topraklar!$D$33)+Ayarlar!$B$3*ABS(Bitkiler!$E$20-Topraklar!$E$33)+Ayarlar!$B$4*ABS(Bitkiler!$F$20-Topraklar!$F$33)+Ayarlar!$B$5*ABS(Bitkiler!$G$20-Topraklar!$G$33)+Ayarlar!$B$6*IF(Bitkiler!$H$20=Topraklar!$H$33,0,1))/Ayarlar!$B$7)+IF(Topraklar!$K$33=Bitkiler!$C$20,0.002,IF(Topraklar!$L$33="Evet",0.001,0)))</f>
        <v/>
      </c>
      <c r="AH21" s="16">
        <f>IF(OR(Topraklar!$J$34="Evet",AND(Topraklar!$L$34&lt;&gt;"Evet",Topraklar!$K$34&lt;&gt;Bitkiler!$C$20)),0,MAX(0,1-(Ayarlar!$B$2*ABS(Bitkiler!$D$20-Topraklar!$D$34)+Ayarlar!$B$3*ABS(Bitkiler!$E$20-Topraklar!$E$34)+Ayarlar!$B$4*ABS(Bitkiler!$F$20-Topraklar!$F$34)+Ayarlar!$B$5*ABS(Bitkiler!$G$20-Topraklar!$G$34)+Ayarlar!$B$6*IF(Bitkiler!$H$20=Topraklar!$H$34,0,1))/Ayarlar!$B$7)+IF(Topraklar!$K$34=Bitkiler!$C$20,0.002,IF(Topraklar!$L$34="Evet",0.001,0)))</f>
        <v/>
      </c>
      <c r="AI21" s="16">
        <f>IF(OR(Topraklar!$J$35="Evet",AND(Topraklar!$L$35&lt;&gt;"Evet",Topraklar!$K$35&lt;&gt;Bitkiler!$C$20)),0,MAX(0,1-(Ayarlar!$B$2*ABS(Bitkiler!$D$20-Topraklar!$D$35)+Ayarlar!$B$3*ABS(Bitkiler!$E$20-Topraklar!$E$35)+Ayarlar!$B$4*ABS(Bitkiler!$F$20-Topraklar!$F$35)+Ayarlar!$B$5*ABS(Bitkiler!$G$20-Topraklar!$G$35)+Ayarlar!$B$6*IF(Bitkiler!$H$20=Topraklar!$H$35,0,1))/Ayarlar!$B$7)+IF(Topraklar!$K$35=Bitkiler!$C$20,0.002,IF(Topraklar!$L$35="Evet",0.001,0)))</f>
        <v/>
      </c>
      <c r="AJ21" s="16">
        <f>IF(OR(Topraklar!$J$36="Evet",AND(Topraklar!$L$36&lt;&gt;"Evet",Topraklar!$K$36&lt;&gt;Bitkiler!$C$20)),0,MAX(0,1-(Ayarlar!$B$2*ABS(Bitkiler!$D$20-Topraklar!$D$36)+Ayarlar!$B$3*ABS(Bitkiler!$E$20-Topraklar!$E$36)+Ayarlar!$B$4*ABS(Bitkiler!$F$20-Topraklar!$F$36)+Ayarlar!$B$5*ABS(Bitkiler!$G$20-Topraklar!$G$36)+Ayarlar!$B$6*IF(Bitkiler!$H$20=Topraklar!$H$36,0,1))/Ayarlar!$B$7)+IF(Topraklar!$K$36=Bitkiler!$C$20,0.002,IF(Topraklar!$L$36="Evet",0.001,0)))</f>
        <v/>
      </c>
      <c r="AK21" s="16">
        <f>IF(OR(Topraklar!$J$37="Evet",AND(Topraklar!$L$37&lt;&gt;"Evet",Topraklar!$K$37&lt;&gt;Bitkiler!$C$20)),0,MAX(0,1-(Ayarlar!$B$2*ABS(Bitkiler!$D$20-Topraklar!$D$37)+Ayarlar!$B$3*ABS(Bitkiler!$E$20-Topraklar!$E$37)+Ayarlar!$B$4*ABS(Bitkiler!$F$20-Topraklar!$F$37)+Ayarlar!$B$5*ABS(Bitkiler!$G$20-Topraklar!$G$37)+Ayarlar!$B$6*IF(Bitkiler!$H$20=Topraklar!$H$37,0,1))/Ayarlar!$B$7)+IF(Topraklar!$K$37=Bitkiler!$C$20,0.002,IF(Topraklar!$L$37="Evet",0.001,0)))</f>
        <v/>
      </c>
      <c r="AL21" s="16">
        <f>IF(OR(Topraklar!$J$38="Evet",AND(Topraklar!$L$38&lt;&gt;"Evet",Topraklar!$K$38&lt;&gt;Bitkiler!$C$20)),0,MAX(0,1-(Ayarlar!$B$2*ABS(Bitkiler!$D$20-Topraklar!$D$38)+Ayarlar!$B$3*ABS(Bitkiler!$E$20-Topraklar!$E$38)+Ayarlar!$B$4*ABS(Bitkiler!$F$20-Topraklar!$F$38)+Ayarlar!$B$5*ABS(Bitkiler!$G$20-Topraklar!$G$38)+Ayarlar!$B$6*IF(Bitkiler!$H$20=Topraklar!$H$38,0,1))/Ayarlar!$B$7)+IF(Topraklar!$K$38=Bitkiler!$C$20,0.002,IF(Topraklar!$L$38="Evet",0.001,0)))</f>
        <v/>
      </c>
      <c r="AM21" s="16">
        <f>IF(OR(Topraklar!$J$39="Evet",AND(Topraklar!$L$39&lt;&gt;"Evet",Topraklar!$K$39&lt;&gt;Bitkiler!$C$20)),0,MAX(0,1-(Ayarlar!$B$2*ABS(Bitkiler!$D$20-Topraklar!$D$39)+Ayarlar!$B$3*ABS(Bitkiler!$E$20-Topraklar!$E$39)+Ayarlar!$B$4*ABS(Bitkiler!$F$20-Topraklar!$F$39)+Ayarlar!$B$5*ABS(Bitkiler!$G$20-Topraklar!$G$39)+Ayarlar!$B$6*IF(Bitkiler!$H$20=Topraklar!$H$39,0,1))/Ayarlar!$B$7)+IF(Topraklar!$K$39=Bitkiler!$C$20,0.002,IF(Topraklar!$L$39="Evet",0.001,0)))</f>
        <v/>
      </c>
      <c r="AN21" s="16">
        <f>IF(OR(Topraklar!$J$40="Evet",AND(Topraklar!$L$40&lt;&gt;"Evet",Topraklar!$K$40&lt;&gt;Bitkiler!$C$20)),0,MAX(0,1-(Ayarlar!$B$2*ABS(Bitkiler!$D$20-Topraklar!$D$40)+Ayarlar!$B$3*ABS(Bitkiler!$E$20-Topraklar!$E$40)+Ayarlar!$B$4*ABS(Bitkiler!$F$20-Topraklar!$F$40)+Ayarlar!$B$5*ABS(Bitkiler!$G$20-Topraklar!$G$40)+Ayarlar!$B$6*IF(Bitkiler!$H$20=Topraklar!$H$40,0,1))/Ayarlar!$B$7)+IF(Topraklar!$K$40=Bitkiler!$C$20,0.002,IF(Topraklar!$L$40="Evet",0.001,0)))</f>
        <v/>
      </c>
      <c r="AO21" s="16">
        <f>IF(OR(Topraklar!$J$41="Evet",AND(Topraklar!$L$41&lt;&gt;"Evet",Topraklar!$K$41&lt;&gt;Bitkiler!$C$20)),0,MAX(0,1-(Ayarlar!$B$2*ABS(Bitkiler!$D$20-Topraklar!$D$41)+Ayarlar!$B$3*ABS(Bitkiler!$E$20-Topraklar!$E$41)+Ayarlar!$B$4*ABS(Bitkiler!$F$20-Topraklar!$F$41)+Ayarlar!$B$5*ABS(Bitkiler!$G$20-Topraklar!$G$41)+Ayarlar!$B$6*IF(Bitkiler!$H$20=Topraklar!$H$41,0,1))/Ayarlar!$B$7)+IF(Topraklar!$K$41=Bitkiler!$C$20,0.002,IF(Topraklar!$L$41="Evet",0.001,0)))</f>
        <v/>
      </c>
      <c r="AP21" s="16">
        <f>IF(OR(Topraklar!$J$42="Evet",AND(Topraklar!$L$42&lt;&gt;"Evet",Topraklar!$K$42&lt;&gt;Bitkiler!$C$20)),0,MAX(0,1-(Ayarlar!$B$2*ABS(Bitkiler!$D$20-Topraklar!$D$42)+Ayarlar!$B$3*ABS(Bitkiler!$E$20-Topraklar!$E$42)+Ayarlar!$B$4*ABS(Bitkiler!$F$20-Topraklar!$F$42)+Ayarlar!$B$5*ABS(Bitkiler!$G$20-Topraklar!$G$42)+Ayarlar!$B$6*IF(Bitkiler!$H$20=Topraklar!$H$42,0,1))/Ayarlar!$B$7)+IF(Topraklar!$K$42=Bitkiler!$C$20,0.002,IF(Topraklar!$L$42="Evet",0.001,0)))</f>
        <v/>
      </c>
      <c r="AQ21" s="16">
        <f>IF(OR(Topraklar!$J$43="Evet",AND(Topraklar!$L$43&lt;&gt;"Evet",Topraklar!$K$43&lt;&gt;Bitkiler!$C$20)),0,MAX(0,1-(Ayarlar!$B$2*ABS(Bitkiler!$D$20-Topraklar!$D$43)+Ayarlar!$B$3*ABS(Bitkiler!$E$20-Topraklar!$E$43)+Ayarlar!$B$4*ABS(Bitkiler!$F$20-Topraklar!$F$43)+Ayarlar!$B$5*ABS(Bitkiler!$G$20-Topraklar!$G$43)+Ayarlar!$B$6*IF(Bitkiler!$H$20=Topraklar!$H$43,0,1))/Ayarlar!$B$7)+IF(Topraklar!$K$43=Bitkiler!$C$20,0.002,IF(Topraklar!$L$43="Evet",0.001,0)))</f>
        <v/>
      </c>
      <c r="AR21" s="16">
        <f>IF(OR(Topraklar!$J$44="Evet",AND(Topraklar!$L$44&lt;&gt;"Evet",Topraklar!$K$44&lt;&gt;Bitkiler!$C$20)),0,MAX(0,1-(Ayarlar!$B$2*ABS(Bitkiler!$D$20-Topraklar!$D$44)+Ayarlar!$B$3*ABS(Bitkiler!$E$20-Topraklar!$E$44)+Ayarlar!$B$4*ABS(Bitkiler!$F$20-Topraklar!$F$44)+Ayarlar!$B$5*ABS(Bitkiler!$G$20-Topraklar!$G$44)+Ayarlar!$B$6*IF(Bitkiler!$H$20=Topraklar!$H$44,0,1))/Ayarlar!$B$7)+IF(Topraklar!$K$44=Bitkiler!$C$20,0.002,IF(Topraklar!$L$44="Evet",0.001,0)))</f>
        <v/>
      </c>
      <c r="AS21" s="16">
        <f>IF(OR(Topraklar!$J$45="Evet",AND(Topraklar!$L$45&lt;&gt;"Evet",Topraklar!$K$45&lt;&gt;Bitkiler!$C$20)),0,MAX(0,1-(Ayarlar!$B$2*ABS(Bitkiler!$D$20-Topraklar!$D$45)+Ayarlar!$B$3*ABS(Bitkiler!$E$20-Topraklar!$E$45)+Ayarlar!$B$4*ABS(Bitkiler!$F$20-Topraklar!$F$45)+Ayarlar!$B$5*ABS(Bitkiler!$G$20-Topraklar!$G$45)+Ayarlar!$B$6*IF(Bitkiler!$H$20=Topraklar!$H$45,0,1))/Ayarlar!$B$7)+IF(Topraklar!$K$45=Bitkiler!$C$20,0.002,IF(Topraklar!$L$45="Evet",0.001,0)))</f>
        <v/>
      </c>
      <c r="AT21" s="16">
        <f>IF(OR(Topraklar!$J$46="Evet",AND(Topraklar!$L$46&lt;&gt;"Evet",Topraklar!$K$46&lt;&gt;Bitkiler!$C$20)),0,MAX(0,1-(Ayarlar!$B$2*ABS(Bitkiler!$D$20-Topraklar!$D$46)+Ayarlar!$B$3*ABS(Bitkiler!$E$20-Topraklar!$E$46)+Ayarlar!$B$4*ABS(Bitkiler!$F$20-Topraklar!$F$46)+Ayarlar!$B$5*ABS(Bitkiler!$G$20-Topraklar!$G$46)+Ayarlar!$B$6*IF(Bitkiler!$H$20=Topraklar!$H$46,0,1))/Ayarlar!$B$7)+IF(Topraklar!$K$46=Bitkiler!$C$20,0.002,IF(Topraklar!$L$46="Evet",0.001,0)))</f>
        <v/>
      </c>
      <c r="AU21" s="16">
        <f>IF(OR(Topraklar!$J$47="Evet",AND(Topraklar!$L$47&lt;&gt;"Evet",Topraklar!$K$47&lt;&gt;Bitkiler!$C$20)),0,MAX(0,1-(Ayarlar!$B$2*ABS(Bitkiler!$D$20-Topraklar!$D$47)+Ayarlar!$B$3*ABS(Bitkiler!$E$20-Topraklar!$E$47)+Ayarlar!$B$4*ABS(Bitkiler!$F$20-Topraklar!$F$47)+Ayarlar!$B$5*ABS(Bitkiler!$G$20-Topraklar!$G$47)+Ayarlar!$B$6*IF(Bitkiler!$H$20=Topraklar!$H$47,0,1))/Ayarlar!$B$7)+IF(Topraklar!$K$47=Bitkiler!$C$20,0.002,IF(Topraklar!$L$47="Evet",0.001,0)))</f>
        <v/>
      </c>
      <c r="AV21" s="16">
        <f>IF(OR(Topraklar!$J$48="Evet",AND(Topraklar!$L$48&lt;&gt;"Evet",Topraklar!$K$48&lt;&gt;Bitkiler!$C$20)),0,MAX(0,1-(Ayarlar!$B$2*ABS(Bitkiler!$D$20-Topraklar!$D$48)+Ayarlar!$B$3*ABS(Bitkiler!$E$20-Topraklar!$E$48)+Ayarlar!$B$4*ABS(Bitkiler!$F$20-Topraklar!$F$48)+Ayarlar!$B$5*ABS(Bitkiler!$G$20-Topraklar!$G$48)+Ayarlar!$B$6*IF(Bitkiler!$H$20=Topraklar!$H$48,0,1))/Ayarlar!$B$7)+IF(Topraklar!$K$48=Bitkiler!$C$20,0.002,IF(Topraklar!$L$48="Evet",0.001,0)))</f>
        <v/>
      </c>
      <c r="AW21" s="16">
        <f>IF(OR(Topraklar!$J$49="Evet",AND(Topraklar!$L$49&lt;&gt;"Evet",Topraklar!$K$49&lt;&gt;Bitkiler!$C$20)),0,MAX(0,1-(Ayarlar!$B$2*ABS(Bitkiler!$D$20-Topraklar!$D$49)+Ayarlar!$B$3*ABS(Bitkiler!$E$20-Topraklar!$E$49)+Ayarlar!$B$4*ABS(Bitkiler!$F$20-Topraklar!$F$49)+Ayarlar!$B$5*ABS(Bitkiler!$G$20-Topraklar!$G$49)+Ayarlar!$B$6*IF(Bitkiler!$H$20=Topraklar!$H$49,0,1))/Ayarlar!$B$7)+IF(Topraklar!$K$49=Bitkiler!$C$20,0.002,IF(Topraklar!$L$49="Evet",0.001,0)))</f>
        <v/>
      </c>
      <c r="AX21" s="16">
        <f>IF(OR(Topraklar!$J$50="Evet",AND(Topraklar!$L$50&lt;&gt;"Evet",Topraklar!$K$50&lt;&gt;Bitkiler!$C$20)),0,MAX(0,1-(Ayarlar!$B$2*ABS(Bitkiler!$D$20-Topraklar!$D$50)+Ayarlar!$B$3*ABS(Bitkiler!$E$20-Topraklar!$E$50)+Ayarlar!$B$4*ABS(Bitkiler!$F$20-Topraklar!$F$50)+Ayarlar!$B$5*ABS(Bitkiler!$G$20-Topraklar!$G$50)+Ayarlar!$B$6*IF(Bitkiler!$H$20=Topraklar!$H$50,0,1))/Ayarlar!$B$7)+IF(Topraklar!$K$50=Bitkiler!$C$20,0.002,IF(Topraklar!$L$50="Evet",0.001,0)))</f>
        <v/>
      </c>
      <c r="AY21" s="16">
        <f>IF(OR(Topraklar!$J$51="Evet",AND(Topraklar!$L$51&lt;&gt;"Evet",Topraklar!$K$51&lt;&gt;Bitkiler!$C$20)),0,MAX(0,1-(Ayarlar!$B$2*ABS(Bitkiler!$D$20-Topraklar!$D$51)+Ayarlar!$B$3*ABS(Bitkiler!$E$20-Topraklar!$E$51)+Ayarlar!$B$4*ABS(Bitkiler!$F$20-Topraklar!$F$51)+Ayarlar!$B$5*ABS(Bitkiler!$G$20-Topraklar!$G$51)+Ayarlar!$B$6*IF(Bitkiler!$H$20=Topraklar!$H$51,0,1))/Ayarlar!$B$7)+IF(Topraklar!$K$51=Bitkiler!$C$20,0.002,IF(Topraklar!$L$51="Evet",0.001,0)))</f>
        <v/>
      </c>
    </row>
    <row r="22">
      <c r="A22" s="15">
        <f>Bitkiler!A21</f>
        <v/>
      </c>
      <c r="B22" s="16">
        <f>IF(OR(Topraklar!$J$2="Evet",AND(Topraklar!$L$2&lt;&gt;"Evet",Topraklar!$K$2&lt;&gt;Bitkiler!$C$21)),0,MAX(0,1-(Ayarlar!$B$2*ABS(Bitkiler!$D$21-Topraklar!$D$2)+Ayarlar!$B$3*ABS(Bitkiler!$E$21-Topraklar!$E$2)+Ayarlar!$B$4*ABS(Bitkiler!$F$21-Topraklar!$F$2)+Ayarlar!$B$5*ABS(Bitkiler!$G$21-Topraklar!$G$2)+Ayarlar!$B$6*IF(Bitkiler!$H$21=Topraklar!$H$2,0,1))/Ayarlar!$B$7)+IF(Topraklar!$K$2=Bitkiler!$C$21,0.002,IF(Topraklar!$L$2="Evet",0.001,0)))</f>
        <v/>
      </c>
      <c r="C22" s="16">
        <f>IF(OR(Topraklar!$J$3="Evet",AND(Topraklar!$L$3&lt;&gt;"Evet",Topraklar!$K$3&lt;&gt;Bitkiler!$C$21)),0,MAX(0,1-(Ayarlar!$B$2*ABS(Bitkiler!$D$21-Topraklar!$D$3)+Ayarlar!$B$3*ABS(Bitkiler!$E$21-Topraklar!$E$3)+Ayarlar!$B$4*ABS(Bitkiler!$F$21-Topraklar!$F$3)+Ayarlar!$B$5*ABS(Bitkiler!$G$21-Topraklar!$G$3)+Ayarlar!$B$6*IF(Bitkiler!$H$21=Topraklar!$H$3,0,1))/Ayarlar!$B$7)+IF(Topraklar!$K$3=Bitkiler!$C$21,0.002,IF(Topraklar!$L$3="Evet",0.001,0)))</f>
        <v/>
      </c>
      <c r="D22" s="16">
        <f>IF(OR(Topraklar!$J$4="Evet",AND(Topraklar!$L$4&lt;&gt;"Evet",Topraklar!$K$4&lt;&gt;Bitkiler!$C$21)),0,MAX(0,1-(Ayarlar!$B$2*ABS(Bitkiler!$D$21-Topraklar!$D$4)+Ayarlar!$B$3*ABS(Bitkiler!$E$21-Topraklar!$E$4)+Ayarlar!$B$4*ABS(Bitkiler!$F$21-Topraklar!$F$4)+Ayarlar!$B$5*ABS(Bitkiler!$G$21-Topraklar!$G$4)+Ayarlar!$B$6*IF(Bitkiler!$H$21=Topraklar!$H$4,0,1))/Ayarlar!$B$7)+IF(Topraklar!$K$4=Bitkiler!$C$21,0.002,IF(Topraklar!$L$4="Evet",0.001,0)))</f>
        <v/>
      </c>
      <c r="E22" s="16">
        <f>IF(OR(Topraklar!$J$5="Evet",AND(Topraklar!$L$5&lt;&gt;"Evet",Topraklar!$K$5&lt;&gt;Bitkiler!$C$21)),0,MAX(0,1-(Ayarlar!$B$2*ABS(Bitkiler!$D$21-Topraklar!$D$5)+Ayarlar!$B$3*ABS(Bitkiler!$E$21-Topraklar!$E$5)+Ayarlar!$B$4*ABS(Bitkiler!$F$21-Topraklar!$F$5)+Ayarlar!$B$5*ABS(Bitkiler!$G$21-Topraklar!$G$5)+Ayarlar!$B$6*IF(Bitkiler!$H$21=Topraklar!$H$5,0,1))/Ayarlar!$B$7)+IF(Topraklar!$K$5=Bitkiler!$C$21,0.002,IF(Topraklar!$L$5="Evet",0.001,0)))</f>
        <v/>
      </c>
      <c r="F22" s="16">
        <f>IF(OR(Topraklar!$J$6="Evet",AND(Topraklar!$L$6&lt;&gt;"Evet",Topraklar!$K$6&lt;&gt;Bitkiler!$C$21)),0,MAX(0,1-(Ayarlar!$B$2*ABS(Bitkiler!$D$21-Topraklar!$D$6)+Ayarlar!$B$3*ABS(Bitkiler!$E$21-Topraklar!$E$6)+Ayarlar!$B$4*ABS(Bitkiler!$F$21-Topraklar!$F$6)+Ayarlar!$B$5*ABS(Bitkiler!$G$21-Topraklar!$G$6)+Ayarlar!$B$6*IF(Bitkiler!$H$21=Topraklar!$H$6,0,1))/Ayarlar!$B$7)+IF(Topraklar!$K$6=Bitkiler!$C$21,0.002,IF(Topraklar!$L$6="Evet",0.001,0)))</f>
        <v/>
      </c>
      <c r="G22" s="16">
        <f>IF(OR(Topraklar!$J$7="Evet",AND(Topraklar!$L$7&lt;&gt;"Evet",Topraklar!$K$7&lt;&gt;Bitkiler!$C$21)),0,MAX(0,1-(Ayarlar!$B$2*ABS(Bitkiler!$D$21-Topraklar!$D$7)+Ayarlar!$B$3*ABS(Bitkiler!$E$21-Topraklar!$E$7)+Ayarlar!$B$4*ABS(Bitkiler!$F$21-Topraklar!$F$7)+Ayarlar!$B$5*ABS(Bitkiler!$G$21-Topraklar!$G$7)+Ayarlar!$B$6*IF(Bitkiler!$H$21=Topraklar!$H$7,0,1))/Ayarlar!$B$7)+IF(Topraklar!$K$7=Bitkiler!$C$21,0.002,IF(Topraklar!$L$7="Evet",0.001,0)))</f>
        <v/>
      </c>
      <c r="H22" s="16">
        <f>IF(OR(Topraklar!$J$8="Evet",AND(Topraklar!$L$8&lt;&gt;"Evet",Topraklar!$K$8&lt;&gt;Bitkiler!$C$21)),0,MAX(0,1-(Ayarlar!$B$2*ABS(Bitkiler!$D$21-Topraklar!$D$8)+Ayarlar!$B$3*ABS(Bitkiler!$E$21-Topraklar!$E$8)+Ayarlar!$B$4*ABS(Bitkiler!$F$21-Topraklar!$F$8)+Ayarlar!$B$5*ABS(Bitkiler!$G$21-Topraklar!$G$8)+Ayarlar!$B$6*IF(Bitkiler!$H$21=Topraklar!$H$8,0,1))/Ayarlar!$B$7)+IF(Topraklar!$K$8=Bitkiler!$C$21,0.002,IF(Topraklar!$L$8="Evet",0.001,0)))</f>
        <v/>
      </c>
      <c r="I22" s="16">
        <f>IF(OR(Topraklar!$J$9="Evet",AND(Topraklar!$L$9&lt;&gt;"Evet",Topraklar!$K$9&lt;&gt;Bitkiler!$C$21)),0,MAX(0,1-(Ayarlar!$B$2*ABS(Bitkiler!$D$21-Topraklar!$D$9)+Ayarlar!$B$3*ABS(Bitkiler!$E$21-Topraklar!$E$9)+Ayarlar!$B$4*ABS(Bitkiler!$F$21-Topraklar!$F$9)+Ayarlar!$B$5*ABS(Bitkiler!$G$21-Topraklar!$G$9)+Ayarlar!$B$6*IF(Bitkiler!$H$21=Topraklar!$H$9,0,1))/Ayarlar!$B$7)+IF(Topraklar!$K$9=Bitkiler!$C$21,0.002,IF(Topraklar!$L$9="Evet",0.001,0)))</f>
        <v/>
      </c>
      <c r="J22" s="16">
        <f>IF(OR(Topraklar!$J$10="Evet",AND(Topraklar!$L$10&lt;&gt;"Evet",Topraklar!$K$10&lt;&gt;Bitkiler!$C$21)),0,MAX(0,1-(Ayarlar!$B$2*ABS(Bitkiler!$D$21-Topraklar!$D$10)+Ayarlar!$B$3*ABS(Bitkiler!$E$21-Topraklar!$E$10)+Ayarlar!$B$4*ABS(Bitkiler!$F$21-Topraklar!$F$10)+Ayarlar!$B$5*ABS(Bitkiler!$G$21-Topraklar!$G$10)+Ayarlar!$B$6*IF(Bitkiler!$H$21=Topraklar!$H$10,0,1))/Ayarlar!$B$7)+IF(Topraklar!$K$10=Bitkiler!$C$21,0.002,IF(Topraklar!$L$10="Evet",0.001,0)))</f>
        <v/>
      </c>
      <c r="K22" s="16">
        <f>IF(OR(Topraklar!$J$11="Evet",AND(Topraklar!$L$11&lt;&gt;"Evet",Topraklar!$K$11&lt;&gt;Bitkiler!$C$21)),0,MAX(0,1-(Ayarlar!$B$2*ABS(Bitkiler!$D$21-Topraklar!$D$11)+Ayarlar!$B$3*ABS(Bitkiler!$E$21-Topraklar!$E$11)+Ayarlar!$B$4*ABS(Bitkiler!$F$21-Topraklar!$F$11)+Ayarlar!$B$5*ABS(Bitkiler!$G$21-Topraklar!$G$11)+Ayarlar!$B$6*IF(Bitkiler!$H$21=Topraklar!$H$11,0,1))/Ayarlar!$B$7)+IF(Topraklar!$K$11=Bitkiler!$C$21,0.002,IF(Topraklar!$L$11="Evet",0.001,0)))</f>
        <v/>
      </c>
      <c r="L22" s="16">
        <f>IF(OR(Topraklar!$J$12="Evet",AND(Topraklar!$L$12&lt;&gt;"Evet",Topraklar!$K$12&lt;&gt;Bitkiler!$C$21)),0,MAX(0,1-(Ayarlar!$B$2*ABS(Bitkiler!$D$21-Topraklar!$D$12)+Ayarlar!$B$3*ABS(Bitkiler!$E$21-Topraklar!$E$12)+Ayarlar!$B$4*ABS(Bitkiler!$F$21-Topraklar!$F$12)+Ayarlar!$B$5*ABS(Bitkiler!$G$21-Topraklar!$G$12)+Ayarlar!$B$6*IF(Bitkiler!$H$21=Topraklar!$H$12,0,1))/Ayarlar!$B$7)+IF(Topraklar!$K$12=Bitkiler!$C$21,0.002,IF(Topraklar!$L$12="Evet",0.001,0)))</f>
        <v/>
      </c>
      <c r="M22" s="16">
        <f>IF(OR(Topraklar!$J$13="Evet",AND(Topraklar!$L$13&lt;&gt;"Evet",Topraklar!$K$13&lt;&gt;Bitkiler!$C$21)),0,MAX(0,1-(Ayarlar!$B$2*ABS(Bitkiler!$D$21-Topraklar!$D$13)+Ayarlar!$B$3*ABS(Bitkiler!$E$21-Topraklar!$E$13)+Ayarlar!$B$4*ABS(Bitkiler!$F$21-Topraklar!$F$13)+Ayarlar!$B$5*ABS(Bitkiler!$G$21-Topraklar!$G$13)+Ayarlar!$B$6*IF(Bitkiler!$H$21=Topraklar!$H$13,0,1))/Ayarlar!$B$7)+IF(Topraklar!$K$13=Bitkiler!$C$21,0.002,IF(Topraklar!$L$13="Evet",0.001,0)))</f>
        <v/>
      </c>
      <c r="N22" s="16">
        <f>IF(OR(Topraklar!$J$14="Evet",AND(Topraklar!$L$14&lt;&gt;"Evet",Topraklar!$K$14&lt;&gt;Bitkiler!$C$21)),0,MAX(0,1-(Ayarlar!$B$2*ABS(Bitkiler!$D$21-Topraklar!$D$14)+Ayarlar!$B$3*ABS(Bitkiler!$E$21-Topraklar!$E$14)+Ayarlar!$B$4*ABS(Bitkiler!$F$21-Topraklar!$F$14)+Ayarlar!$B$5*ABS(Bitkiler!$G$21-Topraklar!$G$14)+Ayarlar!$B$6*IF(Bitkiler!$H$21=Topraklar!$H$14,0,1))/Ayarlar!$B$7)+IF(Topraklar!$K$14=Bitkiler!$C$21,0.002,IF(Topraklar!$L$14="Evet",0.001,0)))</f>
        <v/>
      </c>
      <c r="O22" s="16">
        <f>IF(OR(Topraklar!$J$15="Evet",AND(Topraklar!$L$15&lt;&gt;"Evet",Topraklar!$K$15&lt;&gt;Bitkiler!$C$21)),0,MAX(0,1-(Ayarlar!$B$2*ABS(Bitkiler!$D$21-Topraklar!$D$15)+Ayarlar!$B$3*ABS(Bitkiler!$E$21-Topraklar!$E$15)+Ayarlar!$B$4*ABS(Bitkiler!$F$21-Topraklar!$F$15)+Ayarlar!$B$5*ABS(Bitkiler!$G$21-Topraklar!$G$15)+Ayarlar!$B$6*IF(Bitkiler!$H$21=Topraklar!$H$15,0,1))/Ayarlar!$B$7)+IF(Topraklar!$K$15=Bitkiler!$C$21,0.002,IF(Topraklar!$L$15="Evet",0.001,0)))</f>
        <v/>
      </c>
      <c r="P22" s="16">
        <f>IF(OR(Topraklar!$J$16="Evet",AND(Topraklar!$L$16&lt;&gt;"Evet",Topraklar!$K$16&lt;&gt;Bitkiler!$C$21)),0,MAX(0,1-(Ayarlar!$B$2*ABS(Bitkiler!$D$21-Topraklar!$D$16)+Ayarlar!$B$3*ABS(Bitkiler!$E$21-Topraklar!$E$16)+Ayarlar!$B$4*ABS(Bitkiler!$F$21-Topraklar!$F$16)+Ayarlar!$B$5*ABS(Bitkiler!$G$21-Topraklar!$G$16)+Ayarlar!$B$6*IF(Bitkiler!$H$21=Topraklar!$H$16,0,1))/Ayarlar!$B$7)+IF(Topraklar!$K$16=Bitkiler!$C$21,0.002,IF(Topraklar!$L$16="Evet",0.001,0)))</f>
        <v/>
      </c>
      <c r="Q22" s="16">
        <f>IF(OR(Topraklar!$J$17="Evet",AND(Topraklar!$L$17&lt;&gt;"Evet",Topraklar!$K$17&lt;&gt;Bitkiler!$C$21)),0,MAX(0,1-(Ayarlar!$B$2*ABS(Bitkiler!$D$21-Topraklar!$D$17)+Ayarlar!$B$3*ABS(Bitkiler!$E$21-Topraklar!$E$17)+Ayarlar!$B$4*ABS(Bitkiler!$F$21-Topraklar!$F$17)+Ayarlar!$B$5*ABS(Bitkiler!$G$21-Topraklar!$G$17)+Ayarlar!$B$6*IF(Bitkiler!$H$21=Topraklar!$H$17,0,1))/Ayarlar!$B$7)+IF(Topraklar!$K$17=Bitkiler!$C$21,0.002,IF(Topraklar!$L$17="Evet",0.001,0)))</f>
        <v/>
      </c>
      <c r="R22" s="16">
        <f>IF(OR(Topraklar!$J$18="Evet",AND(Topraklar!$L$18&lt;&gt;"Evet",Topraklar!$K$18&lt;&gt;Bitkiler!$C$21)),0,MAX(0,1-(Ayarlar!$B$2*ABS(Bitkiler!$D$21-Topraklar!$D$18)+Ayarlar!$B$3*ABS(Bitkiler!$E$21-Topraklar!$E$18)+Ayarlar!$B$4*ABS(Bitkiler!$F$21-Topraklar!$F$18)+Ayarlar!$B$5*ABS(Bitkiler!$G$21-Topraklar!$G$18)+Ayarlar!$B$6*IF(Bitkiler!$H$21=Topraklar!$H$18,0,1))/Ayarlar!$B$7)+IF(Topraklar!$K$18=Bitkiler!$C$21,0.002,IF(Topraklar!$L$18="Evet",0.001,0)))</f>
        <v/>
      </c>
      <c r="S22" s="16">
        <f>IF(OR(Topraklar!$J$19="Evet",AND(Topraklar!$L$19&lt;&gt;"Evet",Topraklar!$K$19&lt;&gt;Bitkiler!$C$21)),0,MAX(0,1-(Ayarlar!$B$2*ABS(Bitkiler!$D$21-Topraklar!$D$19)+Ayarlar!$B$3*ABS(Bitkiler!$E$21-Topraklar!$E$19)+Ayarlar!$B$4*ABS(Bitkiler!$F$21-Topraklar!$F$19)+Ayarlar!$B$5*ABS(Bitkiler!$G$21-Topraklar!$G$19)+Ayarlar!$B$6*IF(Bitkiler!$H$21=Topraklar!$H$19,0,1))/Ayarlar!$B$7)+IF(Topraklar!$K$19=Bitkiler!$C$21,0.002,IF(Topraklar!$L$19="Evet",0.001,0)))</f>
        <v/>
      </c>
      <c r="T22" s="16">
        <f>IF(OR(Topraklar!$J$20="Evet",AND(Topraklar!$L$20&lt;&gt;"Evet",Topraklar!$K$20&lt;&gt;Bitkiler!$C$21)),0,MAX(0,1-(Ayarlar!$B$2*ABS(Bitkiler!$D$21-Topraklar!$D$20)+Ayarlar!$B$3*ABS(Bitkiler!$E$21-Topraklar!$E$20)+Ayarlar!$B$4*ABS(Bitkiler!$F$21-Topraklar!$F$20)+Ayarlar!$B$5*ABS(Bitkiler!$G$21-Topraklar!$G$20)+Ayarlar!$B$6*IF(Bitkiler!$H$21=Topraklar!$H$20,0,1))/Ayarlar!$B$7)+IF(Topraklar!$K$20=Bitkiler!$C$21,0.002,IF(Topraklar!$L$20="Evet",0.001,0)))</f>
        <v/>
      </c>
      <c r="U22" s="16">
        <f>IF(OR(Topraklar!$J$21="Evet",AND(Topraklar!$L$21&lt;&gt;"Evet",Topraklar!$K$21&lt;&gt;Bitkiler!$C$21)),0,MAX(0,1-(Ayarlar!$B$2*ABS(Bitkiler!$D$21-Topraklar!$D$21)+Ayarlar!$B$3*ABS(Bitkiler!$E$21-Topraklar!$E$21)+Ayarlar!$B$4*ABS(Bitkiler!$F$21-Topraklar!$F$21)+Ayarlar!$B$5*ABS(Bitkiler!$G$21-Topraklar!$G$21)+Ayarlar!$B$6*IF(Bitkiler!$H$21=Topraklar!$H$21,0,1))/Ayarlar!$B$7)+IF(Topraklar!$K$21=Bitkiler!$C$21,0.002,IF(Topraklar!$L$21="Evet",0.001,0)))</f>
        <v/>
      </c>
      <c r="V22" s="16">
        <f>IF(OR(Topraklar!$J$22="Evet",AND(Topraklar!$L$22&lt;&gt;"Evet",Topraklar!$K$22&lt;&gt;Bitkiler!$C$21)),0,MAX(0,1-(Ayarlar!$B$2*ABS(Bitkiler!$D$21-Topraklar!$D$22)+Ayarlar!$B$3*ABS(Bitkiler!$E$21-Topraklar!$E$22)+Ayarlar!$B$4*ABS(Bitkiler!$F$21-Topraklar!$F$22)+Ayarlar!$B$5*ABS(Bitkiler!$G$21-Topraklar!$G$22)+Ayarlar!$B$6*IF(Bitkiler!$H$21=Topraklar!$H$22,0,1))/Ayarlar!$B$7)+IF(Topraklar!$K$22=Bitkiler!$C$21,0.002,IF(Topraklar!$L$22="Evet",0.001,0)))</f>
        <v/>
      </c>
      <c r="W22" s="16">
        <f>IF(OR(Topraklar!$J$23="Evet",AND(Topraklar!$L$23&lt;&gt;"Evet",Topraklar!$K$23&lt;&gt;Bitkiler!$C$21)),0,MAX(0,1-(Ayarlar!$B$2*ABS(Bitkiler!$D$21-Topraklar!$D$23)+Ayarlar!$B$3*ABS(Bitkiler!$E$21-Topraklar!$E$23)+Ayarlar!$B$4*ABS(Bitkiler!$F$21-Topraklar!$F$23)+Ayarlar!$B$5*ABS(Bitkiler!$G$21-Topraklar!$G$23)+Ayarlar!$B$6*IF(Bitkiler!$H$21=Topraklar!$H$23,0,1))/Ayarlar!$B$7)+IF(Topraklar!$K$23=Bitkiler!$C$21,0.002,IF(Topraklar!$L$23="Evet",0.001,0)))</f>
        <v/>
      </c>
      <c r="X22" s="16">
        <f>IF(OR(Topraklar!$J$24="Evet",AND(Topraklar!$L$24&lt;&gt;"Evet",Topraklar!$K$24&lt;&gt;Bitkiler!$C$21)),0,MAX(0,1-(Ayarlar!$B$2*ABS(Bitkiler!$D$21-Topraklar!$D$24)+Ayarlar!$B$3*ABS(Bitkiler!$E$21-Topraklar!$E$24)+Ayarlar!$B$4*ABS(Bitkiler!$F$21-Topraklar!$F$24)+Ayarlar!$B$5*ABS(Bitkiler!$G$21-Topraklar!$G$24)+Ayarlar!$B$6*IF(Bitkiler!$H$21=Topraklar!$H$24,0,1))/Ayarlar!$B$7)+IF(Topraklar!$K$24=Bitkiler!$C$21,0.002,IF(Topraklar!$L$24="Evet",0.001,0)))</f>
        <v/>
      </c>
      <c r="Y22" s="16">
        <f>IF(OR(Topraklar!$J$25="Evet",AND(Topraklar!$L$25&lt;&gt;"Evet",Topraklar!$K$25&lt;&gt;Bitkiler!$C$21)),0,MAX(0,1-(Ayarlar!$B$2*ABS(Bitkiler!$D$21-Topraklar!$D$25)+Ayarlar!$B$3*ABS(Bitkiler!$E$21-Topraklar!$E$25)+Ayarlar!$B$4*ABS(Bitkiler!$F$21-Topraklar!$F$25)+Ayarlar!$B$5*ABS(Bitkiler!$G$21-Topraklar!$G$25)+Ayarlar!$B$6*IF(Bitkiler!$H$21=Topraklar!$H$25,0,1))/Ayarlar!$B$7)+IF(Topraklar!$K$25=Bitkiler!$C$21,0.002,IF(Topraklar!$L$25="Evet",0.001,0)))</f>
        <v/>
      </c>
      <c r="Z22" s="16">
        <f>IF(OR(Topraklar!$J$26="Evet",AND(Topraklar!$L$26&lt;&gt;"Evet",Topraklar!$K$26&lt;&gt;Bitkiler!$C$21)),0,MAX(0,1-(Ayarlar!$B$2*ABS(Bitkiler!$D$21-Topraklar!$D$26)+Ayarlar!$B$3*ABS(Bitkiler!$E$21-Topraklar!$E$26)+Ayarlar!$B$4*ABS(Bitkiler!$F$21-Topraklar!$F$26)+Ayarlar!$B$5*ABS(Bitkiler!$G$21-Topraklar!$G$26)+Ayarlar!$B$6*IF(Bitkiler!$H$21=Topraklar!$H$26,0,1))/Ayarlar!$B$7)+IF(Topraklar!$K$26=Bitkiler!$C$21,0.002,IF(Topraklar!$L$26="Evet",0.001,0)))</f>
        <v/>
      </c>
      <c r="AA22" s="16">
        <f>IF(OR(Topraklar!$J$27="Evet",AND(Topraklar!$L$27&lt;&gt;"Evet",Topraklar!$K$27&lt;&gt;Bitkiler!$C$21)),0,MAX(0,1-(Ayarlar!$B$2*ABS(Bitkiler!$D$21-Topraklar!$D$27)+Ayarlar!$B$3*ABS(Bitkiler!$E$21-Topraklar!$E$27)+Ayarlar!$B$4*ABS(Bitkiler!$F$21-Topraklar!$F$27)+Ayarlar!$B$5*ABS(Bitkiler!$G$21-Topraklar!$G$27)+Ayarlar!$B$6*IF(Bitkiler!$H$21=Topraklar!$H$27,0,1))/Ayarlar!$B$7)+IF(Topraklar!$K$27=Bitkiler!$C$21,0.002,IF(Topraklar!$L$27="Evet",0.001,0)))</f>
        <v/>
      </c>
      <c r="AB22" s="16">
        <f>IF(OR(Topraklar!$J$28="Evet",AND(Topraklar!$L$28&lt;&gt;"Evet",Topraklar!$K$28&lt;&gt;Bitkiler!$C$21)),0,MAX(0,1-(Ayarlar!$B$2*ABS(Bitkiler!$D$21-Topraklar!$D$28)+Ayarlar!$B$3*ABS(Bitkiler!$E$21-Topraklar!$E$28)+Ayarlar!$B$4*ABS(Bitkiler!$F$21-Topraklar!$F$28)+Ayarlar!$B$5*ABS(Bitkiler!$G$21-Topraklar!$G$28)+Ayarlar!$B$6*IF(Bitkiler!$H$21=Topraklar!$H$28,0,1))/Ayarlar!$B$7)+IF(Topraklar!$K$28=Bitkiler!$C$21,0.002,IF(Topraklar!$L$28="Evet",0.001,0)))</f>
        <v/>
      </c>
      <c r="AC22" s="16">
        <f>IF(OR(Topraklar!$J$29="Evet",AND(Topraklar!$L$29&lt;&gt;"Evet",Topraklar!$K$29&lt;&gt;Bitkiler!$C$21)),0,MAX(0,1-(Ayarlar!$B$2*ABS(Bitkiler!$D$21-Topraklar!$D$29)+Ayarlar!$B$3*ABS(Bitkiler!$E$21-Topraklar!$E$29)+Ayarlar!$B$4*ABS(Bitkiler!$F$21-Topraklar!$F$29)+Ayarlar!$B$5*ABS(Bitkiler!$G$21-Topraklar!$G$29)+Ayarlar!$B$6*IF(Bitkiler!$H$21=Topraklar!$H$29,0,1))/Ayarlar!$B$7)+IF(Topraklar!$K$29=Bitkiler!$C$21,0.002,IF(Topraklar!$L$29="Evet",0.001,0)))</f>
        <v/>
      </c>
      <c r="AD22" s="16">
        <f>IF(OR(Topraklar!$J$30="Evet",AND(Topraklar!$L$30&lt;&gt;"Evet",Topraklar!$K$30&lt;&gt;Bitkiler!$C$21)),0,MAX(0,1-(Ayarlar!$B$2*ABS(Bitkiler!$D$21-Topraklar!$D$30)+Ayarlar!$B$3*ABS(Bitkiler!$E$21-Topraklar!$E$30)+Ayarlar!$B$4*ABS(Bitkiler!$F$21-Topraklar!$F$30)+Ayarlar!$B$5*ABS(Bitkiler!$G$21-Topraklar!$G$30)+Ayarlar!$B$6*IF(Bitkiler!$H$21=Topraklar!$H$30,0,1))/Ayarlar!$B$7)+IF(Topraklar!$K$30=Bitkiler!$C$21,0.002,IF(Topraklar!$L$30="Evet",0.001,0)))</f>
        <v/>
      </c>
      <c r="AE22" s="16">
        <f>IF(OR(Topraklar!$J$31="Evet",AND(Topraklar!$L$31&lt;&gt;"Evet",Topraklar!$K$31&lt;&gt;Bitkiler!$C$21)),0,MAX(0,1-(Ayarlar!$B$2*ABS(Bitkiler!$D$21-Topraklar!$D$31)+Ayarlar!$B$3*ABS(Bitkiler!$E$21-Topraklar!$E$31)+Ayarlar!$B$4*ABS(Bitkiler!$F$21-Topraklar!$F$31)+Ayarlar!$B$5*ABS(Bitkiler!$G$21-Topraklar!$G$31)+Ayarlar!$B$6*IF(Bitkiler!$H$21=Topraklar!$H$31,0,1))/Ayarlar!$B$7)+IF(Topraklar!$K$31=Bitkiler!$C$21,0.002,IF(Topraklar!$L$31="Evet",0.001,0)))</f>
        <v/>
      </c>
      <c r="AF22" s="16">
        <f>IF(OR(Topraklar!$J$32="Evet",AND(Topraklar!$L$32&lt;&gt;"Evet",Topraklar!$K$32&lt;&gt;Bitkiler!$C$21)),0,MAX(0,1-(Ayarlar!$B$2*ABS(Bitkiler!$D$21-Topraklar!$D$32)+Ayarlar!$B$3*ABS(Bitkiler!$E$21-Topraklar!$E$32)+Ayarlar!$B$4*ABS(Bitkiler!$F$21-Topraklar!$F$32)+Ayarlar!$B$5*ABS(Bitkiler!$G$21-Topraklar!$G$32)+Ayarlar!$B$6*IF(Bitkiler!$H$21=Topraklar!$H$32,0,1))/Ayarlar!$B$7)+IF(Topraklar!$K$32=Bitkiler!$C$21,0.002,IF(Topraklar!$L$32="Evet",0.001,0)))</f>
        <v/>
      </c>
      <c r="AG22" s="16">
        <f>IF(OR(Topraklar!$J$33="Evet",AND(Topraklar!$L$33&lt;&gt;"Evet",Topraklar!$K$33&lt;&gt;Bitkiler!$C$21)),0,MAX(0,1-(Ayarlar!$B$2*ABS(Bitkiler!$D$21-Topraklar!$D$33)+Ayarlar!$B$3*ABS(Bitkiler!$E$21-Topraklar!$E$33)+Ayarlar!$B$4*ABS(Bitkiler!$F$21-Topraklar!$F$33)+Ayarlar!$B$5*ABS(Bitkiler!$G$21-Topraklar!$G$33)+Ayarlar!$B$6*IF(Bitkiler!$H$21=Topraklar!$H$33,0,1))/Ayarlar!$B$7)+IF(Topraklar!$K$33=Bitkiler!$C$21,0.002,IF(Topraklar!$L$33="Evet",0.001,0)))</f>
        <v/>
      </c>
      <c r="AH22" s="16">
        <f>IF(OR(Topraklar!$J$34="Evet",AND(Topraklar!$L$34&lt;&gt;"Evet",Topraklar!$K$34&lt;&gt;Bitkiler!$C$21)),0,MAX(0,1-(Ayarlar!$B$2*ABS(Bitkiler!$D$21-Topraklar!$D$34)+Ayarlar!$B$3*ABS(Bitkiler!$E$21-Topraklar!$E$34)+Ayarlar!$B$4*ABS(Bitkiler!$F$21-Topraklar!$F$34)+Ayarlar!$B$5*ABS(Bitkiler!$G$21-Topraklar!$G$34)+Ayarlar!$B$6*IF(Bitkiler!$H$21=Topraklar!$H$34,0,1))/Ayarlar!$B$7)+IF(Topraklar!$K$34=Bitkiler!$C$21,0.002,IF(Topraklar!$L$34="Evet",0.001,0)))</f>
        <v/>
      </c>
      <c r="AI22" s="16">
        <f>IF(OR(Topraklar!$J$35="Evet",AND(Topraklar!$L$35&lt;&gt;"Evet",Topraklar!$K$35&lt;&gt;Bitkiler!$C$21)),0,MAX(0,1-(Ayarlar!$B$2*ABS(Bitkiler!$D$21-Topraklar!$D$35)+Ayarlar!$B$3*ABS(Bitkiler!$E$21-Topraklar!$E$35)+Ayarlar!$B$4*ABS(Bitkiler!$F$21-Topraklar!$F$35)+Ayarlar!$B$5*ABS(Bitkiler!$G$21-Topraklar!$G$35)+Ayarlar!$B$6*IF(Bitkiler!$H$21=Topraklar!$H$35,0,1))/Ayarlar!$B$7)+IF(Topraklar!$K$35=Bitkiler!$C$21,0.002,IF(Topraklar!$L$35="Evet",0.001,0)))</f>
        <v/>
      </c>
      <c r="AJ22" s="16">
        <f>IF(OR(Topraklar!$J$36="Evet",AND(Topraklar!$L$36&lt;&gt;"Evet",Topraklar!$K$36&lt;&gt;Bitkiler!$C$21)),0,MAX(0,1-(Ayarlar!$B$2*ABS(Bitkiler!$D$21-Topraklar!$D$36)+Ayarlar!$B$3*ABS(Bitkiler!$E$21-Topraklar!$E$36)+Ayarlar!$B$4*ABS(Bitkiler!$F$21-Topraklar!$F$36)+Ayarlar!$B$5*ABS(Bitkiler!$G$21-Topraklar!$G$36)+Ayarlar!$B$6*IF(Bitkiler!$H$21=Topraklar!$H$36,0,1))/Ayarlar!$B$7)+IF(Topraklar!$K$36=Bitkiler!$C$21,0.002,IF(Topraklar!$L$36="Evet",0.001,0)))</f>
        <v/>
      </c>
      <c r="AK22" s="16">
        <f>IF(OR(Topraklar!$J$37="Evet",AND(Topraklar!$L$37&lt;&gt;"Evet",Topraklar!$K$37&lt;&gt;Bitkiler!$C$21)),0,MAX(0,1-(Ayarlar!$B$2*ABS(Bitkiler!$D$21-Topraklar!$D$37)+Ayarlar!$B$3*ABS(Bitkiler!$E$21-Topraklar!$E$37)+Ayarlar!$B$4*ABS(Bitkiler!$F$21-Topraklar!$F$37)+Ayarlar!$B$5*ABS(Bitkiler!$G$21-Topraklar!$G$37)+Ayarlar!$B$6*IF(Bitkiler!$H$21=Topraklar!$H$37,0,1))/Ayarlar!$B$7)+IF(Topraklar!$K$37=Bitkiler!$C$21,0.002,IF(Topraklar!$L$37="Evet",0.001,0)))</f>
        <v/>
      </c>
      <c r="AL22" s="16">
        <f>IF(OR(Topraklar!$J$38="Evet",AND(Topraklar!$L$38&lt;&gt;"Evet",Topraklar!$K$38&lt;&gt;Bitkiler!$C$21)),0,MAX(0,1-(Ayarlar!$B$2*ABS(Bitkiler!$D$21-Topraklar!$D$38)+Ayarlar!$B$3*ABS(Bitkiler!$E$21-Topraklar!$E$38)+Ayarlar!$B$4*ABS(Bitkiler!$F$21-Topraklar!$F$38)+Ayarlar!$B$5*ABS(Bitkiler!$G$21-Topraklar!$G$38)+Ayarlar!$B$6*IF(Bitkiler!$H$21=Topraklar!$H$38,0,1))/Ayarlar!$B$7)+IF(Topraklar!$K$38=Bitkiler!$C$21,0.002,IF(Topraklar!$L$38="Evet",0.001,0)))</f>
        <v/>
      </c>
      <c r="AM22" s="16">
        <f>IF(OR(Topraklar!$J$39="Evet",AND(Topraklar!$L$39&lt;&gt;"Evet",Topraklar!$K$39&lt;&gt;Bitkiler!$C$21)),0,MAX(0,1-(Ayarlar!$B$2*ABS(Bitkiler!$D$21-Topraklar!$D$39)+Ayarlar!$B$3*ABS(Bitkiler!$E$21-Topraklar!$E$39)+Ayarlar!$B$4*ABS(Bitkiler!$F$21-Topraklar!$F$39)+Ayarlar!$B$5*ABS(Bitkiler!$G$21-Topraklar!$G$39)+Ayarlar!$B$6*IF(Bitkiler!$H$21=Topraklar!$H$39,0,1))/Ayarlar!$B$7)+IF(Topraklar!$K$39=Bitkiler!$C$21,0.002,IF(Topraklar!$L$39="Evet",0.001,0)))</f>
        <v/>
      </c>
      <c r="AN22" s="16">
        <f>IF(OR(Topraklar!$J$40="Evet",AND(Topraklar!$L$40&lt;&gt;"Evet",Topraklar!$K$40&lt;&gt;Bitkiler!$C$21)),0,MAX(0,1-(Ayarlar!$B$2*ABS(Bitkiler!$D$21-Topraklar!$D$40)+Ayarlar!$B$3*ABS(Bitkiler!$E$21-Topraklar!$E$40)+Ayarlar!$B$4*ABS(Bitkiler!$F$21-Topraklar!$F$40)+Ayarlar!$B$5*ABS(Bitkiler!$G$21-Topraklar!$G$40)+Ayarlar!$B$6*IF(Bitkiler!$H$21=Topraklar!$H$40,0,1))/Ayarlar!$B$7)+IF(Topraklar!$K$40=Bitkiler!$C$21,0.002,IF(Topraklar!$L$40="Evet",0.001,0)))</f>
        <v/>
      </c>
      <c r="AO22" s="16">
        <f>IF(OR(Topraklar!$J$41="Evet",AND(Topraklar!$L$41&lt;&gt;"Evet",Topraklar!$K$41&lt;&gt;Bitkiler!$C$21)),0,MAX(0,1-(Ayarlar!$B$2*ABS(Bitkiler!$D$21-Topraklar!$D$41)+Ayarlar!$B$3*ABS(Bitkiler!$E$21-Topraklar!$E$41)+Ayarlar!$B$4*ABS(Bitkiler!$F$21-Topraklar!$F$41)+Ayarlar!$B$5*ABS(Bitkiler!$G$21-Topraklar!$G$41)+Ayarlar!$B$6*IF(Bitkiler!$H$21=Topraklar!$H$41,0,1))/Ayarlar!$B$7)+IF(Topraklar!$K$41=Bitkiler!$C$21,0.002,IF(Topraklar!$L$41="Evet",0.001,0)))</f>
        <v/>
      </c>
      <c r="AP22" s="16">
        <f>IF(OR(Topraklar!$J$42="Evet",AND(Topraklar!$L$42&lt;&gt;"Evet",Topraklar!$K$42&lt;&gt;Bitkiler!$C$21)),0,MAX(0,1-(Ayarlar!$B$2*ABS(Bitkiler!$D$21-Topraklar!$D$42)+Ayarlar!$B$3*ABS(Bitkiler!$E$21-Topraklar!$E$42)+Ayarlar!$B$4*ABS(Bitkiler!$F$21-Topraklar!$F$42)+Ayarlar!$B$5*ABS(Bitkiler!$G$21-Topraklar!$G$42)+Ayarlar!$B$6*IF(Bitkiler!$H$21=Topraklar!$H$42,0,1))/Ayarlar!$B$7)+IF(Topraklar!$K$42=Bitkiler!$C$21,0.002,IF(Topraklar!$L$42="Evet",0.001,0)))</f>
        <v/>
      </c>
      <c r="AQ22" s="16">
        <f>IF(OR(Topraklar!$J$43="Evet",AND(Topraklar!$L$43&lt;&gt;"Evet",Topraklar!$K$43&lt;&gt;Bitkiler!$C$21)),0,MAX(0,1-(Ayarlar!$B$2*ABS(Bitkiler!$D$21-Topraklar!$D$43)+Ayarlar!$B$3*ABS(Bitkiler!$E$21-Topraklar!$E$43)+Ayarlar!$B$4*ABS(Bitkiler!$F$21-Topraklar!$F$43)+Ayarlar!$B$5*ABS(Bitkiler!$G$21-Topraklar!$G$43)+Ayarlar!$B$6*IF(Bitkiler!$H$21=Topraklar!$H$43,0,1))/Ayarlar!$B$7)+IF(Topraklar!$K$43=Bitkiler!$C$21,0.002,IF(Topraklar!$L$43="Evet",0.001,0)))</f>
        <v/>
      </c>
      <c r="AR22" s="16">
        <f>IF(OR(Topraklar!$J$44="Evet",AND(Topraklar!$L$44&lt;&gt;"Evet",Topraklar!$K$44&lt;&gt;Bitkiler!$C$21)),0,MAX(0,1-(Ayarlar!$B$2*ABS(Bitkiler!$D$21-Topraklar!$D$44)+Ayarlar!$B$3*ABS(Bitkiler!$E$21-Topraklar!$E$44)+Ayarlar!$B$4*ABS(Bitkiler!$F$21-Topraklar!$F$44)+Ayarlar!$B$5*ABS(Bitkiler!$G$21-Topraklar!$G$44)+Ayarlar!$B$6*IF(Bitkiler!$H$21=Topraklar!$H$44,0,1))/Ayarlar!$B$7)+IF(Topraklar!$K$44=Bitkiler!$C$21,0.002,IF(Topraklar!$L$44="Evet",0.001,0)))</f>
        <v/>
      </c>
      <c r="AS22" s="16">
        <f>IF(OR(Topraklar!$J$45="Evet",AND(Topraklar!$L$45&lt;&gt;"Evet",Topraklar!$K$45&lt;&gt;Bitkiler!$C$21)),0,MAX(0,1-(Ayarlar!$B$2*ABS(Bitkiler!$D$21-Topraklar!$D$45)+Ayarlar!$B$3*ABS(Bitkiler!$E$21-Topraklar!$E$45)+Ayarlar!$B$4*ABS(Bitkiler!$F$21-Topraklar!$F$45)+Ayarlar!$B$5*ABS(Bitkiler!$G$21-Topraklar!$G$45)+Ayarlar!$B$6*IF(Bitkiler!$H$21=Topraklar!$H$45,0,1))/Ayarlar!$B$7)+IF(Topraklar!$K$45=Bitkiler!$C$21,0.002,IF(Topraklar!$L$45="Evet",0.001,0)))</f>
        <v/>
      </c>
      <c r="AT22" s="16">
        <f>IF(OR(Topraklar!$J$46="Evet",AND(Topraklar!$L$46&lt;&gt;"Evet",Topraklar!$K$46&lt;&gt;Bitkiler!$C$21)),0,MAX(0,1-(Ayarlar!$B$2*ABS(Bitkiler!$D$21-Topraklar!$D$46)+Ayarlar!$B$3*ABS(Bitkiler!$E$21-Topraklar!$E$46)+Ayarlar!$B$4*ABS(Bitkiler!$F$21-Topraklar!$F$46)+Ayarlar!$B$5*ABS(Bitkiler!$G$21-Topraklar!$G$46)+Ayarlar!$B$6*IF(Bitkiler!$H$21=Topraklar!$H$46,0,1))/Ayarlar!$B$7)+IF(Topraklar!$K$46=Bitkiler!$C$21,0.002,IF(Topraklar!$L$46="Evet",0.001,0)))</f>
        <v/>
      </c>
      <c r="AU22" s="16">
        <f>IF(OR(Topraklar!$J$47="Evet",AND(Topraklar!$L$47&lt;&gt;"Evet",Topraklar!$K$47&lt;&gt;Bitkiler!$C$21)),0,MAX(0,1-(Ayarlar!$B$2*ABS(Bitkiler!$D$21-Topraklar!$D$47)+Ayarlar!$B$3*ABS(Bitkiler!$E$21-Topraklar!$E$47)+Ayarlar!$B$4*ABS(Bitkiler!$F$21-Topraklar!$F$47)+Ayarlar!$B$5*ABS(Bitkiler!$G$21-Topraklar!$G$47)+Ayarlar!$B$6*IF(Bitkiler!$H$21=Topraklar!$H$47,0,1))/Ayarlar!$B$7)+IF(Topraklar!$K$47=Bitkiler!$C$21,0.002,IF(Topraklar!$L$47="Evet",0.001,0)))</f>
        <v/>
      </c>
      <c r="AV22" s="16">
        <f>IF(OR(Topraklar!$J$48="Evet",AND(Topraklar!$L$48&lt;&gt;"Evet",Topraklar!$K$48&lt;&gt;Bitkiler!$C$21)),0,MAX(0,1-(Ayarlar!$B$2*ABS(Bitkiler!$D$21-Topraklar!$D$48)+Ayarlar!$B$3*ABS(Bitkiler!$E$21-Topraklar!$E$48)+Ayarlar!$B$4*ABS(Bitkiler!$F$21-Topraklar!$F$48)+Ayarlar!$B$5*ABS(Bitkiler!$G$21-Topraklar!$G$48)+Ayarlar!$B$6*IF(Bitkiler!$H$21=Topraklar!$H$48,0,1))/Ayarlar!$B$7)+IF(Topraklar!$K$48=Bitkiler!$C$21,0.002,IF(Topraklar!$L$48="Evet",0.001,0)))</f>
        <v/>
      </c>
      <c r="AW22" s="16">
        <f>IF(OR(Topraklar!$J$49="Evet",AND(Topraklar!$L$49&lt;&gt;"Evet",Topraklar!$K$49&lt;&gt;Bitkiler!$C$21)),0,MAX(0,1-(Ayarlar!$B$2*ABS(Bitkiler!$D$21-Topraklar!$D$49)+Ayarlar!$B$3*ABS(Bitkiler!$E$21-Topraklar!$E$49)+Ayarlar!$B$4*ABS(Bitkiler!$F$21-Topraklar!$F$49)+Ayarlar!$B$5*ABS(Bitkiler!$G$21-Topraklar!$G$49)+Ayarlar!$B$6*IF(Bitkiler!$H$21=Topraklar!$H$49,0,1))/Ayarlar!$B$7)+IF(Topraklar!$K$49=Bitkiler!$C$21,0.002,IF(Topraklar!$L$49="Evet",0.001,0)))</f>
        <v/>
      </c>
      <c r="AX22" s="16">
        <f>IF(OR(Topraklar!$J$50="Evet",AND(Topraklar!$L$50&lt;&gt;"Evet",Topraklar!$K$50&lt;&gt;Bitkiler!$C$21)),0,MAX(0,1-(Ayarlar!$B$2*ABS(Bitkiler!$D$21-Topraklar!$D$50)+Ayarlar!$B$3*ABS(Bitkiler!$E$21-Topraklar!$E$50)+Ayarlar!$B$4*ABS(Bitkiler!$F$21-Topraklar!$F$50)+Ayarlar!$B$5*ABS(Bitkiler!$G$21-Topraklar!$G$50)+Ayarlar!$B$6*IF(Bitkiler!$H$21=Topraklar!$H$50,0,1))/Ayarlar!$B$7)+IF(Topraklar!$K$50=Bitkiler!$C$21,0.002,IF(Topraklar!$L$50="Evet",0.001,0)))</f>
        <v/>
      </c>
      <c r="AY22" s="16">
        <f>IF(OR(Topraklar!$J$51="Evet",AND(Topraklar!$L$51&lt;&gt;"Evet",Topraklar!$K$51&lt;&gt;Bitkiler!$C$21)),0,MAX(0,1-(Ayarlar!$B$2*ABS(Bitkiler!$D$21-Topraklar!$D$51)+Ayarlar!$B$3*ABS(Bitkiler!$E$21-Topraklar!$E$51)+Ayarlar!$B$4*ABS(Bitkiler!$F$21-Topraklar!$F$51)+Ayarlar!$B$5*ABS(Bitkiler!$G$21-Topraklar!$G$51)+Ayarlar!$B$6*IF(Bitkiler!$H$21=Topraklar!$H$51,0,1))/Ayarlar!$B$7)+IF(Topraklar!$K$51=Bitkiler!$C$21,0.002,IF(Topraklar!$L$51="Evet",0.001,0)))</f>
        <v/>
      </c>
    </row>
    <row r="23">
      <c r="A23" s="15">
        <f>Bitkiler!A22</f>
        <v/>
      </c>
      <c r="B23" s="16">
        <f>IF(OR(Topraklar!$J$2="Evet",AND(Topraklar!$L$2&lt;&gt;"Evet",Topraklar!$K$2&lt;&gt;Bitkiler!$C$22)),0,MAX(0,1-(Ayarlar!$B$2*ABS(Bitkiler!$D$22-Topraklar!$D$2)+Ayarlar!$B$3*ABS(Bitkiler!$E$22-Topraklar!$E$2)+Ayarlar!$B$4*ABS(Bitkiler!$F$22-Topraklar!$F$2)+Ayarlar!$B$5*ABS(Bitkiler!$G$22-Topraklar!$G$2)+Ayarlar!$B$6*IF(Bitkiler!$H$22=Topraklar!$H$2,0,1))/Ayarlar!$B$7)+IF(Topraklar!$K$2=Bitkiler!$C$22,0.002,IF(Topraklar!$L$2="Evet",0.001,0)))</f>
        <v/>
      </c>
      <c r="C23" s="16">
        <f>IF(OR(Topraklar!$J$3="Evet",AND(Topraklar!$L$3&lt;&gt;"Evet",Topraklar!$K$3&lt;&gt;Bitkiler!$C$22)),0,MAX(0,1-(Ayarlar!$B$2*ABS(Bitkiler!$D$22-Topraklar!$D$3)+Ayarlar!$B$3*ABS(Bitkiler!$E$22-Topraklar!$E$3)+Ayarlar!$B$4*ABS(Bitkiler!$F$22-Topraklar!$F$3)+Ayarlar!$B$5*ABS(Bitkiler!$G$22-Topraklar!$G$3)+Ayarlar!$B$6*IF(Bitkiler!$H$22=Topraklar!$H$3,0,1))/Ayarlar!$B$7)+IF(Topraklar!$K$3=Bitkiler!$C$22,0.002,IF(Topraklar!$L$3="Evet",0.001,0)))</f>
        <v/>
      </c>
      <c r="D23" s="16">
        <f>IF(OR(Topraklar!$J$4="Evet",AND(Topraklar!$L$4&lt;&gt;"Evet",Topraklar!$K$4&lt;&gt;Bitkiler!$C$22)),0,MAX(0,1-(Ayarlar!$B$2*ABS(Bitkiler!$D$22-Topraklar!$D$4)+Ayarlar!$B$3*ABS(Bitkiler!$E$22-Topraklar!$E$4)+Ayarlar!$B$4*ABS(Bitkiler!$F$22-Topraklar!$F$4)+Ayarlar!$B$5*ABS(Bitkiler!$G$22-Topraklar!$G$4)+Ayarlar!$B$6*IF(Bitkiler!$H$22=Topraklar!$H$4,0,1))/Ayarlar!$B$7)+IF(Topraklar!$K$4=Bitkiler!$C$22,0.002,IF(Topraklar!$L$4="Evet",0.001,0)))</f>
        <v/>
      </c>
      <c r="E23" s="16">
        <f>IF(OR(Topraklar!$J$5="Evet",AND(Topraklar!$L$5&lt;&gt;"Evet",Topraklar!$K$5&lt;&gt;Bitkiler!$C$22)),0,MAX(0,1-(Ayarlar!$B$2*ABS(Bitkiler!$D$22-Topraklar!$D$5)+Ayarlar!$B$3*ABS(Bitkiler!$E$22-Topraklar!$E$5)+Ayarlar!$B$4*ABS(Bitkiler!$F$22-Topraklar!$F$5)+Ayarlar!$B$5*ABS(Bitkiler!$G$22-Topraklar!$G$5)+Ayarlar!$B$6*IF(Bitkiler!$H$22=Topraklar!$H$5,0,1))/Ayarlar!$B$7)+IF(Topraklar!$K$5=Bitkiler!$C$22,0.002,IF(Topraklar!$L$5="Evet",0.001,0)))</f>
        <v/>
      </c>
      <c r="F23" s="16">
        <f>IF(OR(Topraklar!$J$6="Evet",AND(Topraklar!$L$6&lt;&gt;"Evet",Topraklar!$K$6&lt;&gt;Bitkiler!$C$22)),0,MAX(0,1-(Ayarlar!$B$2*ABS(Bitkiler!$D$22-Topraklar!$D$6)+Ayarlar!$B$3*ABS(Bitkiler!$E$22-Topraklar!$E$6)+Ayarlar!$B$4*ABS(Bitkiler!$F$22-Topraklar!$F$6)+Ayarlar!$B$5*ABS(Bitkiler!$G$22-Topraklar!$G$6)+Ayarlar!$B$6*IF(Bitkiler!$H$22=Topraklar!$H$6,0,1))/Ayarlar!$B$7)+IF(Topraklar!$K$6=Bitkiler!$C$22,0.002,IF(Topraklar!$L$6="Evet",0.001,0)))</f>
        <v/>
      </c>
      <c r="G23" s="16">
        <f>IF(OR(Topraklar!$J$7="Evet",AND(Topraklar!$L$7&lt;&gt;"Evet",Topraklar!$K$7&lt;&gt;Bitkiler!$C$22)),0,MAX(0,1-(Ayarlar!$B$2*ABS(Bitkiler!$D$22-Topraklar!$D$7)+Ayarlar!$B$3*ABS(Bitkiler!$E$22-Topraklar!$E$7)+Ayarlar!$B$4*ABS(Bitkiler!$F$22-Topraklar!$F$7)+Ayarlar!$B$5*ABS(Bitkiler!$G$22-Topraklar!$G$7)+Ayarlar!$B$6*IF(Bitkiler!$H$22=Topraklar!$H$7,0,1))/Ayarlar!$B$7)+IF(Topraklar!$K$7=Bitkiler!$C$22,0.002,IF(Topraklar!$L$7="Evet",0.001,0)))</f>
        <v/>
      </c>
      <c r="H23" s="16">
        <f>IF(OR(Topraklar!$J$8="Evet",AND(Topraklar!$L$8&lt;&gt;"Evet",Topraklar!$K$8&lt;&gt;Bitkiler!$C$22)),0,MAX(0,1-(Ayarlar!$B$2*ABS(Bitkiler!$D$22-Topraklar!$D$8)+Ayarlar!$B$3*ABS(Bitkiler!$E$22-Topraklar!$E$8)+Ayarlar!$B$4*ABS(Bitkiler!$F$22-Topraklar!$F$8)+Ayarlar!$B$5*ABS(Bitkiler!$G$22-Topraklar!$G$8)+Ayarlar!$B$6*IF(Bitkiler!$H$22=Topraklar!$H$8,0,1))/Ayarlar!$B$7)+IF(Topraklar!$K$8=Bitkiler!$C$22,0.002,IF(Topraklar!$L$8="Evet",0.001,0)))</f>
        <v/>
      </c>
      <c r="I23" s="16">
        <f>IF(OR(Topraklar!$J$9="Evet",AND(Topraklar!$L$9&lt;&gt;"Evet",Topraklar!$K$9&lt;&gt;Bitkiler!$C$22)),0,MAX(0,1-(Ayarlar!$B$2*ABS(Bitkiler!$D$22-Topraklar!$D$9)+Ayarlar!$B$3*ABS(Bitkiler!$E$22-Topraklar!$E$9)+Ayarlar!$B$4*ABS(Bitkiler!$F$22-Topraklar!$F$9)+Ayarlar!$B$5*ABS(Bitkiler!$G$22-Topraklar!$G$9)+Ayarlar!$B$6*IF(Bitkiler!$H$22=Topraklar!$H$9,0,1))/Ayarlar!$B$7)+IF(Topraklar!$K$9=Bitkiler!$C$22,0.002,IF(Topraklar!$L$9="Evet",0.001,0)))</f>
        <v/>
      </c>
      <c r="J23" s="16">
        <f>IF(OR(Topraklar!$J$10="Evet",AND(Topraklar!$L$10&lt;&gt;"Evet",Topraklar!$K$10&lt;&gt;Bitkiler!$C$22)),0,MAX(0,1-(Ayarlar!$B$2*ABS(Bitkiler!$D$22-Topraklar!$D$10)+Ayarlar!$B$3*ABS(Bitkiler!$E$22-Topraklar!$E$10)+Ayarlar!$B$4*ABS(Bitkiler!$F$22-Topraklar!$F$10)+Ayarlar!$B$5*ABS(Bitkiler!$G$22-Topraklar!$G$10)+Ayarlar!$B$6*IF(Bitkiler!$H$22=Topraklar!$H$10,0,1))/Ayarlar!$B$7)+IF(Topraklar!$K$10=Bitkiler!$C$22,0.002,IF(Topraklar!$L$10="Evet",0.001,0)))</f>
        <v/>
      </c>
      <c r="K23" s="16">
        <f>IF(OR(Topraklar!$J$11="Evet",AND(Topraklar!$L$11&lt;&gt;"Evet",Topraklar!$K$11&lt;&gt;Bitkiler!$C$22)),0,MAX(0,1-(Ayarlar!$B$2*ABS(Bitkiler!$D$22-Topraklar!$D$11)+Ayarlar!$B$3*ABS(Bitkiler!$E$22-Topraklar!$E$11)+Ayarlar!$B$4*ABS(Bitkiler!$F$22-Topraklar!$F$11)+Ayarlar!$B$5*ABS(Bitkiler!$G$22-Topraklar!$G$11)+Ayarlar!$B$6*IF(Bitkiler!$H$22=Topraklar!$H$11,0,1))/Ayarlar!$B$7)+IF(Topraklar!$K$11=Bitkiler!$C$22,0.002,IF(Topraklar!$L$11="Evet",0.001,0)))</f>
        <v/>
      </c>
      <c r="L23" s="16">
        <f>IF(OR(Topraklar!$J$12="Evet",AND(Topraklar!$L$12&lt;&gt;"Evet",Topraklar!$K$12&lt;&gt;Bitkiler!$C$22)),0,MAX(0,1-(Ayarlar!$B$2*ABS(Bitkiler!$D$22-Topraklar!$D$12)+Ayarlar!$B$3*ABS(Bitkiler!$E$22-Topraklar!$E$12)+Ayarlar!$B$4*ABS(Bitkiler!$F$22-Topraklar!$F$12)+Ayarlar!$B$5*ABS(Bitkiler!$G$22-Topraklar!$G$12)+Ayarlar!$B$6*IF(Bitkiler!$H$22=Topraklar!$H$12,0,1))/Ayarlar!$B$7)+IF(Topraklar!$K$12=Bitkiler!$C$22,0.002,IF(Topraklar!$L$12="Evet",0.001,0)))</f>
        <v/>
      </c>
      <c r="M23" s="16">
        <f>IF(OR(Topraklar!$J$13="Evet",AND(Topraklar!$L$13&lt;&gt;"Evet",Topraklar!$K$13&lt;&gt;Bitkiler!$C$22)),0,MAX(0,1-(Ayarlar!$B$2*ABS(Bitkiler!$D$22-Topraklar!$D$13)+Ayarlar!$B$3*ABS(Bitkiler!$E$22-Topraklar!$E$13)+Ayarlar!$B$4*ABS(Bitkiler!$F$22-Topraklar!$F$13)+Ayarlar!$B$5*ABS(Bitkiler!$G$22-Topraklar!$G$13)+Ayarlar!$B$6*IF(Bitkiler!$H$22=Topraklar!$H$13,0,1))/Ayarlar!$B$7)+IF(Topraklar!$K$13=Bitkiler!$C$22,0.002,IF(Topraklar!$L$13="Evet",0.001,0)))</f>
        <v/>
      </c>
      <c r="N23" s="16">
        <f>IF(OR(Topraklar!$J$14="Evet",AND(Topraklar!$L$14&lt;&gt;"Evet",Topraklar!$K$14&lt;&gt;Bitkiler!$C$22)),0,MAX(0,1-(Ayarlar!$B$2*ABS(Bitkiler!$D$22-Topraklar!$D$14)+Ayarlar!$B$3*ABS(Bitkiler!$E$22-Topraklar!$E$14)+Ayarlar!$B$4*ABS(Bitkiler!$F$22-Topraklar!$F$14)+Ayarlar!$B$5*ABS(Bitkiler!$G$22-Topraklar!$G$14)+Ayarlar!$B$6*IF(Bitkiler!$H$22=Topraklar!$H$14,0,1))/Ayarlar!$B$7)+IF(Topraklar!$K$14=Bitkiler!$C$22,0.002,IF(Topraklar!$L$14="Evet",0.001,0)))</f>
        <v/>
      </c>
      <c r="O23" s="16">
        <f>IF(OR(Topraklar!$J$15="Evet",AND(Topraklar!$L$15&lt;&gt;"Evet",Topraklar!$K$15&lt;&gt;Bitkiler!$C$22)),0,MAX(0,1-(Ayarlar!$B$2*ABS(Bitkiler!$D$22-Topraklar!$D$15)+Ayarlar!$B$3*ABS(Bitkiler!$E$22-Topraklar!$E$15)+Ayarlar!$B$4*ABS(Bitkiler!$F$22-Topraklar!$F$15)+Ayarlar!$B$5*ABS(Bitkiler!$G$22-Topraklar!$G$15)+Ayarlar!$B$6*IF(Bitkiler!$H$22=Topraklar!$H$15,0,1))/Ayarlar!$B$7)+IF(Topraklar!$K$15=Bitkiler!$C$22,0.002,IF(Topraklar!$L$15="Evet",0.001,0)))</f>
        <v/>
      </c>
      <c r="P23" s="16">
        <f>IF(OR(Topraklar!$J$16="Evet",AND(Topraklar!$L$16&lt;&gt;"Evet",Topraklar!$K$16&lt;&gt;Bitkiler!$C$22)),0,MAX(0,1-(Ayarlar!$B$2*ABS(Bitkiler!$D$22-Topraklar!$D$16)+Ayarlar!$B$3*ABS(Bitkiler!$E$22-Topraklar!$E$16)+Ayarlar!$B$4*ABS(Bitkiler!$F$22-Topraklar!$F$16)+Ayarlar!$B$5*ABS(Bitkiler!$G$22-Topraklar!$G$16)+Ayarlar!$B$6*IF(Bitkiler!$H$22=Topraklar!$H$16,0,1))/Ayarlar!$B$7)+IF(Topraklar!$K$16=Bitkiler!$C$22,0.002,IF(Topraklar!$L$16="Evet",0.001,0)))</f>
        <v/>
      </c>
      <c r="Q23" s="16">
        <f>IF(OR(Topraklar!$J$17="Evet",AND(Topraklar!$L$17&lt;&gt;"Evet",Topraklar!$K$17&lt;&gt;Bitkiler!$C$22)),0,MAX(0,1-(Ayarlar!$B$2*ABS(Bitkiler!$D$22-Topraklar!$D$17)+Ayarlar!$B$3*ABS(Bitkiler!$E$22-Topraklar!$E$17)+Ayarlar!$B$4*ABS(Bitkiler!$F$22-Topraklar!$F$17)+Ayarlar!$B$5*ABS(Bitkiler!$G$22-Topraklar!$G$17)+Ayarlar!$B$6*IF(Bitkiler!$H$22=Topraklar!$H$17,0,1))/Ayarlar!$B$7)+IF(Topraklar!$K$17=Bitkiler!$C$22,0.002,IF(Topraklar!$L$17="Evet",0.001,0)))</f>
        <v/>
      </c>
      <c r="R23" s="16">
        <f>IF(OR(Topraklar!$J$18="Evet",AND(Topraklar!$L$18&lt;&gt;"Evet",Topraklar!$K$18&lt;&gt;Bitkiler!$C$22)),0,MAX(0,1-(Ayarlar!$B$2*ABS(Bitkiler!$D$22-Topraklar!$D$18)+Ayarlar!$B$3*ABS(Bitkiler!$E$22-Topraklar!$E$18)+Ayarlar!$B$4*ABS(Bitkiler!$F$22-Topraklar!$F$18)+Ayarlar!$B$5*ABS(Bitkiler!$G$22-Topraklar!$G$18)+Ayarlar!$B$6*IF(Bitkiler!$H$22=Topraklar!$H$18,0,1))/Ayarlar!$B$7)+IF(Topraklar!$K$18=Bitkiler!$C$22,0.002,IF(Topraklar!$L$18="Evet",0.001,0)))</f>
        <v/>
      </c>
      <c r="S23" s="16">
        <f>IF(OR(Topraklar!$J$19="Evet",AND(Topraklar!$L$19&lt;&gt;"Evet",Topraklar!$K$19&lt;&gt;Bitkiler!$C$22)),0,MAX(0,1-(Ayarlar!$B$2*ABS(Bitkiler!$D$22-Topraklar!$D$19)+Ayarlar!$B$3*ABS(Bitkiler!$E$22-Topraklar!$E$19)+Ayarlar!$B$4*ABS(Bitkiler!$F$22-Topraklar!$F$19)+Ayarlar!$B$5*ABS(Bitkiler!$G$22-Topraklar!$G$19)+Ayarlar!$B$6*IF(Bitkiler!$H$22=Topraklar!$H$19,0,1))/Ayarlar!$B$7)+IF(Topraklar!$K$19=Bitkiler!$C$22,0.002,IF(Topraklar!$L$19="Evet",0.001,0)))</f>
        <v/>
      </c>
      <c r="T23" s="16">
        <f>IF(OR(Topraklar!$J$20="Evet",AND(Topraklar!$L$20&lt;&gt;"Evet",Topraklar!$K$20&lt;&gt;Bitkiler!$C$22)),0,MAX(0,1-(Ayarlar!$B$2*ABS(Bitkiler!$D$22-Topraklar!$D$20)+Ayarlar!$B$3*ABS(Bitkiler!$E$22-Topraklar!$E$20)+Ayarlar!$B$4*ABS(Bitkiler!$F$22-Topraklar!$F$20)+Ayarlar!$B$5*ABS(Bitkiler!$G$22-Topraklar!$G$20)+Ayarlar!$B$6*IF(Bitkiler!$H$22=Topraklar!$H$20,0,1))/Ayarlar!$B$7)+IF(Topraklar!$K$20=Bitkiler!$C$22,0.002,IF(Topraklar!$L$20="Evet",0.001,0)))</f>
        <v/>
      </c>
      <c r="U23" s="16">
        <f>IF(OR(Topraklar!$J$21="Evet",AND(Topraklar!$L$21&lt;&gt;"Evet",Topraklar!$K$21&lt;&gt;Bitkiler!$C$22)),0,MAX(0,1-(Ayarlar!$B$2*ABS(Bitkiler!$D$22-Topraklar!$D$21)+Ayarlar!$B$3*ABS(Bitkiler!$E$22-Topraklar!$E$21)+Ayarlar!$B$4*ABS(Bitkiler!$F$22-Topraklar!$F$21)+Ayarlar!$B$5*ABS(Bitkiler!$G$22-Topraklar!$G$21)+Ayarlar!$B$6*IF(Bitkiler!$H$22=Topraklar!$H$21,0,1))/Ayarlar!$B$7)+IF(Topraklar!$K$21=Bitkiler!$C$22,0.002,IF(Topraklar!$L$21="Evet",0.001,0)))</f>
        <v/>
      </c>
      <c r="V23" s="16">
        <f>IF(OR(Topraklar!$J$22="Evet",AND(Topraklar!$L$22&lt;&gt;"Evet",Topraklar!$K$22&lt;&gt;Bitkiler!$C$22)),0,MAX(0,1-(Ayarlar!$B$2*ABS(Bitkiler!$D$22-Topraklar!$D$22)+Ayarlar!$B$3*ABS(Bitkiler!$E$22-Topraklar!$E$22)+Ayarlar!$B$4*ABS(Bitkiler!$F$22-Topraklar!$F$22)+Ayarlar!$B$5*ABS(Bitkiler!$G$22-Topraklar!$G$22)+Ayarlar!$B$6*IF(Bitkiler!$H$22=Topraklar!$H$22,0,1))/Ayarlar!$B$7)+IF(Topraklar!$K$22=Bitkiler!$C$22,0.002,IF(Topraklar!$L$22="Evet",0.001,0)))</f>
        <v/>
      </c>
      <c r="W23" s="16">
        <f>IF(OR(Topraklar!$J$23="Evet",AND(Topraklar!$L$23&lt;&gt;"Evet",Topraklar!$K$23&lt;&gt;Bitkiler!$C$22)),0,MAX(0,1-(Ayarlar!$B$2*ABS(Bitkiler!$D$22-Topraklar!$D$23)+Ayarlar!$B$3*ABS(Bitkiler!$E$22-Topraklar!$E$23)+Ayarlar!$B$4*ABS(Bitkiler!$F$22-Topraklar!$F$23)+Ayarlar!$B$5*ABS(Bitkiler!$G$22-Topraklar!$G$23)+Ayarlar!$B$6*IF(Bitkiler!$H$22=Topraklar!$H$23,0,1))/Ayarlar!$B$7)+IF(Topraklar!$K$23=Bitkiler!$C$22,0.002,IF(Topraklar!$L$23="Evet",0.001,0)))</f>
        <v/>
      </c>
      <c r="X23" s="16">
        <f>IF(OR(Topraklar!$J$24="Evet",AND(Topraklar!$L$24&lt;&gt;"Evet",Topraklar!$K$24&lt;&gt;Bitkiler!$C$22)),0,MAX(0,1-(Ayarlar!$B$2*ABS(Bitkiler!$D$22-Topraklar!$D$24)+Ayarlar!$B$3*ABS(Bitkiler!$E$22-Topraklar!$E$24)+Ayarlar!$B$4*ABS(Bitkiler!$F$22-Topraklar!$F$24)+Ayarlar!$B$5*ABS(Bitkiler!$G$22-Topraklar!$G$24)+Ayarlar!$B$6*IF(Bitkiler!$H$22=Topraklar!$H$24,0,1))/Ayarlar!$B$7)+IF(Topraklar!$K$24=Bitkiler!$C$22,0.002,IF(Topraklar!$L$24="Evet",0.001,0)))</f>
        <v/>
      </c>
      <c r="Y23" s="16">
        <f>IF(OR(Topraklar!$J$25="Evet",AND(Topraklar!$L$25&lt;&gt;"Evet",Topraklar!$K$25&lt;&gt;Bitkiler!$C$22)),0,MAX(0,1-(Ayarlar!$B$2*ABS(Bitkiler!$D$22-Topraklar!$D$25)+Ayarlar!$B$3*ABS(Bitkiler!$E$22-Topraklar!$E$25)+Ayarlar!$B$4*ABS(Bitkiler!$F$22-Topraklar!$F$25)+Ayarlar!$B$5*ABS(Bitkiler!$G$22-Topraklar!$G$25)+Ayarlar!$B$6*IF(Bitkiler!$H$22=Topraklar!$H$25,0,1))/Ayarlar!$B$7)+IF(Topraklar!$K$25=Bitkiler!$C$22,0.002,IF(Topraklar!$L$25="Evet",0.001,0)))</f>
        <v/>
      </c>
      <c r="Z23" s="16">
        <f>IF(OR(Topraklar!$J$26="Evet",AND(Topraklar!$L$26&lt;&gt;"Evet",Topraklar!$K$26&lt;&gt;Bitkiler!$C$22)),0,MAX(0,1-(Ayarlar!$B$2*ABS(Bitkiler!$D$22-Topraklar!$D$26)+Ayarlar!$B$3*ABS(Bitkiler!$E$22-Topraklar!$E$26)+Ayarlar!$B$4*ABS(Bitkiler!$F$22-Topraklar!$F$26)+Ayarlar!$B$5*ABS(Bitkiler!$G$22-Topraklar!$G$26)+Ayarlar!$B$6*IF(Bitkiler!$H$22=Topraklar!$H$26,0,1))/Ayarlar!$B$7)+IF(Topraklar!$K$26=Bitkiler!$C$22,0.002,IF(Topraklar!$L$26="Evet",0.001,0)))</f>
        <v/>
      </c>
      <c r="AA23" s="16">
        <f>IF(OR(Topraklar!$J$27="Evet",AND(Topraklar!$L$27&lt;&gt;"Evet",Topraklar!$K$27&lt;&gt;Bitkiler!$C$22)),0,MAX(0,1-(Ayarlar!$B$2*ABS(Bitkiler!$D$22-Topraklar!$D$27)+Ayarlar!$B$3*ABS(Bitkiler!$E$22-Topraklar!$E$27)+Ayarlar!$B$4*ABS(Bitkiler!$F$22-Topraklar!$F$27)+Ayarlar!$B$5*ABS(Bitkiler!$G$22-Topraklar!$G$27)+Ayarlar!$B$6*IF(Bitkiler!$H$22=Topraklar!$H$27,0,1))/Ayarlar!$B$7)+IF(Topraklar!$K$27=Bitkiler!$C$22,0.002,IF(Topraklar!$L$27="Evet",0.001,0)))</f>
        <v/>
      </c>
      <c r="AB23" s="16">
        <f>IF(OR(Topraklar!$J$28="Evet",AND(Topraklar!$L$28&lt;&gt;"Evet",Topraklar!$K$28&lt;&gt;Bitkiler!$C$22)),0,MAX(0,1-(Ayarlar!$B$2*ABS(Bitkiler!$D$22-Topraklar!$D$28)+Ayarlar!$B$3*ABS(Bitkiler!$E$22-Topraklar!$E$28)+Ayarlar!$B$4*ABS(Bitkiler!$F$22-Topraklar!$F$28)+Ayarlar!$B$5*ABS(Bitkiler!$G$22-Topraklar!$G$28)+Ayarlar!$B$6*IF(Bitkiler!$H$22=Topraklar!$H$28,0,1))/Ayarlar!$B$7)+IF(Topraklar!$K$28=Bitkiler!$C$22,0.002,IF(Topraklar!$L$28="Evet",0.001,0)))</f>
        <v/>
      </c>
      <c r="AC23" s="16">
        <f>IF(OR(Topraklar!$J$29="Evet",AND(Topraklar!$L$29&lt;&gt;"Evet",Topraklar!$K$29&lt;&gt;Bitkiler!$C$22)),0,MAX(0,1-(Ayarlar!$B$2*ABS(Bitkiler!$D$22-Topraklar!$D$29)+Ayarlar!$B$3*ABS(Bitkiler!$E$22-Topraklar!$E$29)+Ayarlar!$B$4*ABS(Bitkiler!$F$22-Topraklar!$F$29)+Ayarlar!$B$5*ABS(Bitkiler!$G$22-Topraklar!$G$29)+Ayarlar!$B$6*IF(Bitkiler!$H$22=Topraklar!$H$29,0,1))/Ayarlar!$B$7)+IF(Topraklar!$K$29=Bitkiler!$C$22,0.002,IF(Topraklar!$L$29="Evet",0.001,0)))</f>
        <v/>
      </c>
      <c r="AD23" s="16">
        <f>IF(OR(Topraklar!$J$30="Evet",AND(Topraklar!$L$30&lt;&gt;"Evet",Topraklar!$K$30&lt;&gt;Bitkiler!$C$22)),0,MAX(0,1-(Ayarlar!$B$2*ABS(Bitkiler!$D$22-Topraklar!$D$30)+Ayarlar!$B$3*ABS(Bitkiler!$E$22-Topraklar!$E$30)+Ayarlar!$B$4*ABS(Bitkiler!$F$22-Topraklar!$F$30)+Ayarlar!$B$5*ABS(Bitkiler!$G$22-Topraklar!$G$30)+Ayarlar!$B$6*IF(Bitkiler!$H$22=Topraklar!$H$30,0,1))/Ayarlar!$B$7)+IF(Topraklar!$K$30=Bitkiler!$C$22,0.002,IF(Topraklar!$L$30="Evet",0.001,0)))</f>
        <v/>
      </c>
      <c r="AE23" s="16">
        <f>IF(OR(Topraklar!$J$31="Evet",AND(Topraklar!$L$31&lt;&gt;"Evet",Topraklar!$K$31&lt;&gt;Bitkiler!$C$22)),0,MAX(0,1-(Ayarlar!$B$2*ABS(Bitkiler!$D$22-Topraklar!$D$31)+Ayarlar!$B$3*ABS(Bitkiler!$E$22-Topraklar!$E$31)+Ayarlar!$B$4*ABS(Bitkiler!$F$22-Topraklar!$F$31)+Ayarlar!$B$5*ABS(Bitkiler!$G$22-Topraklar!$G$31)+Ayarlar!$B$6*IF(Bitkiler!$H$22=Topraklar!$H$31,0,1))/Ayarlar!$B$7)+IF(Topraklar!$K$31=Bitkiler!$C$22,0.002,IF(Topraklar!$L$31="Evet",0.001,0)))</f>
        <v/>
      </c>
      <c r="AF23" s="16">
        <f>IF(OR(Topraklar!$J$32="Evet",AND(Topraklar!$L$32&lt;&gt;"Evet",Topraklar!$K$32&lt;&gt;Bitkiler!$C$22)),0,MAX(0,1-(Ayarlar!$B$2*ABS(Bitkiler!$D$22-Topraklar!$D$32)+Ayarlar!$B$3*ABS(Bitkiler!$E$22-Topraklar!$E$32)+Ayarlar!$B$4*ABS(Bitkiler!$F$22-Topraklar!$F$32)+Ayarlar!$B$5*ABS(Bitkiler!$G$22-Topraklar!$G$32)+Ayarlar!$B$6*IF(Bitkiler!$H$22=Topraklar!$H$32,0,1))/Ayarlar!$B$7)+IF(Topraklar!$K$32=Bitkiler!$C$22,0.002,IF(Topraklar!$L$32="Evet",0.001,0)))</f>
        <v/>
      </c>
      <c r="AG23" s="16">
        <f>IF(OR(Topraklar!$J$33="Evet",AND(Topraklar!$L$33&lt;&gt;"Evet",Topraklar!$K$33&lt;&gt;Bitkiler!$C$22)),0,MAX(0,1-(Ayarlar!$B$2*ABS(Bitkiler!$D$22-Topraklar!$D$33)+Ayarlar!$B$3*ABS(Bitkiler!$E$22-Topraklar!$E$33)+Ayarlar!$B$4*ABS(Bitkiler!$F$22-Topraklar!$F$33)+Ayarlar!$B$5*ABS(Bitkiler!$G$22-Topraklar!$G$33)+Ayarlar!$B$6*IF(Bitkiler!$H$22=Topraklar!$H$33,0,1))/Ayarlar!$B$7)+IF(Topraklar!$K$33=Bitkiler!$C$22,0.002,IF(Topraklar!$L$33="Evet",0.001,0)))</f>
        <v/>
      </c>
      <c r="AH23" s="16">
        <f>IF(OR(Topraklar!$J$34="Evet",AND(Topraklar!$L$34&lt;&gt;"Evet",Topraklar!$K$34&lt;&gt;Bitkiler!$C$22)),0,MAX(0,1-(Ayarlar!$B$2*ABS(Bitkiler!$D$22-Topraklar!$D$34)+Ayarlar!$B$3*ABS(Bitkiler!$E$22-Topraklar!$E$34)+Ayarlar!$B$4*ABS(Bitkiler!$F$22-Topraklar!$F$34)+Ayarlar!$B$5*ABS(Bitkiler!$G$22-Topraklar!$G$34)+Ayarlar!$B$6*IF(Bitkiler!$H$22=Topraklar!$H$34,0,1))/Ayarlar!$B$7)+IF(Topraklar!$K$34=Bitkiler!$C$22,0.002,IF(Topraklar!$L$34="Evet",0.001,0)))</f>
        <v/>
      </c>
      <c r="AI23" s="16">
        <f>IF(OR(Topraklar!$J$35="Evet",AND(Topraklar!$L$35&lt;&gt;"Evet",Topraklar!$K$35&lt;&gt;Bitkiler!$C$22)),0,MAX(0,1-(Ayarlar!$B$2*ABS(Bitkiler!$D$22-Topraklar!$D$35)+Ayarlar!$B$3*ABS(Bitkiler!$E$22-Topraklar!$E$35)+Ayarlar!$B$4*ABS(Bitkiler!$F$22-Topraklar!$F$35)+Ayarlar!$B$5*ABS(Bitkiler!$G$22-Topraklar!$G$35)+Ayarlar!$B$6*IF(Bitkiler!$H$22=Topraklar!$H$35,0,1))/Ayarlar!$B$7)+IF(Topraklar!$K$35=Bitkiler!$C$22,0.002,IF(Topraklar!$L$35="Evet",0.001,0)))</f>
        <v/>
      </c>
      <c r="AJ23" s="16">
        <f>IF(OR(Topraklar!$J$36="Evet",AND(Topraklar!$L$36&lt;&gt;"Evet",Topraklar!$K$36&lt;&gt;Bitkiler!$C$22)),0,MAX(0,1-(Ayarlar!$B$2*ABS(Bitkiler!$D$22-Topraklar!$D$36)+Ayarlar!$B$3*ABS(Bitkiler!$E$22-Topraklar!$E$36)+Ayarlar!$B$4*ABS(Bitkiler!$F$22-Topraklar!$F$36)+Ayarlar!$B$5*ABS(Bitkiler!$G$22-Topraklar!$G$36)+Ayarlar!$B$6*IF(Bitkiler!$H$22=Topraklar!$H$36,0,1))/Ayarlar!$B$7)+IF(Topraklar!$K$36=Bitkiler!$C$22,0.002,IF(Topraklar!$L$36="Evet",0.001,0)))</f>
        <v/>
      </c>
      <c r="AK23" s="16">
        <f>IF(OR(Topraklar!$J$37="Evet",AND(Topraklar!$L$37&lt;&gt;"Evet",Topraklar!$K$37&lt;&gt;Bitkiler!$C$22)),0,MAX(0,1-(Ayarlar!$B$2*ABS(Bitkiler!$D$22-Topraklar!$D$37)+Ayarlar!$B$3*ABS(Bitkiler!$E$22-Topraklar!$E$37)+Ayarlar!$B$4*ABS(Bitkiler!$F$22-Topraklar!$F$37)+Ayarlar!$B$5*ABS(Bitkiler!$G$22-Topraklar!$G$37)+Ayarlar!$B$6*IF(Bitkiler!$H$22=Topraklar!$H$37,0,1))/Ayarlar!$B$7)+IF(Topraklar!$K$37=Bitkiler!$C$22,0.002,IF(Topraklar!$L$37="Evet",0.001,0)))</f>
        <v/>
      </c>
      <c r="AL23" s="16">
        <f>IF(OR(Topraklar!$J$38="Evet",AND(Topraklar!$L$38&lt;&gt;"Evet",Topraklar!$K$38&lt;&gt;Bitkiler!$C$22)),0,MAX(0,1-(Ayarlar!$B$2*ABS(Bitkiler!$D$22-Topraklar!$D$38)+Ayarlar!$B$3*ABS(Bitkiler!$E$22-Topraklar!$E$38)+Ayarlar!$B$4*ABS(Bitkiler!$F$22-Topraklar!$F$38)+Ayarlar!$B$5*ABS(Bitkiler!$G$22-Topraklar!$G$38)+Ayarlar!$B$6*IF(Bitkiler!$H$22=Topraklar!$H$38,0,1))/Ayarlar!$B$7)+IF(Topraklar!$K$38=Bitkiler!$C$22,0.002,IF(Topraklar!$L$38="Evet",0.001,0)))</f>
        <v/>
      </c>
      <c r="AM23" s="16">
        <f>IF(OR(Topraklar!$J$39="Evet",AND(Topraklar!$L$39&lt;&gt;"Evet",Topraklar!$K$39&lt;&gt;Bitkiler!$C$22)),0,MAX(0,1-(Ayarlar!$B$2*ABS(Bitkiler!$D$22-Topraklar!$D$39)+Ayarlar!$B$3*ABS(Bitkiler!$E$22-Topraklar!$E$39)+Ayarlar!$B$4*ABS(Bitkiler!$F$22-Topraklar!$F$39)+Ayarlar!$B$5*ABS(Bitkiler!$G$22-Topraklar!$G$39)+Ayarlar!$B$6*IF(Bitkiler!$H$22=Topraklar!$H$39,0,1))/Ayarlar!$B$7)+IF(Topraklar!$K$39=Bitkiler!$C$22,0.002,IF(Topraklar!$L$39="Evet",0.001,0)))</f>
        <v/>
      </c>
      <c r="AN23" s="16">
        <f>IF(OR(Topraklar!$J$40="Evet",AND(Topraklar!$L$40&lt;&gt;"Evet",Topraklar!$K$40&lt;&gt;Bitkiler!$C$22)),0,MAX(0,1-(Ayarlar!$B$2*ABS(Bitkiler!$D$22-Topraklar!$D$40)+Ayarlar!$B$3*ABS(Bitkiler!$E$22-Topraklar!$E$40)+Ayarlar!$B$4*ABS(Bitkiler!$F$22-Topraklar!$F$40)+Ayarlar!$B$5*ABS(Bitkiler!$G$22-Topraklar!$G$40)+Ayarlar!$B$6*IF(Bitkiler!$H$22=Topraklar!$H$40,0,1))/Ayarlar!$B$7)+IF(Topraklar!$K$40=Bitkiler!$C$22,0.002,IF(Topraklar!$L$40="Evet",0.001,0)))</f>
        <v/>
      </c>
      <c r="AO23" s="16">
        <f>IF(OR(Topraklar!$J$41="Evet",AND(Topraklar!$L$41&lt;&gt;"Evet",Topraklar!$K$41&lt;&gt;Bitkiler!$C$22)),0,MAX(0,1-(Ayarlar!$B$2*ABS(Bitkiler!$D$22-Topraklar!$D$41)+Ayarlar!$B$3*ABS(Bitkiler!$E$22-Topraklar!$E$41)+Ayarlar!$B$4*ABS(Bitkiler!$F$22-Topraklar!$F$41)+Ayarlar!$B$5*ABS(Bitkiler!$G$22-Topraklar!$G$41)+Ayarlar!$B$6*IF(Bitkiler!$H$22=Topraklar!$H$41,0,1))/Ayarlar!$B$7)+IF(Topraklar!$K$41=Bitkiler!$C$22,0.002,IF(Topraklar!$L$41="Evet",0.001,0)))</f>
        <v/>
      </c>
      <c r="AP23" s="16">
        <f>IF(OR(Topraklar!$J$42="Evet",AND(Topraklar!$L$42&lt;&gt;"Evet",Topraklar!$K$42&lt;&gt;Bitkiler!$C$22)),0,MAX(0,1-(Ayarlar!$B$2*ABS(Bitkiler!$D$22-Topraklar!$D$42)+Ayarlar!$B$3*ABS(Bitkiler!$E$22-Topraklar!$E$42)+Ayarlar!$B$4*ABS(Bitkiler!$F$22-Topraklar!$F$42)+Ayarlar!$B$5*ABS(Bitkiler!$G$22-Topraklar!$G$42)+Ayarlar!$B$6*IF(Bitkiler!$H$22=Topraklar!$H$42,0,1))/Ayarlar!$B$7)+IF(Topraklar!$K$42=Bitkiler!$C$22,0.002,IF(Topraklar!$L$42="Evet",0.001,0)))</f>
        <v/>
      </c>
      <c r="AQ23" s="16">
        <f>IF(OR(Topraklar!$J$43="Evet",AND(Topraklar!$L$43&lt;&gt;"Evet",Topraklar!$K$43&lt;&gt;Bitkiler!$C$22)),0,MAX(0,1-(Ayarlar!$B$2*ABS(Bitkiler!$D$22-Topraklar!$D$43)+Ayarlar!$B$3*ABS(Bitkiler!$E$22-Topraklar!$E$43)+Ayarlar!$B$4*ABS(Bitkiler!$F$22-Topraklar!$F$43)+Ayarlar!$B$5*ABS(Bitkiler!$G$22-Topraklar!$G$43)+Ayarlar!$B$6*IF(Bitkiler!$H$22=Topraklar!$H$43,0,1))/Ayarlar!$B$7)+IF(Topraklar!$K$43=Bitkiler!$C$22,0.002,IF(Topraklar!$L$43="Evet",0.001,0)))</f>
        <v/>
      </c>
      <c r="AR23" s="16">
        <f>IF(OR(Topraklar!$J$44="Evet",AND(Topraklar!$L$44&lt;&gt;"Evet",Topraklar!$K$44&lt;&gt;Bitkiler!$C$22)),0,MAX(0,1-(Ayarlar!$B$2*ABS(Bitkiler!$D$22-Topraklar!$D$44)+Ayarlar!$B$3*ABS(Bitkiler!$E$22-Topraklar!$E$44)+Ayarlar!$B$4*ABS(Bitkiler!$F$22-Topraklar!$F$44)+Ayarlar!$B$5*ABS(Bitkiler!$G$22-Topraklar!$G$44)+Ayarlar!$B$6*IF(Bitkiler!$H$22=Topraklar!$H$44,0,1))/Ayarlar!$B$7)+IF(Topraklar!$K$44=Bitkiler!$C$22,0.002,IF(Topraklar!$L$44="Evet",0.001,0)))</f>
        <v/>
      </c>
      <c r="AS23" s="16">
        <f>IF(OR(Topraklar!$J$45="Evet",AND(Topraklar!$L$45&lt;&gt;"Evet",Topraklar!$K$45&lt;&gt;Bitkiler!$C$22)),0,MAX(0,1-(Ayarlar!$B$2*ABS(Bitkiler!$D$22-Topraklar!$D$45)+Ayarlar!$B$3*ABS(Bitkiler!$E$22-Topraklar!$E$45)+Ayarlar!$B$4*ABS(Bitkiler!$F$22-Topraklar!$F$45)+Ayarlar!$B$5*ABS(Bitkiler!$G$22-Topraklar!$G$45)+Ayarlar!$B$6*IF(Bitkiler!$H$22=Topraklar!$H$45,0,1))/Ayarlar!$B$7)+IF(Topraklar!$K$45=Bitkiler!$C$22,0.002,IF(Topraklar!$L$45="Evet",0.001,0)))</f>
        <v/>
      </c>
      <c r="AT23" s="16">
        <f>IF(OR(Topraklar!$J$46="Evet",AND(Topraklar!$L$46&lt;&gt;"Evet",Topraklar!$K$46&lt;&gt;Bitkiler!$C$22)),0,MAX(0,1-(Ayarlar!$B$2*ABS(Bitkiler!$D$22-Topraklar!$D$46)+Ayarlar!$B$3*ABS(Bitkiler!$E$22-Topraklar!$E$46)+Ayarlar!$B$4*ABS(Bitkiler!$F$22-Topraklar!$F$46)+Ayarlar!$B$5*ABS(Bitkiler!$G$22-Topraklar!$G$46)+Ayarlar!$B$6*IF(Bitkiler!$H$22=Topraklar!$H$46,0,1))/Ayarlar!$B$7)+IF(Topraklar!$K$46=Bitkiler!$C$22,0.002,IF(Topraklar!$L$46="Evet",0.001,0)))</f>
        <v/>
      </c>
      <c r="AU23" s="16">
        <f>IF(OR(Topraklar!$J$47="Evet",AND(Topraklar!$L$47&lt;&gt;"Evet",Topraklar!$K$47&lt;&gt;Bitkiler!$C$22)),0,MAX(0,1-(Ayarlar!$B$2*ABS(Bitkiler!$D$22-Topraklar!$D$47)+Ayarlar!$B$3*ABS(Bitkiler!$E$22-Topraklar!$E$47)+Ayarlar!$B$4*ABS(Bitkiler!$F$22-Topraklar!$F$47)+Ayarlar!$B$5*ABS(Bitkiler!$G$22-Topraklar!$G$47)+Ayarlar!$B$6*IF(Bitkiler!$H$22=Topraklar!$H$47,0,1))/Ayarlar!$B$7)+IF(Topraklar!$K$47=Bitkiler!$C$22,0.002,IF(Topraklar!$L$47="Evet",0.001,0)))</f>
        <v/>
      </c>
      <c r="AV23" s="16">
        <f>IF(OR(Topraklar!$J$48="Evet",AND(Topraklar!$L$48&lt;&gt;"Evet",Topraklar!$K$48&lt;&gt;Bitkiler!$C$22)),0,MAX(0,1-(Ayarlar!$B$2*ABS(Bitkiler!$D$22-Topraklar!$D$48)+Ayarlar!$B$3*ABS(Bitkiler!$E$22-Topraklar!$E$48)+Ayarlar!$B$4*ABS(Bitkiler!$F$22-Topraklar!$F$48)+Ayarlar!$B$5*ABS(Bitkiler!$G$22-Topraklar!$G$48)+Ayarlar!$B$6*IF(Bitkiler!$H$22=Topraklar!$H$48,0,1))/Ayarlar!$B$7)+IF(Topraklar!$K$48=Bitkiler!$C$22,0.002,IF(Topraklar!$L$48="Evet",0.001,0)))</f>
        <v/>
      </c>
      <c r="AW23" s="16">
        <f>IF(OR(Topraklar!$J$49="Evet",AND(Topraklar!$L$49&lt;&gt;"Evet",Topraklar!$K$49&lt;&gt;Bitkiler!$C$22)),0,MAX(0,1-(Ayarlar!$B$2*ABS(Bitkiler!$D$22-Topraklar!$D$49)+Ayarlar!$B$3*ABS(Bitkiler!$E$22-Topraklar!$E$49)+Ayarlar!$B$4*ABS(Bitkiler!$F$22-Topraklar!$F$49)+Ayarlar!$B$5*ABS(Bitkiler!$G$22-Topraklar!$G$49)+Ayarlar!$B$6*IF(Bitkiler!$H$22=Topraklar!$H$49,0,1))/Ayarlar!$B$7)+IF(Topraklar!$K$49=Bitkiler!$C$22,0.002,IF(Topraklar!$L$49="Evet",0.001,0)))</f>
        <v/>
      </c>
      <c r="AX23" s="16">
        <f>IF(OR(Topraklar!$J$50="Evet",AND(Topraklar!$L$50&lt;&gt;"Evet",Topraklar!$K$50&lt;&gt;Bitkiler!$C$22)),0,MAX(0,1-(Ayarlar!$B$2*ABS(Bitkiler!$D$22-Topraklar!$D$50)+Ayarlar!$B$3*ABS(Bitkiler!$E$22-Topraklar!$E$50)+Ayarlar!$B$4*ABS(Bitkiler!$F$22-Topraklar!$F$50)+Ayarlar!$B$5*ABS(Bitkiler!$G$22-Topraklar!$G$50)+Ayarlar!$B$6*IF(Bitkiler!$H$22=Topraklar!$H$50,0,1))/Ayarlar!$B$7)+IF(Topraklar!$K$50=Bitkiler!$C$22,0.002,IF(Topraklar!$L$50="Evet",0.001,0)))</f>
        <v/>
      </c>
      <c r="AY23" s="16">
        <f>IF(OR(Topraklar!$J$51="Evet",AND(Topraklar!$L$51&lt;&gt;"Evet",Topraklar!$K$51&lt;&gt;Bitkiler!$C$22)),0,MAX(0,1-(Ayarlar!$B$2*ABS(Bitkiler!$D$22-Topraklar!$D$51)+Ayarlar!$B$3*ABS(Bitkiler!$E$22-Topraklar!$E$51)+Ayarlar!$B$4*ABS(Bitkiler!$F$22-Topraklar!$F$51)+Ayarlar!$B$5*ABS(Bitkiler!$G$22-Topraklar!$G$51)+Ayarlar!$B$6*IF(Bitkiler!$H$22=Topraklar!$H$51,0,1))/Ayarlar!$B$7)+IF(Topraklar!$K$51=Bitkiler!$C$22,0.002,IF(Topraklar!$L$51="Evet",0.001,0)))</f>
        <v/>
      </c>
    </row>
    <row r="24">
      <c r="A24" s="15">
        <f>Bitkiler!A23</f>
        <v/>
      </c>
      <c r="B24" s="16">
        <f>IF(OR(Topraklar!$J$2="Evet",AND(Topraklar!$L$2&lt;&gt;"Evet",Topraklar!$K$2&lt;&gt;Bitkiler!$C$23)),0,MAX(0,1-(Ayarlar!$B$2*ABS(Bitkiler!$D$23-Topraklar!$D$2)+Ayarlar!$B$3*ABS(Bitkiler!$E$23-Topraklar!$E$2)+Ayarlar!$B$4*ABS(Bitkiler!$F$23-Topraklar!$F$2)+Ayarlar!$B$5*ABS(Bitkiler!$G$23-Topraklar!$G$2)+Ayarlar!$B$6*IF(Bitkiler!$H$23=Topraklar!$H$2,0,1))/Ayarlar!$B$7)+IF(Topraklar!$K$2=Bitkiler!$C$23,0.002,IF(Topraklar!$L$2="Evet",0.001,0)))</f>
        <v/>
      </c>
      <c r="C24" s="16">
        <f>IF(OR(Topraklar!$J$3="Evet",AND(Topraklar!$L$3&lt;&gt;"Evet",Topraklar!$K$3&lt;&gt;Bitkiler!$C$23)),0,MAX(0,1-(Ayarlar!$B$2*ABS(Bitkiler!$D$23-Topraklar!$D$3)+Ayarlar!$B$3*ABS(Bitkiler!$E$23-Topraklar!$E$3)+Ayarlar!$B$4*ABS(Bitkiler!$F$23-Topraklar!$F$3)+Ayarlar!$B$5*ABS(Bitkiler!$G$23-Topraklar!$G$3)+Ayarlar!$B$6*IF(Bitkiler!$H$23=Topraklar!$H$3,0,1))/Ayarlar!$B$7)+IF(Topraklar!$K$3=Bitkiler!$C$23,0.002,IF(Topraklar!$L$3="Evet",0.001,0)))</f>
        <v/>
      </c>
      <c r="D24" s="16">
        <f>IF(OR(Topraklar!$J$4="Evet",AND(Topraklar!$L$4&lt;&gt;"Evet",Topraklar!$K$4&lt;&gt;Bitkiler!$C$23)),0,MAX(0,1-(Ayarlar!$B$2*ABS(Bitkiler!$D$23-Topraklar!$D$4)+Ayarlar!$B$3*ABS(Bitkiler!$E$23-Topraklar!$E$4)+Ayarlar!$B$4*ABS(Bitkiler!$F$23-Topraklar!$F$4)+Ayarlar!$B$5*ABS(Bitkiler!$G$23-Topraklar!$G$4)+Ayarlar!$B$6*IF(Bitkiler!$H$23=Topraklar!$H$4,0,1))/Ayarlar!$B$7)+IF(Topraklar!$K$4=Bitkiler!$C$23,0.002,IF(Topraklar!$L$4="Evet",0.001,0)))</f>
        <v/>
      </c>
      <c r="E24" s="16">
        <f>IF(OR(Topraklar!$J$5="Evet",AND(Topraklar!$L$5&lt;&gt;"Evet",Topraklar!$K$5&lt;&gt;Bitkiler!$C$23)),0,MAX(0,1-(Ayarlar!$B$2*ABS(Bitkiler!$D$23-Topraklar!$D$5)+Ayarlar!$B$3*ABS(Bitkiler!$E$23-Topraklar!$E$5)+Ayarlar!$B$4*ABS(Bitkiler!$F$23-Topraklar!$F$5)+Ayarlar!$B$5*ABS(Bitkiler!$G$23-Topraklar!$G$5)+Ayarlar!$B$6*IF(Bitkiler!$H$23=Topraklar!$H$5,0,1))/Ayarlar!$B$7)+IF(Topraklar!$K$5=Bitkiler!$C$23,0.002,IF(Topraklar!$L$5="Evet",0.001,0)))</f>
        <v/>
      </c>
      <c r="F24" s="16">
        <f>IF(OR(Topraklar!$J$6="Evet",AND(Topraklar!$L$6&lt;&gt;"Evet",Topraklar!$K$6&lt;&gt;Bitkiler!$C$23)),0,MAX(0,1-(Ayarlar!$B$2*ABS(Bitkiler!$D$23-Topraklar!$D$6)+Ayarlar!$B$3*ABS(Bitkiler!$E$23-Topraklar!$E$6)+Ayarlar!$B$4*ABS(Bitkiler!$F$23-Topraklar!$F$6)+Ayarlar!$B$5*ABS(Bitkiler!$G$23-Topraklar!$G$6)+Ayarlar!$B$6*IF(Bitkiler!$H$23=Topraklar!$H$6,0,1))/Ayarlar!$B$7)+IF(Topraklar!$K$6=Bitkiler!$C$23,0.002,IF(Topraklar!$L$6="Evet",0.001,0)))</f>
        <v/>
      </c>
      <c r="G24" s="16">
        <f>IF(OR(Topraklar!$J$7="Evet",AND(Topraklar!$L$7&lt;&gt;"Evet",Topraklar!$K$7&lt;&gt;Bitkiler!$C$23)),0,MAX(0,1-(Ayarlar!$B$2*ABS(Bitkiler!$D$23-Topraklar!$D$7)+Ayarlar!$B$3*ABS(Bitkiler!$E$23-Topraklar!$E$7)+Ayarlar!$B$4*ABS(Bitkiler!$F$23-Topraklar!$F$7)+Ayarlar!$B$5*ABS(Bitkiler!$G$23-Topraklar!$G$7)+Ayarlar!$B$6*IF(Bitkiler!$H$23=Topraklar!$H$7,0,1))/Ayarlar!$B$7)+IF(Topraklar!$K$7=Bitkiler!$C$23,0.002,IF(Topraklar!$L$7="Evet",0.001,0)))</f>
        <v/>
      </c>
      <c r="H24" s="16">
        <f>IF(OR(Topraklar!$J$8="Evet",AND(Topraklar!$L$8&lt;&gt;"Evet",Topraklar!$K$8&lt;&gt;Bitkiler!$C$23)),0,MAX(0,1-(Ayarlar!$B$2*ABS(Bitkiler!$D$23-Topraklar!$D$8)+Ayarlar!$B$3*ABS(Bitkiler!$E$23-Topraklar!$E$8)+Ayarlar!$B$4*ABS(Bitkiler!$F$23-Topraklar!$F$8)+Ayarlar!$B$5*ABS(Bitkiler!$G$23-Topraklar!$G$8)+Ayarlar!$B$6*IF(Bitkiler!$H$23=Topraklar!$H$8,0,1))/Ayarlar!$B$7)+IF(Topraklar!$K$8=Bitkiler!$C$23,0.002,IF(Topraklar!$L$8="Evet",0.001,0)))</f>
        <v/>
      </c>
      <c r="I24" s="16">
        <f>IF(OR(Topraklar!$J$9="Evet",AND(Topraklar!$L$9&lt;&gt;"Evet",Topraklar!$K$9&lt;&gt;Bitkiler!$C$23)),0,MAX(0,1-(Ayarlar!$B$2*ABS(Bitkiler!$D$23-Topraklar!$D$9)+Ayarlar!$B$3*ABS(Bitkiler!$E$23-Topraklar!$E$9)+Ayarlar!$B$4*ABS(Bitkiler!$F$23-Topraklar!$F$9)+Ayarlar!$B$5*ABS(Bitkiler!$G$23-Topraklar!$G$9)+Ayarlar!$B$6*IF(Bitkiler!$H$23=Topraklar!$H$9,0,1))/Ayarlar!$B$7)+IF(Topraklar!$K$9=Bitkiler!$C$23,0.002,IF(Topraklar!$L$9="Evet",0.001,0)))</f>
        <v/>
      </c>
      <c r="J24" s="16">
        <f>IF(OR(Topraklar!$J$10="Evet",AND(Topraklar!$L$10&lt;&gt;"Evet",Topraklar!$K$10&lt;&gt;Bitkiler!$C$23)),0,MAX(0,1-(Ayarlar!$B$2*ABS(Bitkiler!$D$23-Topraklar!$D$10)+Ayarlar!$B$3*ABS(Bitkiler!$E$23-Topraklar!$E$10)+Ayarlar!$B$4*ABS(Bitkiler!$F$23-Topraklar!$F$10)+Ayarlar!$B$5*ABS(Bitkiler!$G$23-Topraklar!$G$10)+Ayarlar!$B$6*IF(Bitkiler!$H$23=Topraklar!$H$10,0,1))/Ayarlar!$B$7)+IF(Topraklar!$K$10=Bitkiler!$C$23,0.002,IF(Topraklar!$L$10="Evet",0.001,0)))</f>
        <v/>
      </c>
      <c r="K24" s="16">
        <f>IF(OR(Topraklar!$J$11="Evet",AND(Topraklar!$L$11&lt;&gt;"Evet",Topraklar!$K$11&lt;&gt;Bitkiler!$C$23)),0,MAX(0,1-(Ayarlar!$B$2*ABS(Bitkiler!$D$23-Topraklar!$D$11)+Ayarlar!$B$3*ABS(Bitkiler!$E$23-Topraklar!$E$11)+Ayarlar!$B$4*ABS(Bitkiler!$F$23-Topraklar!$F$11)+Ayarlar!$B$5*ABS(Bitkiler!$G$23-Topraklar!$G$11)+Ayarlar!$B$6*IF(Bitkiler!$H$23=Topraklar!$H$11,0,1))/Ayarlar!$B$7)+IF(Topraklar!$K$11=Bitkiler!$C$23,0.002,IF(Topraklar!$L$11="Evet",0.001,0)))</f>
        <v/>
      </c>
      <c r="L24" s="16">
        <f>IF(OR(Topraklar!$J$12="Evet",AND(Topraklar!$L$12&lt;&gt;"Evet",Topraklar!$K$12&lt;&gt;Bitkiler!$C$23)),0,MAX(0,1-(Ayarlar!$B$2*ABS(Bitkiler!$D$23-Topraklar!$D$12)+Ayarlar!$B$3*ABS(Bitkiler!$E$23-Topraklar!$E$12)+Ayarlar!$B$4*ABS(Bitkiler!$F$23-Topraklar!$F$12)+Ayarlar!$B$5*ABS(Bitkiler!$G$23-Topraklar!$G$12)+Ayarlar!$B$6*IF(Bitkiler!$H$23=Topraklar!$H$12,0,1))/Ayarlar!$B$7)+IF(Topraklar!$K$12=Bitkiler!$C$23,0.002,IF(Topraklar!$L$12="Evet",0.001,0)))</f>
        <v/>
      </c>
      <c r="M24" s="16">
        <f>IF(OR(Topraklar!$J$13="Evet",AND(Topraklar!$L$13&lt;&gt;"Evet",Topraklar!$K$13&lt;&gt;Bitkiler!$C$23)),0,MAX(0,1-(Ayarlar!$B$2*ABS(Bitkiler!$D$23-Topraklar!$D$13)+Ayarlar!$B$3*ABS(Bitkiler!$E$23-Topraklar!$E$13)+Ayarlar!$B$4*ABS(Bitkiler!$F$23-Topraklar!$F$13)+Ayarlar!$B$5*ABS(Bitkiler!$G$23-Topraklar!$G$13)+Ayarlar!$B$6*IF(Bitkiler!$H$23=Topraklar!$H$13,0,1))/Ayarlar!$B$7)+IF(Topraklar!$K$13=Bitkiler!$C$23,0.002,IF(Topraklar!$L$13="Evet",0.001,0)))</f>
        <v/>
      </c>
      <c r="N24" s="16">
        <f>IF(OR(Topraklar!$J$14="Evet",AND(Topraklar!$L$14&lt;&gt;"Evet",Topraklar!$K$14&lt;&gt;Bitkiler!$C$23)),0,MAX(0,1-(Ayarlar!$B$2*ABS(Bitkiler!$D$23-Topraklar!$D$14)+Ayarlar!$B$3*ABS(Bitkiler!$E$23-Topraklar!$E$14)+Ayarlar!$B$4*ABS(Bitkiler!$F$23-Topraklar!$F$14)+Ayarlar!$B$5*ABS(Bitkiler!$G$23-Topraklar!$G$14)+Ayarlar!$B$6*IF(Bitkiler!$H$23=Topraklar!$H$14,0,1))/Ayarlar!$B$7)+IF(Topraklar!$K$14=Bitkiler!$C$23,0.002,IF(Topraklar!$L$14="Evet",0.001,0)))</f>
        <v/>
      </c>
      <c r="O24" s="16">
        <f>IF(OR(Topraklar!$J$15="Evet",AND(Topraklar!$L$15&lt;&gt;"Evet",Topraklar!$K$15&lt;&gt;Bitkiler!$C$23)),0,MAX(0,1-(Ayarlar!$B$2*ABS(Bitkiler!$D$23-Topraklar!$D$15)+Ayarlar!$B$3*ABS(Bitkiler!$E$23-Topraklar!$E$15)+Ayarlar!$B$4*ABS(Bitkiler!$F$23-Topraklar!$F$15)+Ayarlar!$B$5*ABS(Bitkiler!$G$23-Topraklar!$G$15)+Ayarlar!$B$6*IF(Bitkiler!$H$23=Topraklar!$H$15,0,1))/Ayarlar!$B$7)+IF(Topraklar!$K$15=Bitkiler!$C$23,0.002,IF(Topraklar!$L$15="Evet",0.001,0)))</f>
        <v/>
      </c>
      <c r="P24" s="16">
        <f>IF(OR(Topraklar!$J$16="Evet",AND(Topraklar!$L$16&lt;&gt;"Evet",Topraklar!$K$16&lt;&gt;Bitkiler!$C$23)),0,MAX(0,1-(Ayarlar!$B$2*ABS(Bitkiler!$D$23-Topraklar!$D$16)+Ayarlar!$B$3*ABS(Bitkiler!$E$23-Topraklar!$E$16)+Ayarlar!$B$4*ABS(Bitkiler!$F$23-Topraklar!$F$16)+Ayarlar!$B$5*ABS(Bitkiler!$G$23-Topraklar!$G$16)+Ayarlar!$B$6*IF(Bitkiler!$H$23=Topraklar!$H$16,0,1))/Ayarlar!$B$7)+IF(Topraklar!$K$16=Bitkiler!$C$23,0.002,IF(Topraklar!$L$16="Evet",0.001,0)))</f>
        <v/>
      </c>
      <c r="Q24" s="16">
        <f>IF(OR(Topraklar!$J$17="Evet",AND(Topraklar!$L$17&lt;&gt;"Evet",Topraklar!$K$17&lt;&gt;Bitkiler!$C$23)),0,MAX(0,1-(Ayarlar!$B$2*ABS(Bitkiler!$D$23-Topraklar!$D$17)+Ayarlar!$B$3*ABS(Bitkiler!$E$23-Topraklar!$E$17)+Ayarlar!$B$4*ABS(Bitkiler!$F$23-Topraklar!$F$17)+Ayarlar!$B$5*ABS(Bitkiler!$G$23-Topraklar!$G$17)+Ayarlar!$B$6*IF(Bitkiler!$H$23=Topraklar!$H$17,0,1))/Ayarlar!$B$7)+IF(Topraklar!$K$17=Bitkiler!$C$23,0.002,IF(Topraklar!$L$17="Evet",0.001,0)))</f>
        <v/>
      </c>
      <c r="R24" s="16">
        <f>IF(OR(Topraklar!$J$18="Evet",AND(Topraklar!$L$18&lt;&gt;"Evet",Topraklar!$K$18&lt;&gt;Bitkiler!$C$23)),0,MAX(0,1-(Ayarlar!$B$2*ABS(Bitkiler!$D$23-Topraklar!$D$18)+Ayarlar!$B$3*ABS(Bitkiler!$E$23-Topraklar!$E$18)+Ayarlar!$B$4*ABS(Bitkiler!$F$23-Topraklar!$F$18)+Ayarlar!$B$5*ABS(Bitkiler!$G$23-Topraklar!$G$18)+Ayarlar!$B$6*IF(Bitkiler!$H$23=Topraklar!$H$18,0,1))/Ayarlar!$B$7)+IF(Topraklar!$K$18=Bitkiler!$C$23,0.002,IF(Topraklar!$L$18="Evet",0.001,0)))</f>
        <v/>
      </c>
      <c r="S24" s="16">
        <f>IF(OR(Topraklar!$J$19="Evet",AND(Topraklar!$L$19&lt;&gt;"Evet",Topraklar!$K$19&lt;&gt;Bitkiler!$C$23)),0,MAX(0,1-(Ayarlar!$B$2*ABS(Bitkiler!$D$23-Topraklar!$D$19)+Ayarlar!$B$3*ABS(Bitkiler!$E$23-Topraklar!$E$19)+Ayarlar!$B$4*ABS(Bitkiler!$F$23-Topraklar!$F$19)+Ayarlar!$B$5*ABS(Bitkiler!$G$23-Topraklar!$G$19)+Ayarlar!$B$6*IF(Bitkiler!$H$23=Topraklar!$H$19,0,1))/Ayarlar!$B$7)+IF(Topraklar!$K$19=Bitkiler!$C$23,0.002,IF(Topraklar!$L$19="Evet",0.001,0)))</f>
        <v/>
      </c>
      <c r="T24" s="16">
        <f>IF(OR(Topraklar!$J$20="Evet",AND(Topraklar!$L$20&lt;&gt;"Evet",Topraklar!$K$20&lt;&gt;Bitkiler!$C$23)),0,MAX(0,1-(Ayarlar!$B$2*ABS(Bitkiler!$D$23-Topraklar!$D$20)+Ayarlar!$B$3*ABS(Bitkiler!$E$23-Topraklar!$E$20)+Ayarlar!$B$4*ABS(Bitkiler!$F$23-Topraklar!$F$20)+Ayarlar!$B$5*ABS(Bitkiler!$G$23-Topraklar!$G$20)+Ayarlar!$B$6*IF(Bitkiler!$H$23=Topraklar!$H$20,0,1))/Ayarlar!$B$7)+IF(Topraklar!$K$20=Bitkiler!$C$23,0.002,IF(Topraklar!$L$20="Evet",0.001,0)))</f>
        <v/>
      </c>
      <c r="U24" s="16">
        <f>IF(OR(Topraklar!$J$21="Evet",AND(Topraklar!$L$21&lt;&gt;"Evet",Topraklar!$K$21&lt;&gt;Bitkiler!$C$23)),0,MAX(0,1-(Ayarlar!$B$2*ABS(Bitkiler!$D$23-Topraklar!$D$21)+Ayarlar!$B$3*ABS(Bitkiler!$E$23-Topraklar!$E$21)+Ayarlar!$B$4*ABS(Bitkiler!$F$23-Topraklar!$F$21)+Ayarlar!$B$5*ABS(Bitkiler!$G$23-Topraklar!$G$21)+Ayarlar!$B$6*IF(Bitkiler!$H$23=Topraklar!$H$21,0,1))/Ayarlar!$B$7)+IF(Topraklar!$K$21=Bitkiler!$C$23,0.002,IF(Topraklar!$L$21="Evet",0.001,0)))</f>
        <v/>
      </c>
      <c r="V24" s="16">
        <f>IF(OR(Topraklar!$J$22="Evet",AND(Topraklar!$L$22&lt;&gt;"Evet",Topraklar!$K$22&lt;&gt;Bitkiler!$C$23)),0,MAX(0,1-(Ayarlar!$B$2*ABS(Bitkiler!$D$23-Topraklar!$D$22)+Ayarlar!$B$3*ABS(Bitkiler!$E$23-Topraklar!$E$22)+Ayarlar!$B$4*ABS(Bitkiler!$F$23-Topraklar!$F$22)+Ayarlar!$B$5*ABS(Bitkiler!$G$23-Topraklar!$G$22)+Ayarlar!$B$6*IF(Bitkiler!$H$23=Topraklar!$H$22,0,1))/Ayarlar!$B$7)+IF(Topraklar!$K$22=Bitkiler!$C$23,0.002,IF(Topraklar!$L$22="Evet",0.001,0)))</f>
        <v/>
      </c>
      <c r="W24" s="16">
        <f>IF(OR(Topraklar!$J$23="Evet",AND(Topraklar!$L$23&lt;&gt;"Evet",Topraklar!$K$23&lt;&gt;Bitkiler!$C$23)),0,MAX(0,1-(Ayarlar!$B$2*ABS(Bitkiler!$D$23-Topraklar!$D$23)+Ayarlar!$B$3*ABS(Bitkiler!$E$23-Topraklar!$E$23)+Ayarlar!$B$4*ABS(Bitkiler!$F$23-Topraklar!$F$23)+Ayarlar!$B$5*ABS(Bitkiler!$G$23-Topraklar!$G$23)+Ayarlar!$B$6*IF(Bitkiler!$H$23=Topraklar!$H$23,0,1))/Ayarlar!$B$7)+IF(Topraklar!$K$23=Bitkiler!$C$23,0.002,IF(Topraklar!$L$23="Evet",0.001,0)))</f>
        <v/>
      </c>
      <c r="X24" s="16">
        <f>IF(OR(Topraklar!$J$24="Evet",AND(Topraklar!$L$24&lt;&gt;"Evet",Topraklar!$K$24&lt;&gt;Bitkiler!$C$23)),0,MAX(0,1-(Ayarlar!$B$2*ABS(Bitkiler!$D$23-Topraklar!$D$24)+Ayarlar!$B$3*ABS(Bitkiler!$E$23-Topraklar!$E$24)+Ayarlar!$B$4*ABS(Bitkiler!$F$23-Topraklar!$F$24)+Ayarlar!$B$5*ABS(Bitkiler!$G$23-Topraklar!$G$24)+Ayarlar!$B$6*IF(Bitkiler!$H$23=Topraklar!$H$24,0,1))/Ayarlar!$B$7)+IF(Topraklar!$K$24=Bitkiler!$C$23,0.002,IF(Topraklar!$L$24="Evet",0.001,0)))</f>
        <v/>
      </c>
      <c r="Y24" s="16">
        <f>IF(OR(Topraklar!$J$25="Evet",AND(Topraklar!$L$25&lt;&gt;"Evet",Topraklar!$K$25&lt;&gt;Bitkiler!$C$23)),0,MAX(0,1-(Ayarlar!$B$2*ABS(Bitkiler!$D$23-Topraklar!$D$25)+Ayarlar!$B$3*ABS(Bitkiler!$E$23-Topraklar!$E$25)+Ayarlar!$B$4*ABS(Bitkiler!$F$23-Topraklar!$F$25)+Ayarlar!$B$5*ABS(Bitkiler!$G$23-Topraklar!$G$25)+Ayarlar!$B$6*IF(Bitkiler!$H$23=Topraklar!$H$25,0,1))/Ayarlar!$B$7)+IF(Topraklar!$K$25=Bitkiler!$C$23,0.002,IF(Topraklar!$L$25="Evet",0.001,0)))</f>
        <v/>
      </c>
      <c r="Z24" s="16">
        <f>IF(OR(Topraklar!$J$26="Evet",AND(Topraklar!$L$26&lt;&gt;"Evet",Topraklar!$K$26&lt;&gt;Bitkiler!$C$23)),0,MAX(0,1-(Ayarlar!$B$2*ABS(Bitkiler!$D$23-Topraklar!$D$26)+Ayarlar!$B$3*ABS(Bitkiler!$E$23-Topraklar!$E$26)+Ayarlar!$B$4*ABS(Bitkiler!$F$23-Topraklar!$F$26)+Ayarlar!$B$5*ABS(Bitkiler!$G$23-Topraklar!$G$26)+Ayarlar!$B$6*IF(Bitkiler!$H$23=Topraklar!$H$26,0,1))/Ayarlar!$B$7)+IF(Topraklar!$K$26=Bitkiler!$C$23,0.002,IF(Topraklar!$L$26="Evet",0.001,0)))</f>
        <v/>
      </c>
      <c r="AA24" s="16">
        <f>IF(OR(Topraklar!$J$27="Evet",AND(Topraklar!$L$27&lt;&gt;"Evet",Topraklar!$K$27&lt;&gt;Bitkiler!$C$23)),0,MAX(0,1-(Ayarlar!$B$2*ABS(Bitkiler!$D$23-Topraklar!$D$27)+Ayarlar!$B$3*ABS(Bitkiler!$E$23-Topraklar!$E$27)+Ayarlar!$B$4*ABS(Bitkiler!$F$23-Topraklar!$F$27)+Ayarlar!$B$5*ABS(Bitkiler!$G$23-Topraklar!$G$27)+Ayarlar!$B$6*IF(Bitkiler!$H$23=Topraklar!$H$27,0,1))/Ayarlar!$B$7)+IF(Topraklar!$K$27=Bitkiler!$C$23,0.002,IF(Topraklar!$L$27="Evet",0.001,0)))</f>
        <v/>
      </c>
      <c r="AB24" s="16">
        <f>IF(OR(Topraklar!$J$28="Evet",AND(Topraklar!$L$28&lt;&gt;"Evet",Topraklar!$K$28&lt;&gt;Bitkiler!$C$23)),0,MAX(0,1-(Ayarlar!$B$2*ABS(Bitkiler!$D$23-Topraklar!$D$28)+Ayarlar!$B$3*ABS(Bitkiler!$E$23-Topraklar!$E$28)+Ayarlar!$B$4*ABS(Bitkiler!$F$23-Topraklar!$F$28)+Ayarlar!$B$5*ABS(Bitkiler!$G$23-Topraklar!$G$28)+Ayarlar!$B$6*IF(Bitkiler!$H$23=Topraklar!$H$28,0,1))/Ayarlar!$B$7)+IF(Topraklar!$K$28=Bitkiler!$C$23,0.002,IF(Topraklar!$L$28="Evet",0.001,0)))</f>
        <v/>
      </c>
      <c r="AC24" s="16">
        <f>IF(OR(Topraklar!$J$29="Evet",AND(Topraklar!$L$29&lt;&gt;"Evet",Topraklar!$K$29&lt;&gt;Bitkiler!$C$23)),0,MAX(0,1-(Ayarlar!$B$2*ABS(Bitkiler!$D$23-Topraklar!$D$29)+Ayarlar!$B$3*ABS(Bitkiler!$E$23-Topraklar!$E$29)+Ayarlar!$B$4*ABS(Bitkiler!$F$23-Topraklar!$F$29)+Ayarlar!$B$5*ABS(Bitkiler!$G$23-Topraklar!$G$29)+Ayarlar!$B$6*IF(Bitkiler!$H$23=Topraklar!$H$29,0,1))/Ayarlar!$B$7)+IF(Topraklar!$K$29=Bitkiler!$C$23,0.002,IF(Topraklar!$L$29="Evet",0.001,0)))</f>
        <v/>
      </c>
      <c r="AD24" s="16">
        <f>IF(OR(Topraklar!$J$30="Evet",AND(Topraklar!$L$30&lt;&gt;"Evet",Topraklar!$K$30&lt;&gt;Bitkiler!$C$23)),0,MAX(0,1-(Ayarlar!$B$2*ABS(Bitkiler!$D$23-Topraklar!$D$30)+Ayarlar!$B$3*ABS(Bitkiler!$E$23-Topraklar!$E$30)+Ayarlar!$B$4*ABS(Bitkiler!$F$23-Topraklar!$F$30)+Ayarlar!$B$5*ABS(Bitkiler!$G$23-Topraklar!$G$30)+Ayarlar!$B$6*IF(Bitkiler!$H$23=Topraklar!$H$30,0,1))/Ayarlar!$B$7)+IF(Topraklar!$K$30=Bitkiler!$C$23,0.002,IF(Topraklar!$L$30="Evet",0.001,0)))</f>
        <v/>
      </c>
      <c r="AE24" s="16">
        <f>IF(OR(Topraklar!$J$31="Evet",AND(Topraklar!$L$31&lt;&gt;"Evet",Topraklar!$K$31&lt;&gt;Bitkiler!$C$23)),0,MAX(0,1-(Ayarlar!$B$2*ABS(Bitkiler!$D$23-Topraklar!$D$31)+Ayarlar!$B$3*ABS(Bitkiler!$E$23-Topraklar!$E$31)+Ayarlar!$B$4*ABS(Bitkiler!$F$23-Topraklar!$F$31)+Ayarlar!$B$5*ABS(Bitkiler!$G$23-Topraklar!$G$31)+Ayarlar!$B$6*IF(Bitkiler!$H$23=Topraklar!$H$31,0,1))/Ayarlar!$B$7)+IF(Topraklar!$K$31=Bitkiler!$C$23,0.002,IF(Topraklar!$L$31="Evet",0.001,0)))</f>
        <v/>
      </c>
      <c r="AF24" s="16">
        <f>IF(OR(Topraklar!$J$32="Evet",AND(Topraklar!$L$32&lt;&gt;"Evet",Topraklar!$K$32&lt;&gt;Bitkiler!$C$23)),0,MAX(0,1-(Ayarlar!$B$2*ABS(Bitkiler!$D$23-Topraklar!$D$32)+Ayarlar!$B$3*ABS(Bitkiler!$E$23-Topraklar!$E$32)+Ayarlar!$B$4*ABS(Bitkiler!$F$23-Topraklar!$F$32)+Ayarlar!$B$5*ABS(Bitkiler!$G$23-Topraklar!$G$32)+Ayarlar!$B$6*IF(Bitkiler!$H$23=Topraklar!$H$32,0,1))/Ayarlar!$B$7)+IF(Topraklar!$K$32=Bitkiler!$C$23,0.002,IF(Topraklar!$L$32="Evet",0.001,0)))</f>
        <v/>
      </c>
      <c r="AG24" s="16">
        <f>IF(OR(Topraklar!$J$33="Evet",AND(Topraklar!$L$33&lt;&gt;"Evet",Topraklar!$K$33&lt;&gt;Bitkiler!$C$23)),0,MAX(0,1-(Ayarlar!$B$2*ABS(Bitkiler!$D$23-Topraklar!$D$33)+Ayarlar!$B$3*ABS(Bitkiler!$E$23-Topraklar!$E$33)+Ayarlar!$B$4*ABS(Bitkiler!$F$23-Topraklar!$F$33)+Ayarlar!$B$5*ABS(Bitkiler!$G$23-Topraklar!$G$33)+Ayarlar!$B$6*IF(Bitkiler!$H$23=Topraklar!$H$33,0,1))/Ayarlar!$B$7)+IF(Topraklar!$K$33=Bitkiler!$C$23,0.002,IF(Topraklar!$L$33="Evet",0.001,0)))</f>
        <v/>
      </c>
      <c r="AH24" s="16">
        <f>IF(OR(Topraklar!$J$34="Evet",AND(Topraklar!$L$34&lt;&gt;"Evet",Topraklar!$K$34&lt;&gt;Bitkiler!$C$23)),0,MAX(0,1-(Ayarlar!$B$2*ABS(Bitkiler!$D$23-Topraklar!$D$34)+Ayarlar!$B$3*ABS(Bitkiler!$E$23-Topraklar!$E$34)+Ayarlar!$B$4*ABS(Bitkiler!$F$23-Topraklar!$F$34)+Ayarlar!$B$5*ABS(Bitkiler!$G$23-Topraklar!$G$34)+Ayarlar!$B$6*IF(Bitkiler!$H$23=Topraklar!$H$34,0,1))/Ayarlar!$B$7)+IF(Topraklar!$K$34=Bitkiler!$C$23,0.002,IF(Topraklar!$L$34="Evet",0.001,0)))</f>
        <v/>
      </c>
      <c r="AI24" s="16">
        <f>IF(OR(Topraklar!$J$35="Evet",AND(Topraklar!$L$35&lt;&gt;"Evet",Topraklar!$K$35&lt;&gt;Bitkiler!$C$23)),0,MAX(0,1-(Ayarlar!$B$2*ABS(Bitkiler!$D$23-Topraklar!$D$35)+Ayarlar!$B$3*ABS(Bitkiler!$E$23-Topraklar!$E$35)+Ayarlar!$B$4*ABS(Bitkiler!$F$23-Topraklar!$F$35)+Ayarlar!$B$5*ABS(Bitkiler!$G$23-Topraklar!$G$35)+Ayarlar!$B$6*IF(Bitkiler!$H$23=Topraklar!$H$35,0,1))/Ayarlar!$B$7)+IF(Topraklar!$K$35=Bitkiler!$C$23,0.002,IF(Topraklar!$L$35="Evet",0.001,0)))</f>
        <v/>
      </c>
      <c r="AJ24" s="16">
        <f>IF(OR(Topraklar!$J$36="Evet",AND(Topraklar!$L$36&lt;&gt;"Evet",Topraklar!$K$36&lt;&gt;Bitkiler!$C$23)),0,MAX(0,1-(Ayarlar!$B$2*ABS(Bitkiler!$D$23-Topraklar!$D$36)+Ayarlar!$B$3*ABS(Bitkiler!$E$23-Topraklar!$E$36)+Ayarlar!$B$4*ABS(Bitkiler!$F$23-Topraklar!$F$36)+Ayarlar!$B$5*ABS(Bitkiler!$G$23-Topraklar!$G$36)+Ayarlar!$B$6*IF(Bitkiler!$H$23=Topraklar!$H$36,0,1))/Ayarlar!$B$7)+IF(Topraklar!$K$36=Bitkiler!$C$23,0.002,IF(Topraklar!$L$36="Evet",0.001,0)))</f>
        <v/>
      </c>
      <c r="AK24" s="16">
        <f>IF(OR(Topraklar!$J$37="Evet",AND(Topraklar!$L$37&lt;&gt;"Evet",Topraklar!$K$37&lt;&gt;Bitkiler!$C$23)),0,MAX(0,1-(Ayarlar!$B$2*ABS(Bitkiler!$D$23-Topraklar!$D$37)+Ayarlar!$B$3*ABS(Bitkiler!$E$23-Topraklar!$E$37)+Ayarlar!$B$4*ABS(Bitkiler!$F$23-Topraklar!$F$37)+Ayarlar!$B$5*ABS(Bitkiler!$G$23-Topraklar!$G$37)+Ayarlar!$B$6*IF(Bitkiler!$H$23=Topraklar!$H$37,0,1))/Ayarlar!$B$7)+IF(Topraklar!$K$37=Bitkiler!$C$23,0.002,IF(Topraklar!$L$37="Evet",0.001,0)))</f>
        <v/>
      </c>
      <c r="AL24" s="16">
        <f>IF(OR(Topraklar!$J$38="Evet",AND(Topraklar!$L$38&lt;&gt;"Evet",Topraklar!$K$38&lt;&gt;Bitkiler!$C$23)),0,MAX(0,1-(Ayarlar!$B$2*ABS(Bitkiler!$D$23-Topraklar!$D$38)+Ayarlar!$B$3*ABS(Bitkiler!$E$23-Topraklar!$E$38)+Ayarlar!$B$4*ABS(Bitkiler!$F$23-Topraklar!$F$38)+Ayarlar!$B$5*ABS(Bitkiler!$G$23-Topraklar!$G$38)+Ayarlar!$B$6*IF(Bitkiler!$H$23=Topraklar!$H$38,0,1))/Ayarlar!$B$7)+IF(Topraklar!$K$38=Bitkiler!$C$23,0.002,IF(Topraklar!$L$38="Evet",0.001,0)))</f>
        <v/>
      </c>
      <c r="AM24" s="16">
        <f>IF(OR(Topraklar!$J$39="Evet",AND(Topraklar!$L$39&lt;&gt;"Evet",Topraklar!$K$39&lt;&gt;Bitkiler!$C$23)),0,MAX(0,1-(Ayarlar!$B$2*ABS(Bitkiler!$D$23-Topraklar!$D$39)+Ayarlar!$B$3*ABS(Bitkiler!$E$23-Topraklar!$E$39)+Ayarlar!$B$4*ABS(Bitkiler!$F$23-Topraklar!$F$39)+Ayarlar!$B$5*ABS(Bitkiler!$G$23-Topraklar!$G$39)+Ayarlar!$B$6*IF(Bitkiler!$H$23=Topraklar!$H$39,0,1))/Ayarlar!$B$7)+IF(Topraklar!$K$39=Bitkiler!$C$23,0.002,IF(Topraklar!$L$39="Evet",0.001,0)))</f>
        <v/>
      </c>
      <c r="AN24" s="16">
        <f>IF(OR(Topraklar!$J$40="Evet",AND(Topraklar!$L$40&lt;&gt;"Evet",Topraklar!$K$40&lt;&gt;Bitkiler!$C$23)),0,MAX(0,1-(Ayarlar!$B$2*ABS(Bitkiler!$D$23-Topraklar!$D$40)+Ayarlar!$B$3*ABS(Bitkiler!$E$23-Topraklar!$E$40)+Ayarlar!$B$4*ABS(Bitkiler!$F$23-Topraklar!$F$40)+Ayarlar!$B$5*ABS(Bitkiler!$G$23-Topraklar!$G$40)+Ayarlar!$B$6*IF(Bitkiler!$H$23=Topraklar!$H$40,0,1))/Ayarlar!$B$7)+IF(Topraklar!$K$40=Bitkiler!$C$23,0.002,IF(Topraklar!$L$40="Evet",0.001,0)))</f>
        <v/>
      </c>
      <c r="AO24" s="16">
        <f>IF(OR(Topraklar!$J$41="Evet",AND(Topraklar!$L$41&lt;&gt;"Evet",Topraklar!$K$41&lt;&gt;Bitkiler!$C$23)),0,MAX(0,1-(Ayarlar!$B$2*ABS(Bitkiler!$D$23-Topraklar!$D$41)+Ayarlar!$B$3*ABS(Bitkiler!$E$23-Topraklar!$E$41)+Ayarlar!$B$4*ABS(Bitkiler!$F$23-Topraklar!$F$41)+Ayarlar!$B$5*ABS(Bitkiler!$G$23-Topraklar!$G$41)+Ayarlar!$B$6*IF(Bitkiler!$H$23=Topraklar!$H$41,0,1))/Ayarlar!$B$7)+IF(Topraklar!$K$41=Bitkiler!$C$23,0.002,IF(Topraklar!$L$41="Evet",0.001,0)))</f>
        <v/>
      </c>
      <c r="AP24" s="16">
        <f>IF(OR(Topraklar!$J$42="Evet",AND(Topraklar!$L$42&lt;&gt;"Evet",Topraklar!$K$42&lt;&gt;Bitkiler!$C$23)),0,MAX(0,1-(Ayarlar!$B$2*ABS(Bitkiler!$D$23-Topraklar!$D$42)+Ayarlar!$B$3*ABS(Bitkiler!$E$23-Topraklar!$E$42)+Ayarlar!$B$4*ABS(Bitkiler!$F$23-Topraklar!$F$42)+Ayarlar!$B$5*ABS(Bitkiler!$G$23-Topraklar!$G$42)+Ayarlar!$B$6*IF(Bitkiler!$H$23=Topraklar!$H$42,0,1))/Ayarlar!$B$7)+IF(Topraklar!$K$42=Bitkiler!$C$23,0.002,IF(Topraklar!$L$42="Evet",0.001,0)))</f>
        <v/>
      </c>
      <c r="AQ24" s="16">
        <f>IF(OR(Topraklar!$J$43="Evet",AND(Topraklar!$L$43&lt;&gt;"Evet",Topraklar!$K$43&lt;&gt;Bitkiler!$C$23)),0,MAX(0,1-(Ayarlar!$B$2*ABS(Bitkiler!$D$23-Topraklar!$D$43)+Ayarlar!$B$3*ABS(Bitkiler!$E$23-Topraklar!$E$43)+Ayarlar!$B$4*ABS(Bitkiler!$F$23-Topraklar!$F$43)+Ayarlar!$B$5*ABS(Bitkiler!$G$23-Topraklar!$G$43)+Ayarlar!$B$6*IF(Bitkiler!$H$23=Topraklar!$H$43,0,1))/Ayarlar!$B$7)+IF(Topraklar!$K$43=Bitkiler!$C$23,0.002,IF(Topraklar!$L$43="Evet",0.001,0)))</f>
        <v/>
      </c>
      <c r="AR24" s="16">
        <f>IF(OR(Topraklar!$J$44="Evet",AND(Topraklar!$L$44&lt;&gt;"Evet",Topraklar!$K$44&lt;&gt;Bitkiler!$C$23)),0,MAX(0,1-(Ayarlar!$B$2*ABS(Bitkiler!$D$23-Topraklar!$D$44)+Ayarlar!$B$3*ABS(Bitkiler!$E$23-Topraklar!$E$44)+Ayarlar!$B$4*ABS(Bitkiler!$F$23-Topraklar!$F$44)+Ayarlar!$B$5*ABS(Bitkiler!$G$23-Topraklar!$G$44)+Ayarlar!$B$6*IF(Bitkiler!$H$23=Topraklar!$H$44,0,1))/Ayarlar!$B$7)+IF(Topraklar!$K$44=Bitkiler!$C$23,0.002,IF(Topraklar!$L$44="Evet",0.001,0)))</f>
        <v/>
      </c>
      <c r="AS24" s="16">
        <f>IF(OR(Topraklar!$J$45="Evet",AND(Topraklar!$L$45&lt;&gt;"Evet",Topraklar!$K$45&lt;&gt;Bitkiler!$C$23)),0,MAX(0,1-(Ayarlar!$B$2*ABS(Bitkiler!$D$23-Topraklar!$D$45)+Ayarlar!$B$3*ABS(Bitkiler!$E$23-Topraklar!$E$45)+Ayarlar!$B$4*ABS(Bitkiler!$F$23-Topraklar!$F$45)+Ayarlar!$B$5*ABS(Bitkiler!$G$23-Topraklar!$G$45)+Ayarlar!$B$6*IF(Bitkiler!$H$23=Topraklar!$H$45,0,1))/Ayarlar!$B$7)+IF(Topraklar!$K$45=Bitkiler!$C$23,0.002,IF(Topraklar!$L$45="Evet",0.001,0)))</f>
        <v/>
      </c>
      <c r="AT24" s="16">
        <f>IF(OR(Topraklar!$J$46="Evet",AND(Topraklar!$L$46&lt;&gt;"Evet",Topraklar!$K$46&lt;&gt;Bitkiler!$C$23)),0,MAX(0,1-(Ayarlar!$B$2*ABS(Bitkiler!$D$23-Topraklar!$D$46)+Ayarlar!$B$3*ABS(Bitkiler!$E$23-Topraklar!$E$46)+Ayarlar!$B$4*ABS(Bitkiler!$F$23-Topraklar!$F$46)+Ayarlar!$B$5*ABS(Bitkiler!$G$23-Topraklar!$G$46)+Ayarlar!$B$6*IF(Bitkiler!$H$23=Topraklar!$H$46,0,1))/Ayarlar!$B$7)+IF(Topraklar!$K$46=Bitkiler!$C$23,0.002,IF(Topraklar!$L$46="Evet",0.001,0)))</f>
        <v/>
      </c>
      <c r="AU24" s="16">
        <f>IF(OR(Topraklar!$J$47="Evet",AND(Topraklar!$L$47&lt;&gt;"Evet",Topraklar!$K$47&lt;&gt;Bitkiler!$C$23)),0,MAX(0,1-(Ayarlar!$B$2*ABS(Bitkiler!$D$23-Topraklar!$D$47)+Ayarlar!$B$3*ABS(Bitkiler!$E$23-Topraklar!$E$47)+Ayarlar!$B$4*ABS(Bitkiler!$F$23-Topraklar!$F$47)+Ayarlar!$B$5*ABS(Bitkiler!$G$23-Topraklar!$G$47)+Ayarlar!$B$6*IF(Bitkiler!$H$23=Topraklar!$H$47,0,1))/Ayarlar!$B$7)+IF(Topraklar!$K$47=Bitkiler!$C$23,0.002,IF(Topraklar!$L$47="Evet",0.001,0)))</f>
        <v/>
      </c>
      <c r="AV24" s="16">
        <f>IF(OR(Topraklar!$J$48="Evet",AND(Topraklar!$L$48&lt;&gt;"Evet",Topraklar!$K$48&lt;&gt;Bitkiler!$C$23)),0,MAX(0,1-(Ayarlar!$B$2*ABS(Bitkiler!$D$23-Topraklar!$D$48)+Ayarlar!$B$3*ABS(Bitkiler!$E$23-Topraklar!$E$48)+Ayarlar!$B$4*ABS(Bitkiler!$F$23-Topraklar!$F$48)+Ayarlar!$B$5*ABS(Bitkiler!$G$23-Topraklar!$G$48)+Ayarlar!$B$6*IF(Bitkiler!$H$23=Topraklar!$H$48,0,1))/Ayarlar!$B$7)+IF(Topraklar!$K$48=Bitkiler!$C$23,0.002,IF(Topraklar!$L$48="Evet",0.001,0)))</f>
        <v/>
      </c>
      <c r="AW24" s="16">
        <f>IF(OR(Topraklar!$J$49="Evet",AND(Topraklar!$L$49&lt;&gt;"Evet",Topraklar!$K$49&lt;&gt;Bitkiler!$C$23)),0,MAX(0,1-(Ayarlar!$B$2*ABS(Bitkiler!$D$23-Topraklar!$D$49)+Ayarlar!$B$3*ABS(Bitkiler!$E$23-Topraklar!$E$49)+Ayarlar!$B$4*ABS(Bitkiler!$F$23-Topraklar!$F$49)+Ayarlar!$B$5*ABS(Bitkiler!$G$23-Topraklar!$G$49)+Ayarlar!$B$6*IF(Bitkiler!$H$23=Topraklar!$H$49,0,1))/Ayarlar!$B$7)+IF(Topraklar!$K$49=Bitkiler!$C$23,0.002,IF(Topraklar!$L$49="Evet",0.001,0)))</f>
        <v/>
      </c>
      <c r="AX24" s="16">
        <f>IF(OR(Topraklar!$J$50="Evet",AND(Topraklar!$L$50&lt;&gt;"Evet",Topraklar!$K$50&lt;&gt;Bitkiler!$C$23)),0,MAX(0,1-(Ayarlar!$B$2*ABS(Bitkiler!$D$23-Topraklar!$D$50)+Ayarlar!$B$3*ABS(Bitkiler!$E$23-Topraklar!$E$50)+Ayarlar!$B$4*ABS(Bitkiler!$F$23-Topraklar!$F$50)+Ayarlar!$B$5*ABS(Bitkiler!$G$23-Topraklar!$G$50)+Ayarlar!$B$6*IF(Bitkiler!$H$23=Topraklar!$H$50,0,1))/Ayarlar!$B$7)+IF(Topraklar!$K$50=Bitkiler!$C$23,0.002,IF(Topraklar!$L$50="Evet",0.001,0)))</f>
        <v/>
      </c>
      <c r="AY24" s="16">
        <f>IF(OR(Topraklar!$J$51="Evet",AND(Topraklar!$L$51&lt;&gt;"Evet",Topraklar!$K$51&lt;&gt;Bitkiler!$C$23)),0,MAX(0,1-(Ayarlar!$B$2*ABS(Bitkiler!$D$23-Topraklar!$D$51)+Ayarlar!$B$3*ABS(Bitkiler!$E$23-Topraklar!$E$51)+Ayarlar!$B$4*ABS(Bitkiler!$F$23-Topraklar!$F$51)+Ayarlar!$B$5*ABS(Bitkiler!$G$23-Topraklar!$G$51)+Ayarlar!$B$6*IF(Bitkiler!$H$23=Topraklar!$H$51,0,1))/Ayarlar!$B$7)+IF(Topraklar!$K$51=Bitkiler!$C$23,0.002,IF(Topraklar!$L$51="Evet",0.001,0)))</f>
        <v/>
      </c>
    </row>
    <row r="25">
      <c r="A25" s="15">
        <f>Bitkiler!A24</f>
        <v/>
      </c>
      <c r="B25" s="16">
        <f>IF(OR(Topraklar!$J$2="Evet",AND(Topraklar!$L$2&lt;&gt;"Evet",Topraklar!$K$2&lt;&gt;Bitkiler!$C$24)),0,MAX(0,1-(Ayarlar!$B$2*ABS(Bitkiler!$D$24-Topraklar!$D$2)+Ayarlar!$B$3*ABS(Bitkiler!$E$24-Topraklar!$E$2)+Ayarlar!$B$4*ABS(Bitkiler!$F$24-Topraklar!$F$2)+Ayarlar!$B$5*ABS(Bitkiler!$G$24-Topraklar!$G$2)+Ayarlar!$B$6*IF(Bitkiler!$H$24=Topraklar!$H$2,0,1))/Ayarlar!$B$7)+IF(Topraklar!$K$2=Bitkiler!$C$24,0.002,IF(Topraklar!$L$2="Evet",0.001,0)))</f>
        <v/>
      </c>
      <c r="C25" s="16">
        <f>IF(OR(Topraklar!$J$3="Evet",AND(Topraklar!$L$3&lt;&gt;"Evet",Topraklar!$K$3&lt;&gt;Bitkiler!$C$24)),0,MAX(0,1-(Ayarlar!$B$2*ABS(Bitkiler!$D$24-Topraklar!$D$3)+Ayarlar!$B$3*ABS(Bitkiler!$E$24-Topraklar!$E$3)+Ayarlar!$B$4*ABS(Bitkiler!$F$24-Topraklar!$F$3)+Ayarlar!$B$5*ABS(Bitkiler!$G$24-Topraklar!$G$3)+Ayarlar!$B$6*IF(Bitkiler!$H$24=Topraklar!$H$3,0,1))/Ayarlar!$B$7)+IF(Topraklar!$K$3=Bitkiler!$C$24,0.002,IF(Topraklar!$L$3="Evet",0.001,0)))</f>
        <v/>
      </c>
      <c r="D25" s="16">
        <f>IF(OR(Topraklar!$J$4="Evet",AND(Topraklar!$L$4&lt;&gt;"Evet",Topraklar!$K$4&lt;&gt;Bitkiler!$C$24)),0,MAX(0,1-(Ayarlar!$B$2*ABS(Bitkiler!$D$24-Topraklar!$D$4)+Ayarlar!$B$3*ABS(Bitkiler!$E$24-Topraklar!$E$4)+Ayarlar!$B$4*ABS(Bitkiler!$F$24-Topraklar!$F$4)+Ayarlar!$B$5*ABS(Bitkiler!$G$24-Topraklar!$G$4)+Ayarlar!$B$6*IF(Bitkiler!$H$24=Topraklar!$H$4,0,1))/Ayarlar!$B$7)+IF(Topraklar!$K$4=Bitkiler!$C$24,0.002,IF(Topraklar!$L$4="Evet",0.001,0)))</f>
        <v/>
      </c>
      <c r="E25" s="16">
        <f>IF(OR(Topraklar!$J$5="Evet",AND(Topraklar!$L$5&lt;&gt;"Evet",Topraklar!$K$5&lt;&gt;Bitkiler!$C$24)),0,MAX(0,1-(Ayarlar!$B$2*ABS(Bitkiler!$D$24-Topraklar!$D$5)+Ayarlar!$B$3*ABS(Bitkiler!$E$24-Topraklar!$E$5)+Ayarlar!$B$4*ABS(Bitkiler!$F$24-Topraklar!$F$5)+Ayarlar!$B$5*ABS(Bitkiler!$G$24-Topraklar!$G$5)+Ayarlar!$B$6*IF(Bitkiler!$H$24=Topraklar!$H$5,0,1))/Ayarlar!$B$7)+IF(Topraklar!$K$5=Bitkiler!$C$24,0.002,IF(Topraklar!$L$5="Evet",0.001,0)))</f>
        <v/>
      </c>
      <c r="F25" s="16">
        <f>IF(OR(Topraklar!$J$6="Evet",AND(Topraklar!$L$6&lt;&gt;"Evet",Topraklar!$K$6&lt;&gt;Bitkiler!$C$24)),0,MAX(0,1-(Ayarlar!$B$2*ABS(Bitkiler!$D$24-Topraklar!$D$6)+Ayarlar!$B$3*ABS(Bitkiler!$E$24-Topraklar!$E$6)+Ayarlar!$B$4*ABS(Bitkiler!$F$24-Topraklar!$F$6)+Ayarlar!$B$5*ABS(Bitkiler!$G$24-Topraklar!$G$6)+Ayarlar!$B$6*IF(Bitkiler!$H$24=Topraklar!$H$6,0,1))/Ayarlar!$B$7)+IF(Topraklar!$K$6=Bitkiler!$C$24,0.002,IF(Topraklar!$L$6="Evet",0.001,0)))</f>
        <v/>
      </c>
      <c r="G25" s="16">
        <f>IF(OR(Topraklar!$J$7="Evet",AND(Topraklar!$L$7&lt;&gt;"Evet",Topraklar!$K$7&lt;&gt;Bitkiler!$C$24)),0,MAX(0,1-(Ayarlar!$B$2*ABS(Bitkiler!$D$24-Topraklar!$D$7)+Ayarlar!$B$3*ABS(Bitkiler!$E$24-Topraklar!$E$7)+Ayarlar!$B$4*ABS(Bitkiler!$F$24-Topraklar!$F$7)+Ayarlar!$B$5*ABS(Bitkiler!$G$24-Topraklar!$G$7)+Ayarlar!$B$6*IF(Bitkiler!$H$24=Topraklar!$H$7,0,1))/Ayarlar!$B$7)+IF(Topraklar!$K$7=Bitkiler!$C$24,0.002,IF(Topraklar!$L$7="Evet",0.001,0)))</f>
        <v/>
      </c>
      <c r="H25" s="16">
        <f>IF(OR(Topraklar!$J$8="Evet",AND(Topraklar!$L$8&lt;&gt;"Evet",Topraklar!$K$8&lt;&gt;Bitkiler!$C$24)),0,MAX(0,1-(Ayarlar!$B$2*ABS(Bitkiler!$D$24-Topraklar!$D$8)+Ayarlar!$B$3*ABS(Bitkiler!$E$24-Topraklar!$E$8)+Ayarlar!$B$4*ABS(Bitkiler!$F$24-Topraklar!$F$8)+Ayarlar!$B$5*ABS(Bitkiler!$G$24-Topraklar!$G$8)+Ayarlar!$B$6*IF(Bitkiler!$H$24=Topraklar!$H$8,0,1))/Ayarlar!$B$7)+IF(Topraklar!$K$8=Bitkiler!$C$24,0.002,IF(Topraklar!$L$8="Evet",0.001,0)))</f>
        <v/>
      </c>
      <c r="I25" s="16">
        <f>IF(OR(Topraklar!$J$9="Evet",AND(Topraklar!$L$9&lt;&gt;"Evet",Topraklar!$K$9&lt;&gt;Bitkiler!$C$24)),0,MAX(0,1-(Ayarlar!$B$2*ABS(Bitkiler!$D$24-Topraklar!$D$9)+Ayarlar!$B$3*ABS(Bitkiler!$E$24-Topraklar!$E$9)+Ayarlar!$B$4*ABS(Bitkiler!$F$24-Topraklar!$F$9)+Ayarlar!$B$5*ABS(Bitkiler!$G$24-Topraklar!$G$9)+Ayarlar!$B$6*IF(Bitkiler!$H$24=Topraklar!$H$9,0,1))/Ayarlar!$B$7)+IF(Topraklar!$K$9=Bitkiler!$C$24,0.002,IF(Topraklar!$L$9="Evet",0.001,0)))</f>
        <v/>
      </c>
      <c r="J25" s="16">
        <f>IF(OR(Topraklar!$J$10="Evet",AND(Topraklar!$L$10&lt;&gt;"Evet",Topraklar!$K$10&lt;&gt;Bitkiler!$C$24)),0,MAX(0,1-(Ayarlar!$B$2*ABS(Bitkiler!$D$24-Topraklar!$D$10)+Ayarlar!$B$3*ABS(Bitkiler!$E$24-Topraklar!$E$10)+Ayarlar!$B$4*ABS(Bitkiler!$F$24-Topraklar!$F$10)+Ayarlar!$B$5*ABS(Bitkiler!$G$24-Topraklar!$G$10)+Ayarlar!$B$6*IF(Bitkiler!$H$24=Topraklar!$H$10,0,1))/Ayarlar!$B$7)+IF(Topraklar!$K$10=Bitkiler!$C$24,0.002,IF(Topraklar!$L$10="Evet",0.001,0)))</f>
        <v/>
      </c>
      <c r="K25" s="16">
        <f>IF(OR(Topraklar!$J$11="Evet",AND(Topraklar!$L$11&lt;&gt;"Evet",Topraklar!$K$11&lt;&gt;Bitkiler!$C$24)),0,MAX(0,1-(Ayarlar!$B$2*ABS(Bitkiler!$D$24-Topraklar!$D$11)+Ayarlar!$B$3*ABS(Bitkiler!$E$24-Topraklar!$E$11)+Ayarlar!$B$4*ABS(Bitkiler!$F$24-Topraklar!$F$11)+Ayarlar!$B$5*ABS(Bitkiler!$G$24-Topraklar!$G$11)+Ayarlar!$B$6*IF(Bitkiler!$H$24=Topraklar!$H$11,0,1))/Ayarlar!$B$7)+IF(Topraklar!$K$11=Bitkiler!$C$24,0.002,IF(Topraklar!$L$11="Evet",0.001,0)))</f>
        <v/>
      </c>
      <c r="L25" s="16">
        <f>IF(OR(Topraklar!$J$12="Evet",AND(Topraklar!$L$12&lt;&gt;"Evet",Topraklar!$K$12&lt;&gt;Bitkiler!$C$24)),0,MAX(0,1-(Ayarlar!$B$2*ABS(Bitkiler!$D$24-Topraklar!$D$12)+Ayarlar!$B$3*ABS(Bitkiler!$E$24-Topraklar!$E$12)+Ayarlar!$B$4*ABS(Bitkiler!$F$24-Topraklar!$F$12)+Ayarlar!$B$5*ABS(Bitkiler!$G$24-Topraklar!$G$12)+Ayarlar!$B$6*IF(Bitkiler!$H$24=Topraklar!$H$12,0,1))/Ayarlar!$B$7)+IF(Topraklar!$K$12=Bitkiler!$C$24,0.002,IF(Topraklar!$L$12="Evet",0.001,0)))</f>
        <v/>
      </c>
      <c r="M25" s="16">
        <f>IF(OR(Topraklar!$J$13="Evet",AND(Topraklar!$L$13&lt;&gt;"Evet",Topraklar!$K$13&lt;&gt;Bitkiler!$C$24)),0,MAX(0,1-(Ayarlar!$B$2*ABS(Bitkiler!$D$24-Topraklar!$D$13)+Ayarlar!$B$3*ABS(Bitkiler!$E$24-Topraklar!$E$13)+Ayarlar!$B$4*ABS(Bitkiler!$F$24-Topraklar!$F$13)+Ayarlar!$B$5*ABS(Bitkiler!$G$24-Topraklar!$G$13)+Ayarlar!$B$6*IF(Bitkiler!$H$24=Topraklar!$H$13,0,1))/Ayarlar!$B$7)+IF(Topraklar!$K$13=Bitkiler!$C$24,0.002,IF(Topraklar!$L$13="Evet",0.001,0)))</f>
        <v/>
      </c>
      <c r="N25" s="16">
        <f>IF(OR(Topraklar!$J$14="Evet",AND(Topraklar!$L$14&lt;&gt;"Evet",Topraklar!$K$14&lt;&gt;Bitkiler!$C$24)),0,MAX(0,1-(Ayarlar!$B$2*ABS(Bitkiler!$D$24-Topraklar!$D$14)+Ayarlar!$B$3*ABS(Bitkiler!$E$24-Topraklar!$E$14)+Ayarlar!$B$4*ABS(Bitkiler!$F$24-Topraklar!$F$14)+Ayarlar!$B$5*ABS(Bitkiler!$G$24-Topraklar!$G$14)+Ayarlar!$B$6*IF(Bitkiler!$H$24=Topraklar!$H$14,0,1))/Ayarlar!$B$7)+IF(Topraklar!$K$14=Bitkiler!$C$24,0.002,IF(Topraklar!$L$14="Evet",0.001,0)))</f>
        <v/>
      </c>
      <c r="O25" s="16">
        <f>IF(OR(Topraklar!$J$15="Evet",AND(Topraklar!$L$15&lt;&gt;"Evet",Topraklar!$K$15&lt;&gt;Bitkiler!$C$24)),0,MAX(0,1-(Ayarlar!$B$2*ABS(Bitkiler!$D$24-Topraklar!$D$15)+Ayarlar!$B$3*ABS(Bitkiler!$E$24-Topraklar!$E$15)+Ayarlar!$B$4*ABS(Bitkiler!$F$24-Topraklar!$F$15)+Ayarlar!$B$5*ABS(Bitkiler!$G$24-Topraklar!$G$15)+Ayarlar!$B$6*IF(Bitkiler!$H$24=Topraklar!$H$15,0,1))/Ayarlar!$B$7)+IF(Topraklar!$K$15=Bitkiler!$C$24,0.002,IF(Topraklar!$L$15="Evet",0.001,0)))</f>
        <v/>
      </c>
      <c r="P25" s="16">
        <f>IF(OR(Topraklar!$J$16="Evet",AND(Topraklar!$L$16&lt;&gt;"Evet",Topraklar!$K$16&lt;&gt;Bitkiler!$C$24)),0,MAX(0,1-(Ayarlar!$B$2*ABS(Bitkiler!$D$24-Topraklar!$D$16)+Ayarlar!$B$3*ABS(Bitkiler!$E$24-Topraklar!$E$16)+Ayarlar!$B$4*ABS(Bitkiler!$F$24-Topraklar!$F$16)+Ayarlar!$B$5*ABS(Bitkiler!$G$24-Topraklar!$G$16)+Ayarlar!$B$6*IF(Bitkiler!$H$24=Topraklar!$H$16,0,1))/Ayarlar!$B$7)+IF(Topraklar!$K$16=Bitkiler!$C$24,0.002,IF(Topraklar!$L$16="Evet",0.001,0)))</f>
        <v/>
      </c>
      <c r="Q25" s="16">
        <f>IF(OR(Topraklar!$J$17="Evet",AND(Topraklar!$L$17&lt;&gt;"Evet",Topraklar!$K$17&lt;&gt;Bitkiler!$C$24)),0,MAX(0,1-(Ayarlar!$B$2*ABS(Bitkiler!$D$24-Topraklar!$D$17)+Ayarlar!$B$3*ABS(Bitkiler!$E$24-Topraklar!$E$17)+Ayarlar!$B$4*ABS(Bitkiler!$F$24-Topraklar!$F$17)+Ayarlar!$B$5*ABS(Bitkiler!$G$24-Topraklar!$G$17)+Ayarlar!$B$6*IF(Bitkiler!$H$24=Topraklar!$H$17,0,1))/Ayarlar!$B$7)+IF(Topraklar!$K$17=Bitkiler!$C$24,0.002,IF(Topraklar!$L$17="Evet",0.001,0)))</f>
        <v/>
      </c>
      <c r="R25" s="16">
        <f>IF(OR(Topraklar!$J$18="Evet",AND(Topraklar!$L$18&lt;&gt;"Evet",Topraklar!$K$18&lt;&gt;Bitkiler!$C$24)),0,MAX(0,1-(Ayarlar!$B$2*ABS(Bitkiler!$D$24-Topraklar!$D$18)+Ayarlar!$B$3*ABS(Bitkiler!$E$24-Topraklar!$E$18)+Ayarlar!$B$4*ABS(Bitkiler!$F$24-Topraklar!$F$18)+Ayarlar!$B$5*ABS(Bitkiler!$G$24-Topraklar!$G$18)+Ayarlar!$B$6*IF(Bitkiler!$H$24=Topraklar!$H$18,0,1))/Ayarlar!$B$7)+IF(Topraklar!$K$18=Bitkiler!$C$24,0.002,IF(Topraklar!$L$18="Evet",0.001,0)))</f>
        <v/>
      </c>
      <c r="S25" s="16">
        <f>IF(OR(Topraklar!$J$19="Evet",AND(Topraklar!$L$19&lt;&gt;"Evet",Topraklar!$K$19&lt;&gt;Bitkiler!$C$24)),0,MAX(0,1-(Ayarlar!$B$2*ABS(Bitkiler!$D$24-Topraklar!$D$19)+Ayarlar!$B$3*ABS(Bitkiler!$E$24-Topraklar!$E$19)+Ayarlar!$B$4*ABS(Bitkiler!$F$24-Topraklar!$F$19)+Ayarlar!$B$5*ABS(Bitkiler!$G$24-Topraklar!$G$19)+Ayarlar!$B$6*IF(Bitkiler!$H$24=Topraklar!$H$19,0,1))/Ayarlar!$B$7)+IF(Topraklar!$K$19=Bitkiler!$C$24,0.002,IF(Topraklar!$L$19="Evet",0.001,0)))</f>
        <v/>
      </c>
      <c r="T25" s="16">
        <f>IF(OR(Topraklar!$J$20="Evet",AND(Topraklar!$L$20&lt;&gt;"Evet",Topraklar!$K$20&lt;&gt;Bitkiler!$C$24)),0,MAX(0,1-(Ayarlar!$B$2*ABS(Bitkiler!$D$24-Topraklar!$D$20)+Ayarlar!$B$3*ABS(Bitkiler!$E$24-Topraklar!$E$20)+Ayarlar!$B$4*ABS(Bitkiler!$F$24-Topraklar!$F$20)+Ayarlar!$B$5*ABS(Bitkiler!$G$24-Topraklar!$G$20)+Ayarlar!$B$6*IF(Bitkiler!$H$24=Topraklar!$H$20,0,1))/Ayarlar!$B$7)+IF(Topraklar!$K$20=Bitkiler!$C$24,0.002,IF(Topraklar!$L$20="Evet",0.001,0)))</f>
        <v/>
      </c>
      <c r="U25" s="16">
        <f>IF(OR(Topraklar!$J$21="Evet",AND(Topraklar!$L$21&lt;&gt;"Evet",Topraklar!$K$21&lt;&gt;Bitkiler!$C$24)),0,MAX(0,1-(Ayarlar!$B$2*ABS(Bitkiler!$D$24-Topraklar!$D$21)+Ayarlar!$B$3*ABS(Bitkiler!$E$24-Topraklar!$E$21)+Ayarlar!$B$4*ABS(Bitkiler!$F$24-Topraklar!$F$21)+Ayarlar!$B$5*ABS(Bitkiler!$G$24-Topraklar!$G$21)+Ayarlar!$B$6*IF(Bitkiler!$H$24=Topraklar!$H$21,0,1))/Ayarlar!$B$7)+IF(Topraklar!$K$21=Bitkiler!$C$24,0.002,IF(Topraklar!$L$21="Evet",0.001,0)))</f>
        <v/>
      </c>
      <c r="V25" s="16">
        <f>IF(OR(Topraklar!$J$22="Evet",AND(Topraklar!$L$22&lt;&gt;"Evet",Topraklar!$K$22&lt;&gt;Bitkiler!$C$24)),0,MAX(0,1-(Ayarlar!$B$2*ABS(Bitkiler!$D$24-Topraklar!$D$22)+Ayarlar!$B$3*ABS(Bitkiler!$E$24-Topraklar!$E$22)+Ayarlar!$B$4*ABS(Bitkiler!$F$24-Topraklar!$F$22)+Ayarlar!$B$5*ABS(Bitkiler!$G$24-Topraklar!$G$22)+Ayarlar!$B$6*IF(Bitkiler!$H$24=Topraklar!$H$22,0,1))/Ayarlar!$B$7)+IF(Topraklar!$K$22=Bitkiler!$C$24,0.002,IF(Topraklar!$L$22="Evet",0.001,0)))</f>
        <v/>
      </c>
      <c r="W25" s="16">
        <f>IF(OR(Topraklar!$J$23="Evet",AND(Topraklar!$L$23&lt;&gt;"Evet",Topraklar!$K$23&lt;&gt;Bitkiler!$C$24)),0,MAX(0,1-(Ayarlar!$B$2*ABS(Bitkiler!$D$24-Topraklar!$D$23)+Ayarlar!$B$3*ABS(Bitkiler!$E$24-Topraklar!$E$23)+Ayarlar!$B$4*ABS(Bitkiler!$F$24-Topraklar!$F$23)+Ayarlar!$B$5*ABS(Bitkiler!$G$24-Topraklar!$G$23)+Ayarlar!$B$6*IF(Bitkiler!$H$24=Topraklar!$H$23,0,1))/Ayarlar!$B$7)+IF(Topraklar!$K$23=Bitkiler!$C$24,0.002,IF(Topraklar!$L$23="Evet",0.001,0)))</f>
        <v/>
      </c>
      <c r="X25" s="16">
        <f>IF(OR(Topraklar!$J$24="Evet",AND(Topraklar!$L$24&lt;&gt;"Evet",Topraklar!$K$24&lt;&gt;Bitkiler!$C$24)),0,MAX(0,1-(Ayarlar!$B$2*ABS(Bitkiler!$D$24-Topraklar!$D$24)+Ayarlar!$B$3*ABS(Bitkiler!$E$24-Topraklar!$E$24)+Ayarlar!$B$4*ABS(Bitkiler!$F$24-Topraklar!$F$24)+Ayarlar!$B$5*ABS(Bitkiler!$G$24-Topraklar!$G$24)+Ayarlar!$B$6*IF(Bitkiler!$H$24=Topraklar!$H$24,0,1))/Ayarlar!$B$7)+IF(Topraklar!$K$24=Bitkiler!$C$24,0.002,IF(Topraklar!$L$24="Evet",0.001,0)))</f>
        <v/>
      </c>
      <c r="Y25" s="16">
        <f>IF(OR(Topraklar!$J$25="Evet",AND(Topraklar!$L$25&lt;&gt;"Evet",Topraklar!$K$25&lt;&gt;Bitkiler!$C$24)),0,MAX(0,1-(Ayarlar!$B$2*ABS(Bitkiler!$D$24-Topraklar!$D$25)+Ayarlar!$B$3*ABS(Bitkiler!$E$24-Topraklar!$E$25)+Ayarlar!$B$4*ABS(Bitkiler!$F$24-Topraklar!$F$25)+Ayarlar!$B$5*ABS(Bitkiler!$G$24-Topraklar!$G$25)+Ayarlar!$B$6*IF(Bitkiler!$H$24=Topraklar!$H$25,0,1))/Ayarlar!$B$7)+IF(Topraklar!$K$25=Bitkiler!$C$24,0.002,IF(Topraklar!$L$25="Evet",0.001,0)))</f>
        <v/>
      </c>
      <c r="Z25" s="16">
        <f>IF(OR(Topraklar!$J$26="Evet",AND(Topraklar!$L$26&lt;&gt;"Evet",Topraklar!$K$26&lt;&gt;Bitkiler!$C$24)),0,MAX(0,1-(Ayarlar!$B$2*ABS(Bitkiler!$D$24-Topraklar!$D$26)+Ayarlar!$B$3*ABS(Bitkiler!$E$24-Topraklar!$E$26)+Ayarlar!$B$4*ABS(Bitkiler!$F$24-Topraklar!$F$26)+Ayarlar!$B$5*ABS(Bitkiler!$G$24-Topraklar!$G$26)+Ayarlar!$B$6*IF(Bitkiler!$H$24=Topraklar!$H$26,0,1))/Ayarlar!$B$7)+IF(Topraklar!$K$26=Bitkiler!$C$24,0.002,IF(Topraklar!$L$26="Evet",0.001,0)))</f>
        <v/>
      </c>
      <c r="AA25" s="16">
        <f>IF(OR(Topraklar!$J$27="Evet",AND(Topraklar!$L$27&lt;&gt;"Evet",Topraklar!$K$27&lt;&gt;Bitkiler!$C$24)),0,MAX(0,1-(Ayarlar!$B$2*ABS(Bitkiler!$D$24-Topraklar!$D$27)+Ayarlar!$B$3*ABS(Bitkiler!$E$24-Topraklar!$E$27)+Ayarlar!$B$4*ABS(Bitkiler!$F$24-Topraklar!$F$27)+Ayarlar!$B$5*ABS(Bitkiler!$G$24-Topraklar!$G$27)+Ayarlar!$B$6*IF(Bitkiler!$H$24=Topraklar!$H$27,0,1))/Ayarlar!$B$7)+IF(Topraklar!$K$27=Bitkiler!$C$24,0.002,IF(Topraklar!$L$27="Evet",0.001,0)))</f>
        <v/>
      </c>
      <c r="AB25" s="16">
        <f>IF(OR(Topraklar!$J$28="Evet",AND(Topraklar!$L$28&lt;&gt;"Evet",Topraklar!$K$28&lt;&gt;Bitkiler!$C$24)),0,MAX(0,1-(Ayarlar!$B$2*ABS(Bitkiler!$D$24-Topraklar!$D$28)+Ayarlar!$B$3*ABS(Bitkiler!$E$24-Topraklar!$E$28)+Ayarlar!$B$4*ABS(Bitkiler!$F$24-Topraklar!$F$28)+Ayarlar!$B$5*ABS(Bitkiler!$G$24-Topraklar!$G$28)+Ayarlar!$B$6*IF(Bitkiler!$H$24=Topraklar!$H$28,0,1))/Ayarlar!$B$7)+IF(Topraklar!$K$28=Bitkiler!$C$24,0.002,IF(Topraklar!$L$28="Evet",0.001,0)))</f>
        <v/>
      </c>
      <c r="AC25" s="16">
        <f>IF(OR(Topraklar!$J$29="Evet",AND(Topraklar!$L$29&lt;&gt;"Evet",Topraklar!$K$29&lt;&gt;Bitkiler!$C$24)),0,MAX(0,1-(Ayarlar!$B$2*ABS(Bitkiler!$D$24-Topraklar!$D$29)+Ayarlar!$B$3*ABS(Bitkiler!$E$24-Topraklar!$E$29)+Ayarlar!$B$4*ABS(Bitkiler!$F$24-Topraklar!$F$29)+Ayarlar!$B$5*ABS(Bitkiler!$G$24-Topraklar!$G$29)+Ayarlar!$B$6*IF(Bitkiler!$H$24=Topraklar!$H$29,0,1))/Ayarlar!$B$7)+IF(Topraklar!$K$29=Bitkiler!$C$24,0.002,IF(Topraklar!$L$29="Evet",0.001,0)))</f>
        <v/>
      </c>
      <c r="AD25" s="16">
        <f>IF(OR(Topraklar!$J$30="Evet",AND(Topraklar!$L$30&lt;&gt;"Evet",Topraklar!$K$30&lt;&gt;Bitkiler!$C$24)),0,MAX(0,1-(Ayarlar!$B$2*ABS(Bitkiler!$D$24-Topraklar!$D$30)+Ayarlar!$B$3*ABS(Bitkiler!$E$24-Topraklar!$E$30)+Ayarlar!$B$4*ABS(Bitkiler!$F$24-Topraklar!$F$30)+Ayarlar!$B$5*ABS(Bitkiler!$G$24-Topraklar!$G$30)+Ayarlar!$B$6*IF(Bitkiler!$H$24=Topraklar!$H$30,0,1))/Ayarlar!$B$7)+IF(Topraklar!$K$30=Bitkiler!$C$24,0.002,IF(Topraklar!$L$30="Evet",0.001,0)))</f>
        <v/>
      </c>
      <c r="AE25" s="16">
        <f>IF(OR(Topraklar!$J$31="Evet",AND(Topraklar!$L$31&lt;&gt;"Evet",Topraklar!$K$31&lt;&gt;Bitkiler!$C$24)),0,MAX(0,1-(Ayarlar!$B$2*ABS(Bitkiler!$D$24-Topraklar!$D$31)+Ayarlar!$B$3*ABS(Bitkiler!$E$24-Topraklar!$E$31)+Ayarlar!$B$4*ABS(Bitkiler!$F$24-Topraklar!$F$31)+Ayarlar!$B$5*ABS(Bitkiler!$G$24-Topraklar!$G$31)+Ayarlar!$B$6*IF(Bitkiler!$H$24=Topraklar!$H$31,0,1))/Ayarlar!$B$7)+IF(Topraklar!$K$31=Bitkiler!$C$24,0.002,IF(Topraklar!$L$31="Evet",0.001,0)))</f>
        <v/>
      </c>
      <c r="AF25" s="16">
        <f>IF(OR(Topraklar!$J$32="Evet",AND(Topraklar!$L$32&lt;&gt;"Evet",Topraklar!$K$32&lt;&gt;Bitkiler!$C$24)),0,MAX(0,1-(Ayarlar!$B$2*ABS(Bitkiler!$D$24-Topraklar!$D$32)+Ayarlar!$B$3*ABS(Bitkiler!$E$24-Topraklar!$E$32)+Ayarlar!$B$4*ABS(Bitkiler!$F$24-Topraklar!$F$32)+Ayarlar!$B$5*ABS(Bitkiler!$G$24-Topraklar!$G$32)+Ayarlar!$B$6*IF(Bitkiler!$H$24=Topraklar!$H$32,0,1))/Ayarlar!$B$7)+IF(Topraklar!$K$32=Bitkiler!$C$24,0.002,IF(Topraklar!$L$32="Evet",0.001,0)))</f>
        <v/>
      </c>
      <c r="AG25" s="16">
        <f>IF(OR(Topraklar!$J$33="Evet",AND(Topraklar!$L$33&lt;&gt;"Evet",Topraklar!$K$33&lt;&gt;Bitkiler!$C$24)),0,MAX(0,1-(Ayarlar!$B$2*ABS(Bitkiler!$D$24-Topraklar!$D$33)+Ayarlar!$B$3*ABS(Bitkiler!$E$24-Topraklar!$E$33)+Ayarlar!$B$4*ABS(Bitkiler!$F$24-Topraklar!$F$33)+Ayarlar!$B$5*ABS(Bitkiler!$G$24-Topraklar!$G$33)+Ayarlar!$B$6*IF(Bitkiler!$H$24=Topraklar!$H$33,0,1))/Ayarlar!$B$7)+IF(Topraklar!$K$33=Bitkiler!$C$24,0.002,IF(Topraklar!$L$33="Evet",0.001,0)))</f>
        <v/>
      </c>
      <c r="AH25" s="16">
        <f>IF(OR(Topraklar!$J$34="Evet",AND(Topraklar!$L$34&lt;&gt;"Evet",Topraklar!$K$34&lt;&gt;Bitkiler!$C$24)),0,MAX(0,1-(Ayarlar!$B$2*ABS(Bitkiler!$D$24-Topraklar!$D$34)+Ayarlar!$B$3*ABS(Bitkiler!$E$24-Topraklar!$E$34)+Ayarlar!$B$4*ABS(Bitkiler!$F$24-Topraklar!$F$34)+Ayarlar!$B$5*ABS(Bitkiler!$G$24-Topraklar!$G$34)+Ayarlar!$B$6*IF(Bitkiler!$H$24=Topraklar!$H$34,0,1))/Ayarlar!$B$7)+IF(Topraklar!$K$34=Bitkiler!$C$24,0.002,IF(Topraklar!$L$34="Evet",0.001,0)))</f>
        <v/>
      </c>
      <c r="AI25" s="16">
        <f>IF(OR(Topraklar!$J$35="Evet",AND(Topraklar!$L$35&lt;&gt;"Evet",Topraklar!$K$35&lt;&gt;Bitkiler!$C$24)),0,MAX(0,1-(Ayarlar!$B$2*ABS(Bitkiler!$D$24-Topraklar!$D$35)+Ayarlar!$B$3*ABS(Bitkiler!$E$24-Topraklar!$E$35)+Ayarlar!$B$4*ABS(Bitkiler!$F$24-Topraklar!$F$35)+Ayarlar!$B$5*ABS(Bitkiler!$G$24-Topraklar!$G$35)+Ayarlar!$B$6*IF(Bitkiler!$H$24=Topraklar!$H$35,0,1))/Ayarlar!$B$7)+IF(Topraklar!$K$35=Bitkiler!$C$24,0.002,IF(Topraklar!$L$35="Evet",0.001,0)))</f>
        <v/>
      </c>
      <c r="AJ25" s="16">
        <f>IF(OR(Topraklar!$J$36="Evet",AND(Topraklar!$L$36&lt;&gt;"Evet",Topraklar!$K$36&lt;&gt;Bitkiler!$C$24)),0,MAX(0,1-(Ayarlar!$B$2*ABS(Bitkiler!$D$24-Topraklar!$D$36)+Ayarlar!$B$3*ABS(Bitkiler!$E$24-Topraklar!$E$36)+Ayarlar!$B$4*ABS(Bitkiler!$F$24-Topraklar!$F$36)+Ayarlar!$B$5*ABS(Bitkiler!$G$24-Topraklar!$G$36)+Ayarlar!$B$6*IF(Bitkiler!$H$24=Topraklar!$H$36,0,1))/Ayarlar!$B$7)+IF(Topraklar!$K$36=Bitkiler!$C$24,0.002,IF(Topraklar!$L$36="Evet",0.001,0)))</f>
        <v/>
      </c>
      <c r="AK25" s="16">
        <f>IF(OR(Topraklar!$J$37="Evet",AND(Topraklar!$L$37&lt;&gt;"Evet",Topraklar!$K$37&lt;&gt;Bitkiler!$C$24)),0,MAX(0,1-(Ayarlar!$B$2*ABS(Bitkiler!$D$24-Topraklar!$D$37)+Ayarlar!$B$3*ABS(Bitkiler!$E$24-Topraklar!$E$37)+Ayarlar!$B$4*ABS(Bitkiler!$F$24-Topraklar!$F$37)+Ayarlar!$B$5*ABS(Bitkiler!$G$24-Topraklar!$G$37)+Ayarlar!$B$6*IF(Bitkiler!$H$24=Topraklar!$H$37,0,1))/Ayarlar!$B$7)+IF(Topraklar!$K$37=Bitkiler!$C$24,0.002,IF(Topraklar!$L$37="Evet",0.001,0)))</f>
        <v/>
      </c>
      <c r="AL25" s="16">
        <f>IF(OR(Topraklar!$J$38="Evet",AND(Topraklar!$L$38&lt;&gt;"Evet",Topraklar!$K$38&lt;&gt;Bitkiler!$C$24)),0,MAX(0,1-(Ayarlar!$B$2*ABS(Bitkiler!$D$24-Topraklar!$D$38)+Ayarlar!$B$3*ABS(Bitkiler!$E$24-Topraklar!$E$38)+Ayarlar!$B$4*ABS(Bitkiler!$F$24-Topraklar!$F$38)+Ayarlar!$B$5*ABS(Bitkiler!$G$24-Topraklar!$G$38)+Ayarlar!$B$6*IF(Bitkiler!$H$24=Topraklar!$H$38,0,1))/Ayarlar!$B$7)+IF(Topraklar!$K$38=Bitkiler!$C$24,0.002,IF(Topraklar!$L$38="Evet",0.001,0)))</f>
        <v/>
      </c>
      <c r="AM25" s="16">
        <f>IF(OR(Topraklar!$J$39="Evet",AND(Topraklar!$L$39&lt;&gt;"Evet",Topraklar!$K$39&lt;&gt;Bitkiler!$C$24)),0,MAX(0,1-(Ayarlar!$B$2*ABS(Bitkiler!$D$24-Topraklar!$D$39)+Ayarlar!$B$3*ABS(Bitkiler!$E$24-Topraklar!$E$39)+Ayarlar!$B$4*ABS(Bitkiler!$F$24-Topraklar!$F$39)+Ayarlar!$B$5*ABS(Bitkiler!$G$24-Topraklar!$G$39)+Ayarlar!$B$6*IF(Bitkiler!$H$24=Topraklar!$H$39,0,1))/Ayarlar!$B$7)+IF(Topraklar!$K$39=Bitkiler!$C$24,0.002,IF(Topraklar!$L$39="Evet",0.001,0)))</f>
        <v/>
      </c>
      <c r="AN25" s="16">
        <f>IF(OR(Topraklar!$J$40="Evet",AND(Topraklar!$L$40&lt;&gt;"Evet",Topraklar!$K$40&lt;&gt;Bitkiler!$C$24)),0,MAX(0,1-(Ayarlar!$B$2*ABS(Bitkiler!$D$24-Topraklar!$D$40)+Ayarlar!$B$3*ABS(Bitkiler!$E$24-Topraklar!$E$40)+Ayarlar!$B$4*ABS(Bitkiler!$F$24-Topraklar!$F$40)+Ayarlar!$B$5*ABS(Bitkiler!$G$24-Topraklar!$G$40)+Ayarlar!$B$6*IF(Bitkiler!$H$24=Topraklar!$H$40,0,1))/Ayarlar!$B$7)+IF(Topraklar!$K$40=Bitkiler!$C$24,0.002,IF(Topraklar!$L$40="Evet",0.001,0)))</f>
        <v/>
      </c>
      <c r="AO25" s="16">
        <f>IF(OR(Topraklar!$J$41="Evet",AND(Topraklar!$L$41&lt;&gt;"Evet",Topraklar!$K$41&lt;&gt;Bitkiler!$C$24)),0,MAX(0,1-(Ayarlar!$B$2*ABS(Bitkiler!$D$24-Topraklar!$D$41)+Ayarlar!$B$3*ABS(Bitkiler!$E$24-Topraklar!$E$41)+Ayarlar!$B$4*ABS(Bitkiler!$F$24-Topraklar!$F$41)+Ayarlar!$B$5*ABS(Bitkiler!$G$24-Topraklar!$G$41)+Ayarlar!$B$6*IF(Bitkiler!$H$24=Topraklar!$H$41,0,1))/Ayarlar!$B$7)+IF(Topraklar!$K$41=Bitkiler!$C$24,0.002,IF(Topraklar!$L$41="Evet",0.001,0)))</f>
        <v/>
      </c>
      <c r="AP25" s="16">
        <f>IF(OR(Topraklar!$J$42="Evet",AND(Topraklar!$L$42&lt;&gt;"Evet",Topraklar!$K$42&lt;&gt;Bitkiler!$C$24)),0,MAX(0,1-(Ayarlar!$B$2*ABS(Bitkiler!$D$24-Topraklar!$D$42)+Ayarlar!$B$3*ABS(Bitkiler!$E$24-Topraklar!$E$42)+Ayarlar!$B$4*ABS(Bitkiler!$F$24-Topraklar!$F$42)+Ayarlar!$B$5*ABS(Bitkiler!$G$24-Topraklar!$G$42)+Ayarlar!$B$6*IF(Bitkiler!$H$24=Topraklar!$H$42,0,1))/Ayarlar!$B$7)+IF(Topraklar!$K$42=Bitkiler!$C$24,0.002,IF(Topraklar!$L$42="Evet",0.001,0)))</f>
        <v/>
      </c>
      <c r="AQ25" s="16">
        <f>IF(OR(Topraklar!$J$43="Evet",AND(Topraklar!$L$43&lt;&gt;"Evet",Topraklar!$K$43&lt;&gt;Bitkiler!$C$24)),0,MAX(0,1-(Ayarlar!$B$2*ABS(Bitkiler!$D$24-Topraklar!$D$43)+Ayarlar!$B$3*ABS(Bitkiler!$E$24-Topraklar!$E$43)+Ayarlar!$B$4*ABS(Bitkiler!$F$24-Topraklar!$F$43)+Ayarlar!$B$5*ABS(Bitkiler!$G$24-Topraklar!$G$43)+Ayarlar!$B$6*IF(Bitkiler!$H$24=Topraklar!$H$43,0,1))/Ayarlar!$B$7)+IF(Topraklar!$K$43=Bitkiler!$C$24,0.002,IF(Topraklar!$L$43="Evet",0.001,0)))</f>
        <v/>
      </c>
      <c r="AR25" s="16">
        <f>IF(OR(Topraklar!$J$44="Evet",AND(Topraklar!$L$44&lt;&gt;"Evet",Topraklar!$K$44&lt;&gt;Bitkiler!$C$24)),0,MAX(0,1-(Ayarlar!$B$2*ABS(Bitkiler!$D$24-Topraklar!$D$44)+Ayarlar!$B$3*ABS(Bitkiler!$E$24-Topraklar!$E$44)+Ayarlar!$B$4*ABS(Bitkiler!$F$24-Topraklar!$F$44)+Ayarlar!$B$5*ABS(Bitkiler!$G$24-Topraklar!$G$44)+Ayarlar!$B$6*IF(Bitkiler!$H$24=Topraklar!$H$44,0,1))/Ayarlar!$B$7)+IF(Topraklar!$K$44=Bitkiler!$C$24,0.002,IF(Topraklar!$L$44="Evet",0.001,0)))</f>
        <v/>
      </c>
      <c r="AS25" s="16">
        <f>IF(OR(Topraklar!$J$45="Evet",AND(Topraklar!$L$45&lt;&gt;"Evet",Topraklar!$K$45&lt;&gt;Bitkiler!$C$24)),0,MAX(0,1-(Ayarlar!$B$2*ABS(Bitkiler!$D$24-Topraklar!$D$45)+Ayarlar!$B$3*ABS(Bitkiler!$E$24-Topraklar!$E$45)+Ayarlar!$B$4*ABS(Bitkiler!$F$24-Topraklar!$F$45)+Ayarlar!$B$5*ABS(Bitkiler!$G$24-Topraklar!$G$45)+Ayarlar!$B$6*IF(Bitkiler!$H$24=Topraklar!$H$45,0,1))/Ayarlar!$B$7)+IF(Topraklar!$K$45=Bitkiler!$C$24,0.002,IF(Topraklar!$L$45="Evet",0.001,0)))</f>
        <v/>
      </c>
      <c r="AT25" s="16">
        <f>IF(OR(Topraklar!$J$46="Evet",AND(Topraklar!$L$46&lt;&gt;"Evet",Topraklar!$K$46&lt;&gt;Bitkiler!$C$24)),0,MAX(0,1-(Ayarlar!$B$2*ABS(Bitkiler!$D$24-Topraklar!$D$46)+Ayarlar!$B$3*ABS(Bitkiler!$E$24-Topraklar!$E$46)+Ayarlar!$B$4*ABS(Bitkiler!$F$24-Topraklar!$F$46)+Ayarlar!$B$5*ABS(Bitkiler!$G$24-Topraklar!$G$46)+Ayarlar!$B$6*IF(Bitkiler!$H$24=Topraklar!$H$46,0,1))/Ayarlar!$B$7)+IF(Topraklar!$K$46=Bitkiler!$C$24,0.002,IF(Topraklar!$L$46="Evet",0.001,0)))</f>
        <v/>
      </c>
      <c r="AU25" s="16">
        <f>IF(OR(Topraklar!$J$47="Evet",AND(Topraklar!$L$47&lt;&gt;"Evet",Topraklar!$K$47&lt;&gt;Bitkiler!$C$24)),0,MAX(0,1-(Ayarlar!$B$2*ABS(Bitkiler!$D$24-Topraklar!$D$47)+Ayarlar!$B$3*ABS(Bitkiler!$E$24-Topraklar!$E$47)+Ayarlar!$B$4*ABS(Bitkiler!$F$24-Topraklar!$F$47)+Ayarlar!$B$5*ABS(Bitkiler!$G$24-Topraklar!$G$47)+Ayarlar!$B$6*IF(Bitkiler!$H$24=Topraklar!$H$47,0,1))/Ayarlar!$B$7)+IF(Topraklar!$K$47=Bitkiler!$C$24,0.002,IF(Topraklar!$L$47="Evet",0.001,0)))</f>
        <v/>
      </c>
      <c r="AV25" s="16">
        <f>IF(OR(Topraklar!$J$48="Evet",AND(Topraklar!$L$48&lt;&gt;"Evet",Topraklar!$K$48&lt;&gt;Bitkiler!$C$24)),0,MAX(0,1-(Ayarlar!$B$2*ABS(Bitkiler!$D$24-Topraklar!$D$48)+Ayarlar!$B$3*ABS(Bitkiler!$E$24-Topraklar!$E$48)+Ayarlar!$B$4*ABS(Bitkiler!$F$24-Topraklar!$F$48)+Ayarlar!$B$5*ABS(Bitkiler!$G$24-Topraklar!$G$48)+Ayarlar!$B$6*IF(Bitkiler!$H$24=Topraklar!$H$48,0,1))/Ayarlar!$B$7)+IF(Topraklar!$K$48=Bitkiler!$C$24,0.002,IF(Topraklar!$L$48="Evet",0.001,0)))</f>
        <v/>
      </c>
      <c r="AW25" s="16">
        <f>IF(OR(Topraklar!$J$49="Evet",AND(Topraklar!$L$49&lt;&gt;"Evet",Topraklar!$K$49&lt;&gt;Bitkiler!$C$24)),0,MAX(0,1-(Ayarlar!$B$2*ABS(Bitkiler!$D$24-Topraklar!$D$49)+Ayarlar!$B$3*ABS(Bitkiler!$E$24-Topraklar!$E$49)+Ayarlar!$B$4*ABS(Bitkiler!$F$24-Topraklar!$F$49)+Ayarlar!$B$5*ABS(Bitkiler!$G$24-Topraklar!$G$49)+Ayarlar!$B$6*IF(Bitkiler!$H$24=Topraklar!$H$49,0,1))/Ayarlar!$B$7)+IF(Topraklar!$K$49=Bitkiler!$C$24,0.002,IF(Topraklar!$L$49="Evet",0.001,0)))</f>
        <v/>
      </c>
      <c r="AX25" s="16">
        <f>IF(OR(Topraklar!$J$50="Evet",AND(Topraklar!$L$50&lt;&gt;"Evet",Topraklar!$K$50&lt;&gt;Bitkiler!$C$24)),0,MAX(0,1-(Ayarlar!$B$2*ABS(Bitkiler!$D$24-Topraklar!$D$50)+Ayarlar!$B$3*ABS(Bitkiler!$E$24-Topraklar!$E$50)+Ayarlar!$B$4*ABS(Bitkiler!$F$24-Topraklar!$F$50)+Ayarlar!$B$5*ABS(Bitkiler!$G$24-Topraklar!$G$50)+Ayarlar!$B$6*IF(Bitkiler!$H$24=Topraklar!$H$50,0,1))/Ayarlar!$B$7)+IF(Topraklar!$K$50=Bitkiler!$C$24,0.002,IF(Topraklar!$L$50="Evet",0.001,0)))</f>
        <v/>
      </c>
      <c r="AY25" s="16">
        <f>IF(OR(Topraklar!$J$51="Evet",AND(Topraklar!$L$51&lt;&gt;"Evet",Topraklar!$K$51&lt;&gt;Bitkiler!$C$24)),0,MAX(0,1-(Ayarlar!$B$2*ABS(Bitkiler!$D$24-Topraklar!$D$51)+Ayarlar!$B$3*ABS(Bitkiler!$E$24-Topraklar!$E$51)+Ayarlar!$B$4*ABS(Bitkiler!$F$24-Topraklar!$F$51)+Ayarlar!$B$5*ABS(Bitkiler!$G$24-Topraklar!$G$51)+Ayarlar!$B$6*IF(Bitkiler!$H$24=Topraklar!$H$51,0,1))/Ayarlar!$B$7)+IF(Topraklar!$K$51=Bitkiler!$C$24,0.002,IF(Topraklar!$L$51="Evet",0.001,0)))</f>
        <v/>
      </c>
    </row>
    <row r="26">
      <c r="A26" s="15">
        <f>Bitkiler!A25</f>
        <v/>
      </c>
      <c r="B26" s="16">
        <f>IF(OR(Topraklar!$J$2="Evet",AND(Topraklar!$L$2&lt;&gt;"Evet",Topraklar!$K$2&lt;&gt;Bitkiler!$C$25)),0,MAX(0,1-(Ayarlar!$B$2*ABS(Bitkiler!$D$25-Topraklar!$D$2)+Ayarlar!$B$3*ABS(Bitkiler!$E$25-Topraklar!$E$2)+Ayarlar!$B$4*ABS(Bitkiler!$F$25-Topraklar!$F$2)+Ayarlar!$B$5*ABS(Bitkiler!$G$25-Topraklar!$G$2)+Ayarlar!$B$6*IF(Bitkiler!$H$25=Topraklar!$H$2,0,1))/Ayarlar!$B$7)+IF(Topraklar!$K$2=Bitkiler!$C$25,0.002,IF(Topraklar!$L$2="Evet",0.001,0)))</f>
        <v/>
      </c>
      <c r="C26" s="16">
        <f>IF(OR(Topraklar!$J$3="Evet",AND(Topraklar!$L$3&lt;&gt;"Evet",Topraklar!$K$3&lt;&gt;Bitkiler!$C$25)),0,MAX(0,1-(Ayarlar!$B$2*ABS(Bitkiler!$D$25-Topraklar!$D$3)+Ayarlar!$B$3*ABS(Bitkiler!$E$25-Topraklar!$E$3)+Ayarlar!$B$4*ABS(Bitkiler!$F$25-Topraklar!$F$3)+Ayarlar!$B$5*ABS(Bitkiler!$G$25-Topraklar!$G$3)+Ayarlar!$B$6*IF(Bitkiler!$H$25=Topraklar!$H$3,0,1))/Ayarlar!$B$7)+IF(Topraklar!$K$3=Bitkiler!$C$25,0.002,IF(Topraklar!$L$3="Evet",0.001,0)))</f>
        <v/>
      </c>
      <c r="D26" s="16">
        <f>IF(OR(Topraklar!$J$4="Evet",AND(Topraklar!$L$4&lt;&gt;"Evet",Topraklar!$K$4&lt;&gt;Bitkiler!$C$25)),0,MAX(0,1-(Ayarlar!$B$2*ABS(Bitkiler!$D$25-Topraklar!$D$4)+Ayarlar!$B$3*ABS(Bitkiler!$E$25-Topraklar!$E$4)+Ayarlar!$B$4*ABS(Bitkiler!$F$25-Topraklar!$F$4)+Ayarlar!$B$5*ABS(Bitkiler!$G$25-Topraklar!$G$4)+Ayarlar!$B$6*IF(Bitkiler!$H$25=Topraklar!$H$4,0,1))/Ayarlar!$B$7)+IF(Topraklar!$K$4=Bitkiler!$C$25,0.002,IF(Topraklar!$L$4="Evet",0.001,0)))</f>
        <v/>
      </c>
      <c r="E26" s="16">
        <f>IF(OR(Topraklar!$J$5="Evet",AND(Topraklar!$L$5&lt;&gt;"Evet",Topraklar!$K$5&lt;&gt;Bitkiler!$C$25)),0,MAX(0,1-(Ayarlar!$B$2*ABS(Bitkiler!$D$25-Topraklar!$D$5)+Ayarlar!$B$3*ABS(Bitkiler!$E$25-Topraklar!$E$5)+Ayarlar!$B$4*ABS(Bitkiler!$F$25-Topraklar!$F$5)+Ayarlar!$B$5*ABS(Bitkiler!$G$25-Topraklar!$G$5)+Ayarlar!$B$6*IF(Bitkiler!$H$25=Topraklar!$H$5,0,1))/Ayarlar!$B$7)+IF(Topraklar!$K$5=Bitkiler!$C$25,0.002,IF(Topraklar!$L$5="Evet",0.001,0)))</f>
        <v/>
      </c>
      <c r="F26" s="16">
        <f>IF(OR(Topraklar!$J$6="Evet",AND(Topraklar!$L$6&lt;&gt;"Evet",Topraklar!$K$6&lt;&gt;Bitkiler!$C$25)),0,MAX(0,1-(Ayarlar!$B$2*ABS(Bitkiler!$D$25-Topraklar!$D$6)+Ayarlar!$B$3*ABS(Bitkiler!$E$25-Topraklar!$E$6)+Ayarlar!$B$4*ABS(Bitkiler!$F$25-Topraklar!$F$6)+Ayarlar!$B$5*ABS(Bitkiler!$G$25-Topraklar!$G$6)+Ayarlar!$B$6*IF(Bitkiler!$H$25=Topraklar!$H$6,0,1))/Ayarlar!$B$7)+IF(Topraklar!$K$6=Bitkiler!$C$25,0.002,IF(Topraklar!$L$6="Evet",0.001,0)))</f>
        <v/>
      </c>
      <c r="G26" s="16">
        <f>IF(OR(Topraklar!$J$7="Evet",AND(Topraklar!$L$7&lt;&gt;"Evet",Topraklar!$K$7&lt;&gt;Bitkiler!$C$25)),0,MAX(0,1-(Ayarlar!$B$2*ABS(Bitkiler!$D$25-Topraklar!$D$7)+Ayarlar!$B$3*ABS(Bitkiler!$E$25-Topraklar!$E$7)+Ayarlar!$B$4*ABS(Bitkiler!$F$25-Topraklar!$F$7)+Ayarlar!$B$5*ABS(Bitkiler!$G$25-Topraklar!$G$7)+Ayarlar!$B$6*IF(Bitkiler!$H$25=Topraklar!$H$7,0,1))/Ayarlar!$B$7)+IF(Topraklar!$K$7=Bitkiler!$C$25,0.002,IF(Topraklar!$L$7="Evet",0.001,0)))</f>
        <v/>
      </c>
      <c r="H26" s="16">
        <f>IF(OR(Topraklar!$J$8="Evet",AND(Topraklar!$L$8&lt;&gt;"Evet",Topraklar!$K$8&lt;&gt;Bitkiler!$C$25)),0,MAX(0,1-(Ayarlar!$B$2*ABS(Bitkiler!$D$25-Topraklar!$D$8)+Ayarlar!$B$3*ABS(Bitkiler!$E$25-Topraklar!$E$8)+Ayarlar!$B$4*ABS(Bitkiler!$F$25-Topraklar!$F$8)+Ayarlar!$B$5*ABS(Bitkiler!$G$25-Topraklar!$G$8)+Ayarlar!$B$6*IF(Bitkiler!$H$25=Topraklar!$H$8,0,1))/Ayarlar!$B$7)+IF(Topraklar!$K$8=Bitkiler!$C$25,0.002,IF(Topraklar!$L$8="Evet",0.001,0)))</f>
        <v/>
      </c>
      <c r="I26" s="16">
        <f>IF(OR(Topraklar!$J$9="Evet",AND(Topraklar!$L$9&lt;&gt;"Evet",Topraklar!$K$9&lt;&gt;Bitkiler!$C$25)),0,MAX(0,1-(Ayarlar!$B$2*ABS(Bitkiler!$D$25-Topraklar!$D$9)+Ayarlar!$B$3*ABS(Bitkiler!$E$25-Topraklar!$E$9)+Ayarlar!$B$4*ABS(Bitkiler!$F$25-Topraklar!$F$9)+Ayarlar!$B$5*ABS(Bitkiler!$G$25-Topraklar!$G$9)+Ayarlar!$B$6*IF(Bitkiler!$H$25=Topraklar!$H$9,0,1))/Ayarlar!$B$7)+IF(Topraklar!$K$9=Bitkiler!$C$25,0.002,IF(Topraklar!$L$9="Evet",0.001,0)))</f>
        <v/>
      </c>
      <c r="J26" s="16">
        <f>IF(OR(Topraklar!$J$10="Evet",AND(Topraklar!$L$10&lt;&gt;"Evet",Topraklar!$K$10&lt;&gt;Bitkiler!$C$25)),0,MAX(0,1-(Ayarlar!$B$2*ABS(Bitkiler!$D$25-Topraklar!$D$10)+Ayarlar!$B$3*ABS(Bitkiler!$E$25-Topraklar!$E$10)+Ayarlar!$B$4*ABS(Bitkiler!$F$25-Topraklar!$F$10)+Ayarlar!$B$5*ABS(Bitkiler!$G$25-Topraklar!$G$10)+Ayarlar!$B$6*IF(Bitkiler!$H$25=Topraklar!$H$10,0,1))/Ayarlar!$B$7)+IF(Topraklar!$K$10=Bitkiler!$C$25,0.002,IF(Topraklar!$L$10="Evet",0.001,0)))</f>
        <v/>
      </c>
      <c r="K26" s="16">
        <f>IF(OR(Topraklar!$J$11="Evet",AND(Topraklar!$L$11&lt;&gt;"Evet",Topraklar!$K$11&lt;&gt;Bitkiler!$C$25)),0,MAX(0,1-(Ayarlar!$B$2*ABS(Bitkiler!$D$25-Topraklar!$D$11)+Ayarlar!$B$3*ABS(Bitkiler!$E$25-Topraklar!$E$11)+Ayarlar!$B$4*ABS(Bitkiler!$F$25-Topraklar!$F$11)+Ayarlar!$B$5*ABS(Bitkiler!$G$25-Topraklar!$G$11)+Ayarlar!$B$6*IF(Bitkiler!$H$25=Topraklar!$H$11,0,1))/Ayarlar!$B$7)+IF(Topraklar!$K$11=Bitkiler!$C$25,0.002,IF(Topraklar!$L$11="Evet",0.001,0)))</f>
        <v/>
      </c>
      <c r="L26" s="16">
        <f>IF(OR(Topraklar!$J$12="Evet",AND(Topraklar!$L$12&lt;&gt;"Evet",Topraklar!$K$12&lt;&gt;Bitkiler!$C$25)),0,MAX(0,1-(Ayarlar!$B$2*ABS(Bitkiler!$D$25-Topraklar!$D$12)+Ayarlar!$B$3*ABS(Bitkiler!$E$25-Topraklar!$E$12)+Ayarlar!$B$4*ABS(Bitkiler!$F$25-Topraklar!$F$12)+Ayarlar!$B$5*ABS(Bitkiler!$G$25-Topraklar!$G$12)+Ayarlar!$B$6*IF(Bitkiler!$H$25=Topraklar!$H$12,0,1))/Ayarlar!$B$7)+IF(Topraklar!$K$12=Bitkiler!$C$25,0.002,IF(Topraklar!$L$12="Evet",0.001,0)))</f>
        <v/>
      </c>
      <c r="M26" s="16">
        <f>IF(OR(Topraklar!$J$13="Evet",AND(Topraklar!$L$13&lt;&gt;"Evet",Topraklar!$K$13&lt;&gt;Bitkiler!$C$25)),0,MAX(0,1-(Ayarlar!$B$2*ABS(Bitkiler!$D$25-Topraklar!$D$13)+Ayarlar!$B$3*ABS(Bitkiler!$E$25-Topraklar!$E$13)+Ayarlar!$B$4*ABS(Bitkiler!$F$25-Topraklar!$F$13)+Ayarlar!$B$5*ABS(Bitkiler!$G$25-Topraklar!$G$13)+Ayarlar!$B$6*IF(Bitkiler!$H$25=Topraklar!$H$13,0,1))/Ayarlar!$B$7)+IF(Topraklar!$K$13=Bitkiler!$C$25,0.002,IF(Topraklar!$L$13="Evet",0.001,0)))</f>
        <v/>
      </c>
      <c r="N26" s="16">
        <f>IF(OR(Topraklar!$J$14="Evet",AND(Topraklar!$L$14&lt;&gt;"Evet",Topraklar!$K$14&lt;&gt;Bitkiler!$C$25)),0,MAX(0,1-(Ayarlar!$B$2*ABS(Bitkiler!$D$25-Topraklar!$D$14)+Ayarlar!$B$3*ABS(Bitkiler!$E$25-Topraklar!$E$14)+Ayarlar!$B$4*ABS(Bitkiler!$F$25-Topraklar!$F$14)+Ayarlar!$B$5*ABS(Bitkiler!$G$25-Topraklar!$G$14)+Ayarlar!$B$6*IF(Bitkiler!$H$25=Topraklar!$H$14,0,1))/Ayarlar!$B$7)+IF(Topraklar!$K$14=Bitkiler!$C$25,0.002,IF(Topraklar!$L$14="Evet",0.001,0)))</f>
        <v/>
      </c>
      <c r="O26" s="16">
        <f>IF(OR(Topraklar!$J$15="Evet",AND(Topraklar!$L$15&lt;&gt;"Evet",Topraklar!$K$15&lt;&gt;Bitkiler!$C$25)),0,MAX(0,1-(Ayarlar!$B$2*ABS(Bitkiler!$D$25-Topraklar!$D$15)+Ayarlar!$B$3*ABS(Bitkiler!$E$25-Topraklar!$E$15)+Ayarlar!$B$4*ABS(Bitkiler!$F$25-Topraklar!$F$15)+Ayarlar!$B$5*ABS(Bitkiler!$G$25-Topraklar!$G$15)+Ayarlar!$B$6*IF(Bitkiler!$H$25=Topraklar!$H$15,0,1))/Ayarlar!$B$7)+IF(Topraklar!$K$15=Bitkiler!$C$25,0.002,IF(Topraklar!$L$15="Evet",0.001,0)))</f>
        <v/>
      </c>
      <c r="P26" s="16">
        <f>IF(OR(Topraklar!$J$16="Evet",AND(Topraklar!$L$16&lt;&gt;"Evet",Topraklar!$K$16&lt;&gt;Bitkiler!$C$25)),0,MAX(0,1-(Ayarlar!$B$2*ABS(Bitkiler!$D$25-Topraklar!$D$16)+Ayarlar!$B$3*ABS(Bitkiler!$E$25-Topraklar!$E$16)+Ayarlar!$B$4*ABS(Bitkiler!$F$25-Topraklar!$F$16)+Ayarlar!$B$5*ABS(Bitkiler!$G$25-Topraklar!$G$16)+Ayarlar!$B$6*IF(Bitkiler!$H$25=Topraklar!$H$16,0,1))/Ayarlar!$B$7)+IF(Topraklar!$K$16=Bitkiler!$C$25,0.002,IF(Topraklar!$L$16="Evet",0.001,0)))</f>
        <v/>
      </c>
      <c r="Q26" s="16">
        <f>IF(OR(Topraklar!$J$17="Evet",AND(Topraklar!$L$17&lt;&gt;"Evet",Topraklar!$K$17&lt;&gt;Bitkiler!$C$25)),0,MAX(0,1-(Ayarlar!$B$2*ABS(Bitkiler!$D$25-Topraklar!$D$17)+Ayarlar!$B$3*ABS(Bitkiler!$E$25-Topraklar!$E$17)+Ayarlar!$B$4*ABS(Bitkiler!$F$25-Topraklar!$F$17)+Ayarlar!$B$5*ABS(Bitkiler!$G$25-Topraklar!$G$17)+Ayarlar!$B$6*IF(Bitkiler!$H$25=Topraklar!$H$17,0,1))/Ayarlar!$B$7)+IF(Topraklar!$K$17=Bitkiler!$C$25,0.002,IF(Topraklar!$L$17="Evet",0.001,0)))</f>
        <v/>
      </c>
      <c r="R26" s="16">
        <f>IF(OR(Topraklar!$J$18="Evet",AND(Topraklar!$L$18&lt;&gt;"Evet",Topraklar!$K$18&lt;&gt;Bitkiler!$C$25)),0,MAX(0,1-(Ayarlar!$B$2*ABS(Bitkiler!$D$25-Topraklar!$D$18)+Ayarlar!$B$3*ABS(Bitkiler!$E$25-Topraklar!$E$18)+Ayarlar!$B$4*ABS(Bitkiler!$F$25-Topraklar!$F$18)+Ayarlar!$B$5*ABS(Bitkiler!$G$25-Topraklar!$G$18)+Ayarlar!$B$6*IF(Bitkiler!$H$25=Topraklar!$H$18,0,1))/Ayarlar!$B$7)+IF(Topraklar!$K$18=Bitkiler!$C$25,0.002,IF(Topraklar!$L$18="Evet",0.001,0)))</f>
        <v/>
      </c>
      <c r="S26" s="16">
        <f>IF(OR(Topraklar!$J$19="Evet",AND(Topraklar!$L$19&lt;&gt;"Evet",Topraklar!$K$19&lt;&gt;Bitkiler!$C$25)),0,MAX(0,1-(Ayarlar!$B$2*ABS(Bitkiler!$D$25-Topraklar!$D$19)+Ayarlar!$B$3*ABS(Bitkiler!$E$25-Topraklar!$E$19)+Ayarlar!$B$4*ABS(Bitkiler!$F$25-Topraklar!$F$19)+Ayarlar!$B$5*ABS(Bitkiler!$G$25-Topraklar!$G$19)+Ayarlar!$B$6*IF(Bitkiler!$H$25=Topraklar!$H$19,0,1))/Ayarlar!$B$7)+IF(Topraklar!$K$19=Bitkiler!$C$25,0.002,IF(Topraklar!$L$19="Evet",0.001,0)))</f>
        <v/>
      </c>
      <c r="T26" s="16">
        <f>IF(OR(Topraklar!$J$20="Evet",AND(Topraklar!$L$20&lt;&gt;"Evet",Topraklar!$K$20&lt;&gt;Bitkiler!$C$25)),0,MAX(0,1-(Ayarlar!$B$2*ABS(Bitkiler!$D$25-Topraklar!$D$20)+Ayarlar!$B$3*ABS(Bitkiler!$E$25-Topraklar!$E$20)+Ayarlar!$B$4*ABS(Bitkiler!$F$25-Topraklar!$F$20)+Ayarlar!$B$5*ABS(Bitkiler!$G$25-Topraklar!$G$20)+Ayarlar!$B$6*IF(Bitkiler!$H$25=Topraklar!$H$20,0,1))/Ayarlar!$B$7)+IF(Topraklar!$K$20=Bitkiler!$C$25,0.002,IF(Topraklar!$L$20="Evet",0.001,0)))</f>
        <v/>
      </c>
      <c r="U26" s="16">
        <f>IF(OR(Topraklar!$J$21="Evet",AND(Topraklar!$L$21&lt;&gt;"Evet",Topraklar!$K$21&lt;&gt;Bitkiler!$C$25)),0,MAX(0,1-(Ayarlar!$B$2*ABS(Bitkiler!$D$25-Topraklar!$D$21)+Ayarlar!$B$3*ABS(Bitkiler!$E$25-Topraklar!$E$21)+Ayarlar!$B$4*ABS(Bitkiler!$F$25-Topraklar!$F$21)+Ayarlar!$B$5*ABS(Bitkiler!$G$25-Topraklar!$G$21)+Ayarlar!$B$6*IF(Bitkiler!$H$25=Topraklar!$H$21,0,1))/Ayarlar!$B$7)+IF(Topraklar!$K$21=Bitkiler!$C$25,0.002,IF(Topraklar!$L$21="Evet",0.001,0)))</f>
        <v/>
      </c>
      <c r="V26" s="16">
        <f>IF(OR(Topraklar!$J$22="Evet",AND(Topraklar!$L$22&lt;&gt;"Evet",Topraklar!$K$22&lt;&gt;Bitkiler!$C$25)),0,MAX(0,1-(Ayarlar!$B$2*ABS(Bitkiler!$D$25-Topraklar!$D$22)+Ayarlar!$B$3*ABS(Bitkiler!$E$25-Topraklar!$E$22)+Ayarlar!$B$4*ABS(Bitkiler!$F$25-Topraklar!$F$22)+Ayarlar!$B$5*ABS(Bitkiler!$G$25-Topraklar!$G$22)+Ayarlar!$B$6*IF(Bitkiler!$H$25=Topraklar!$H$22,0,1))/Ayarlar!$B$7)+IF(Topraklar!$K$22=Bitkiler!$C$25,0.002,IF(Topraklar!$L$22="Evet",0.001,0)))</f>
        <v/>
      </c>
      <c r="W26" s="16">
        <f>IF(OR(Topraklar!$J$23="Evet",AND(Topraklar!$L$23&lt;&gt;"Evet",Topraklar!$K$23&lt;&gt;Bitkiler!$C$25)),0,MAX(0,1-(Ayarlar!$B$2*ABS(Bitkiler!$D$25-Topraklar!$D$23)+Ayarlar!$B$3*ABS(Bitkiler!$E$25-Topraklar!$E$23)+Ayarlar!$B$4*ABS(Bitkiler!$F$25-Topraklar!$F$23)+Ayarlar!$B$5*ABS(Bitkiler!$G$25-Topraklar!$G$23)+Ayarlar!$B$6*IF(Bitkiler!$H$25=Topraklar!$H$23,0,1))/Ayarlar!$B$7)+IF(Topraklar!$K$23=Bitkiler!$C$25,0.002,IF(Topraklar!$L$23="Evet",0.001,0)))</f>
        <v/>
      </c>
      <c r="X26" s="16">
        <f>IF(OR(Topraklar!$J$24="Evet",AND(Topraklar!$L$24&lt;&gt;"Evet",Topraklar!$K$24&lt;&gt;Bitkiler!$C$25)),0,MAX(0,1-(Ayarlar!$B$2*ABS(Bitkiler!$D$25-Topraklar!$D$24)+Ayarlar!$B$3*ABS(Bitkiler!$E$25-Topraklar!$E$24)+Ayarlar!$B$4*ABS(Bitkiler!$F$25-Topraklar!$F$24)+Ayarlar!$B$5*ABS(Bitkiler!$G$25-Topraklar!$G$24)+Ayarlar!$B$6*IF(Bitkiler!$H$25=Topraklar!$H$24,0,1))/Ayarlar!$B$7)+IF(Topraklar!$K$24=Bitkiler!$C$25,0.002,IF(Topraklar!$L$24="Evet",0.001,0)))</f>
        <v/>
      </c>
      <c r="Y26" s="16">
        <f>IF(OR(Topraklar!$J$25="Evet",AND(Topraklar!$L$25&lt;&gt;"Evet",Topraklar!$K$25&lt;&gt;Bitkiler!$C$25)),0,MAX(0,1-(Ayarlar!$B$2*ABS(Bitkiler!$D$25-Topraklar!$D$25)+Ayarlar!$B$3*ABS(Bitkiler!$E$25-Topraklar!$E$25)+Ayarlar!$B$4*ABS(Bitkiler!$F$25-Topraklar!$F$25)+Ayarlar!$B$5*ABS(Bitkiler!$G$25-Topraklar!$G$25)+Ayarlar!$B$6*IF(Bitkiler!$H$25=Topraklar!$H$25,0,1))/Ayarlar!$B$7)+IF(Topraklar!$K$25=Bitkiler!$C$25,0.002,IF(Topraklar!$L$25="Evet",0.001,0)))</f>
        <v/>
      </c>
      <c r="Z26" s="16">
        <f>IF(OR(Topraklar!$J$26="Evet",AND(Topraklar!$L$26&lt;&gt;"Evet",Topraklar!$K$26&lt;&gt;Bitkiler!$C$25)),0,MAX(0,1-(Ayarlar!$B$2*ABS(Bitkiler!$D$25-Topraklar!$D$26)+Ayarlar!$B$3*ABS(Bitkiler!$E$25-Topraklar!$E$26)+Ayarlar!$B$4*ABS(Bitkiler!$F$25-Topraklar!$F$26)+Ayarlar!$B$5*ABS(Bitkiler!$G$25-Topraklar!$G$26)+Ayarlar!$B$6*IF(Bitkiler!$H$25=Topraklar!$H$26,0,1))/Ayarlar!$B$7)+IF(Topraklar!$K$26=Bitkiler!$C$25,0.002,IF(Topraklar!$L$26="Evet",0.001,0)))</f>
        <v/>
      </c>
      <c r="AA26" s="16">
        <f>IF(OR(Topraklar!$J$27="Evet",AND(Topraklar!$L$27&lt;&gt;"Evet",Topraklar!$K$27&lt;&gt;Bitkiler!$C$25)),0,MAX(0,1-(Ayarlar!$B$2*ABS(Bitkiler!$D$25-Topraklar!$D$27)+Ayarlar!$B$3*ABS(Bitkiler!$E$25-Topraklar!$E$27)+Ayarlar!$B$4*ABS(Bitkiler!$F$25-Topraklar!$F$27)+Ayarlar!$B$5*ABS(Bitkiler!$G$25-Topraklar!$G$27)+Ayarlar!$B$6*IF(Bitkiler!$H$25=Topraklar!$H$27,0,1))/Ayarlar!$B$7)+IF(Topraklar!$K$27=Bitkiler!$C$25,0.002,IF(Topraklar!$L$27="Evet",0.001,0)))</f>
        <v/>
      </c>
      <c r="AB26" s="16">
        <f>IF(OR(Topraklar!$J$28="Evet",AND(Topraklar!$L$28&lt;&gt;"Evet",Topraklar!$K$28&lt;&gt;Bitkiler!$C$25)),0,MAX(0,1-(Ayarlar!$B$2*ABS(Bitkiler!$D$25-Topraklar!$D$28)+Ayarlar!$B$3*ABS(Bitkiler!$E$25-Topraklar!$E$28)+Ayarlar!$B$4*ABS(Bitkiler!$F$25-Topraklar!$F$28)+Ayarlar!$B$5*ABS(Bitkiler!$G$25-Topraklar!$G$28)+Ayarlar!$B$6*IF(Bitkiler!$H$25=Topraklar!$H$28,0,1))/Ayarlar!$B$7)+IF(Topraklar!$K$28=Bitkiler!$C$25,0.002,IF(Topraklar!$L$28="Evet",0.001,0)))</f>
        <v/>
      </c>
      <c r="AC26" s="16">
        <f>IF(OR(Topraklar!$J$29="Evet",AND(Topraklar!$L$29&lt;&gt;"Evet",Topraklar!$K$29&lt;&gt;Bitkiler!$C$25)),0,MAX(0,1-(Ayarlar!$B$2*ABS(Bitkiler!$D$25-Topraklar!$D$29)+Ayarlar!$B$3*ABS(Bitkiler!$E$25-Topraklar!$E$29)+Ayarlar!$B$4*ABS(Bitkiler!$F$25-Topraklar!$F$29)+Ayarlar!$B$5*ABS(Bitkiler!$G$25-Topraklar!$G$29)+Ayarlar!$B$6*IF(Bitkiler!$H$25=Topraklar!$H$29,0,1))/Ayarlar!$B$7)+IF(Topraklar!$K$29=Bitkiler!$C$25,0.002,IF(Topraklar!$L$29="Evet",0.001,0)))</f>
        <v/>
      </c>
      <c r="AD26" s="16">
        <f>IF(OR(Topraklar!$J$30="Evet",AND(Topraklar!$L$30&lt;&gt;"Evet",Topraklar!$K$30&lt;&gt;Bitkiler!$C$25)),0,MAX(0,1-(Ayarlar!$B$2*ABS(Bitkiler!$D$25-Topraklar!$D$30)+Ayarlar!$B$3*ABS(Bitkiler!$E$25-Topraklar!$E$30)+Ayarlar!$B$4*ABS(Bitkiler!$F$25-Topraklar!$F$30)+Ayarlar!$B$5*ABS(Bitkiler!$G$25-Topraklar!$G$30)+Ayarlar!$B$6*IF(Bitkiler!$H$25=Topraklar!$H$30,0,1))/Ayarlar!$B$7)+IF(Topraklar!$K$30=Bitkiler!$C$25,0.002,IF(Topraklar!$L$30="Evet",0.001,0)))</f>
        <v/>
      </c>
      <c r="AE26" s="16">
        <f>IF(OR(Topraklar!$J$31="Evet",AND(Topraklar!$L$31&lt;&gt;"Evet",Topraklar!$K$31&lt;&gt;Bitkiler!$C$25)),0,MAX(0,1-(Ayarlar!$B$2*ABS(Bitkiler!$D$25-Topraklar!$D$31)+Ayarlar!$B$3*ABS(Bitkiler!$E$25-Topraklar!$E$31)+Ayarlar!$B$4*ABS(Bitkiler!$F$25-Topraklar!$F$31)+Ayarlar!$B$5*ABS(Bitkiler!$G$25-Topraklar!$G$31)+Ayarlar!$B$6*IF(Bitkiler!$H$25=Topraklar!$H$31,0,1))/Ayarlar!$B$7)+IF(Topraklar!$K$31=Bitkiler!$C$25,0.002,IF(Topraklar!$L$31="Evet",0.001,0)))</f>
        <v/>
      </c>
      <c r="AF26" s="16">
        <f>IF(OR(Topraklar!$J$32="Evet",AND(Topraklar!$L$32&lt;&gt;"Evet",Topraklar!$K$32&lt;&gt;Bitkiler!$C$25)),0,MAX(0,1-(Ayarlar!$B$2*ABS(Bitkiler!$D$25-Topraklar!$D$32)+Ayarlar!$B$3*ABS(Bitkiler!$E$25-Topraklar!$E$32)+Ayarlar!$B$4*ABS(Bitkiler!$F$25-Topraklar!$F$32)+Ayarlar!$B$5*ABS(Bitkiler!$G$25-Topraklar!$G$32)+Ayarlar!$B$6*IF(Bitkiler!$H$25=Topraklar!$H$32,0,1))/Ayarlar!$B$7)+IF(Topraklar!$K$32=Bitkiler!$C$25,0.002,IF(Topraklar!$L$32="Evet",0.001,0)))</f>
        <v/>
      </c>
      <c r="AG26" s="16">
        <f>IF(OR(Topraklar!$J$33="Evet",AND(Topraklar!$L$33&lt;&gt;"Evet",Topraklar!$K$33&lt;&gt;Bitkiler!$C$25)),0,MAX(0,1-(Ayarlar!$B$2*ABS(Bitkiler!$D$25-Topraklar!$D$33)+Ayarlar!$B$3*ABS(Bitkiler!$E$25-Topraklar!$E$33)+Ayarlar!$B$4*ABS(Bitkiler!$F$25-Topraklar!$F$33)+Ayarlar!$B$5*ABS(Bitkiler!$G$25-Topraklar!$G$33)+Ayarlar!$B$6*IF(Bitkiler!$H$25=Topraklar!$H$33,0,1))/Ayarlar!$B$7)+IF(Topraklar!$K$33=Bitkiler!$C$25,0.002,IF(Topraklar!$L$33="Evet",0.001,0)))</f>
        <v/>
      </c>
      <c r="AH26" s="16">
        <f>IF(OR(Topraklar!$J$34="Evet",AND(Topraklar!$L$34&lt;&gt;"Evet",Topraklar!$K$34&lt;&gt;Bitkiler!$C$25)),0,MAX(0,1-(Ayarlar!$B$2*ABS(Bitkiler!$D$25-Topraklar!$D$34)+Ayarlar!$B$3*ABS(Bitkiler!$E$25-Topraklar!$E$34)+Ayarlar!$B$4*ABS(Bitkiler!$F$25-Topraklar!$F$34)+Ayarlar!$B$5*ABS(Bitkiler!$G$25-Topraklar!$G$34)+Ayarlar!$B$6*IF(Bitkiler!$H$25=Topraklar!$H$34,0,1))/Ayarlar!$B$7)+IF(Topraklar!$K$34=Bitkiler!$C$25,0.002,IF(Topraklar!$L$34="Evet",0.001,0)))</f>
        <v/>
      </c>
      <c r="AI26" s="16">
        <f>IF(OR(Topraklar!$J$35="Evet",AND(Topraklar!$L$35&lt;&gt;"Evet",Topraklar!$K$35&lt;&gt;Bitkiler!$C$25)),0,MAX(0,1-(Ayarlar!$B$2*ABS(Bitkiler!$D$25-Topraklar!$D$35)+Ayarlar!$B$3*ABS(Bitkiler!$E$25-Topraklar!$E$35)+Ayarlar!$B$4*ABS(Bitkiler!$F$25-Topraklar!$F$35)+Ayarlar!$B$5*ABS(Bitkiler!$G$25-Topraklar!$G$35)+Ayarlar!$B$6*IF(Bitkiler!$H$25=Topraklar!$H$35,0,1))/Ayarlar!$B$7)+IF(Topraklar!$K$35=Bitkiler!$C$25,0.002,IF(Topraklar!$L$35="Evet",0.001,0)))</f>
        <v/>
      </c>
      <c r="AJ26" s="16">
        <f>IF(OR(Topraklar!$J$36="Evet",AND(Topraklar!$L$36&lt;&gt;"Evet",Topraklar!$K$36&lt;&gt;Bitkiler!$C$25)),0,MAX(0,1-(Ayarlar!$B$2*ABS(Bitkiler!$D$25-Topraklar!$D$36)+Ayarlar!$B$3*ABS(Bitkiler!$E$25-Topraklar!$E$36)+Ayarlar!$B$4*ABS(Bitkiler!$F$25-Topraklar!$F$36)+Ayarlar!$B$5*ABS(Bitkiler!$G$25-Topraklar!$G$36)+Ayarlar!$B$6*IF(Bitkiler!$H$25=Topraklar!$H$36,0,1))/Ayarlar!$B$7)+IF(Topraklar!$K$36=Bitkiler!$C$25,0.002,IF(Topraklar!$L$36="Evet",0.001,0)))</f>
        <v/>
      </c>
      <c r="AK26" s="16">
        <f>IF(OR(Topraklar!$J$37="Evet",AND(Topraklar!$L$37&lt;&gt;"Evet",Topraklar!$K$37&lt;&gt;Bitkiler!$C$25)),0,MAX(0,1-(Ayarlar!$B$2*ABS(Bitkiler!$D$25-Topraklar!$D$37)+Ayarlar!$B$3*ABS(Bitkiler!$E$25-Topraklar!$E$37)+Ayarlar!$B$4*ABS(Bitkiler!$F$25-Topraklar!$F$37)+Ayarlar!$B$5*ABS(Bitkiler!$G$25-Topraklar!$G$37)+Ayarlar!$B$6*IF(Bitkiler!$H$25=Topraklar!$H$37,0,1))/Ayarlar!$B$7)+IF(Topraklar!$K$37=Bitkiler!$C$25,0.002,IF(Topraklar!$L$37="Evet",0.001,0)))</f>
        <v/>
      </c>
      <c r="AL26" s="16">
        <f>IF(OR(Topraklar!$J$38="Evet",AND(Topraklar!$L$38&lt;&gt;"Evet",Topraklar!$K$38&lt;&gt;Bitkiler!$C$25)),0,MAX(0,1-(Ayarlar!$B$2*ABS(Bitkiler!$D$25-Topraklar!$D$38)+Ayarlar!$B$3*ABS(Bitkiler!$E$25-Topraklar!$E$38)+Ayarlar!$B$4*ABS(Bitkiler!$F$25-Topraklar!$F$38)+Ayarlar!$B$5*ABS(Bitkiler!$G$25-Topraklar!$G$38)+Ayarlar!$B$6*IF(Bitkiler!$H$25=Topraklar!$H$38,0,1))/Ayarlar!$B$7)+IF(Topraklar!$K$38=Bitkiler!$C$25,0.002,IF(Topraklar!$L$38="Evet",0.001,0)))</f>
        <v/>
      </c>
      <c r="AM26" s="16">
        <f>IF(OR(Topraklar!$J$39="Evet",AND(Topraklar!$L$39&lt;&gt;"Evet",Topraklar!$K$39&lt;&gt;Bitkiler!$C$25)),0,MAX(0,1-(Ayarlar!$B$2*ABS(Bitkiler!$D$25-Topraklar!$D$39)+Ayarlar!$B$3*ABS(Bitkiler!$E$25-Topraklar!$E$39)+Ayarlar!$B$4*ABS(Bitkiler!$F$25-Topraklar!$F$39)+Ayarlar!$B$5*ABS(Bitkiler!$G$25-Topraklar!$G$39)+Ayarlar!$B$6*IF(Bitkiler!$H$25=Topraklar!$H$39,0,1))/Ayarlar!$B$7)+IF(Topraklar!$K$39=Bitkiler!$C$25,0.002,IF(Topraklar!$L$39="Evet",0.001,0)))</f>
        <v/>
      </c>
      <c r="AN26" s="16">
        <f>IF(OR(Topraklar!$J$40="Evet",AND(Topraklar!$L$40&lt;&gt;"Evet",Topraklar!$K$40&lt;&gt;Bitkiler!$C$25)),0,MAX(0,1-(Ayarlar!$B$2*ABS(Bitkiler!$D$25-Topraklar!$D$40)+Ayarlar!$B$3*ABS(Bitkiler!$E$25-Topraklar!$E$40)+Ayarlar!$B$4*ABS(Bitkiler!$F$25-Topraklar!$F$40)+Ayarlar!$B$5*ABS(Bitkiler!$G$25-Topraklar!$G$40)+Ayarlar!$B$6*IF(Bitkiler!$H$25=Topraklar!$H$40,0,1))/Ayarlar!$B$7)+IF(Topraklar!$K$40=Bitkiler!$C$25,0.002,IF(Topraklar!$L$40="Evet",0.001,0)))</f>
        <v/>
      </c>
      <c r="AO26" s="16">
        <f>IF(OR(Topraklar!$J$41="Evet",AND(Topraklar!$L$41&lt;&gt;"Evet",Topraklar!$K$41&lt;&gt;Bitkiler!$C$25)),0,MAX(0,1-(Ayarlar!$B$2*ABS(Bitkiler!$D$25-Topraklar!$D$41)+Ayarlar!$B$3*ABS(Bitkiler!$E$25-Topraklar!$E$41)+Ayarlar!$B$4*ABS(Bitkiler!$F$25-Topraklar!$F$41)+Ayarlar!$B$5*ABS(Bitkiler!$G$25-Topraklar!$G$41)+Ayarlar!$B$6*IF(Bitkiler!$H$25=Topraklar!$H$41,0,1))/Ayarlar!$B$7)+IF(Topraklar!$K$41=Bitkiler!$C$25,0.002,IF(Topraklar!$L$41="Evet",0.001,0)))</f>
        <v/>
      </c>
      <c r="AP26" s="16">
        <f>IF(OR(Topraklar!$J$42="Evet",AND(Topraklar!$L$42&lt;&gt;"Evet",Topraklar!$K$42&lt;&gt;Bitkiler!$C$25)),0,MAX(0,1-(Ayarlar!$B$2*ABS(Bitkiler!$D$25-Topraklar!$D$42)+Ayarlar!$B$3*ABS(Bitkiler!$E$25-Topraklar!$E$42)+Ayarlar!$B$4*ABS(Bitkiler!$F$25-Topraklar!$F$42)+Ayarlar!$B$5*ABS(Bitkiler!$G$25-Topraklar!$G$42)+Ayarlar!$B$6*IF(Bitkiler!$H$25=Topraklar!$H$42,0,1))/Ayarlar!$B$7)+IF(Topraklar!$K$42=Bitkiler!$C$25,0.002,IF(Topraklar!$L$42="Evet",0.001,0)))</f>
        <v/>
      </c>
      <c r="AQ26" s="16">
        <f>IF(OR(Topraklar!$J$43="Evet",AND(Topraklar!$L$43&lt;&gt;"Evet",Topraklar!$K$43&lt;&gt;Bitkiler!$C$25)),0,MAX(0,1-(Ayarlar!$B$2*ABS(Bitkiler!$D$25-Topraklar!$D$43)+Ayarlar!$B$3*ABS(Bitkiler!$E$25-Topraklar!$E$43)+Ayarlar!$B$4*ABS(Bitkiler!$F$25-Topraklar!$F$43)+Ayarlar!$B$5*ABS(Bitkiler!$G$25-Topraklar!$G$43)+Ayarlar!$B$6*IF(Bitkiler!$H$25=Topraklar!$H$43,0,1))/Ayarlar!$B$7)+IF(Topraklar!$K$43=Bitkiler!$C$25,0.002,IF(Topraklar!$L$43="Evet",0.001,0)))</f>
        <v/>
      </c>
      <c r="AR26" s="16">
        <f>IF(OR(Topraklar!$J$44="Evet",AND(Topraklar!$L$44&lt;&gt;"Evet",Topraklar!$K$44&lt;&gt;Bitkiler!$C$25)),0,MAX(0,1-(Ayarlar!$B$2*ABS(Bitkiler!$D$25-Topraklar!$D$44)+Ayarlar!$B$3*ABS(Bitkiler!$E$25-Topraklar!$E$44)+Ayarlar!$B$4*ABS(Bitkiler!$F$25-Topraklar!$F$44)+Ayarlar!$B$5*ABS(Bitkiler!$G$25-Topraklar!$G$44)+Ayarlar!$B$6*IF(Bitkiler!$H$25=Topraklar!$H$44,0,1))/Ayarlar!$B$7)+IF(Topraklar!$K$44=Bitkiler!$C$25,0.002,IF(Topraklar!$L$44="Evet",0.001,0)))</f>
        <v/>
      </c>
      <c r="AS26" s="16">
        <f>IF(OR(Topraklar!$J$45="Evet",AND(Topraklar!$L$45&lt;&gt;"Evet",Topraklar!$K$45&lt;&gt;Bitkiler!$C$25)),0,MAX(0,1-(Ayarlar!$B$2*ABS(Bitkiler!$D$25-Topraklar!$D$45)+Ayarlar!$B$3*ABS(Bitkiler!$E$25-Topraklar!$E$45)+Ayarlar!$B$4*ABS(Bitkiler!$F$25-Topraklar!$F$45)+Ayarlar!$B$5*ABS(Bitkiler!$G$25-Topraklar!$G$45)+Ayarlar!$B$6*IF(Bitkiler!$H$25=Topraklar!$H$45,0,1))/Ayarlar!$B$7)+IF(Topraklar!$K$45=Bitkiler!$C$25,0.002,IF(Topraklar!$L$45="Evet",0.001,0)))</f>
        <v/>
      </c>
      <c r="AT26" s="16">
        <f>IF(OR(Topraklar!$J$46="Evet",AND(Topraklar!$L$46&lt;&gt;"Evet",Topraklar!$K$46&lt;&gt;Bitkiler!$C$25)),0,MAX(0,1-(Ayarlar!$B$2*ABS(Bitkiler!$D$25-Topraklar!$D$46)+Ayarlar!$B$3*ABS(Bitkiler!$E$25-Topraklar!$E$46)+Ayarlar!$B$4*ABS(Bitkiler!$F$25-Topraklar!$F$46)+Ayarlar!$B$5*ABS(Bitkiler!$G$25-Topraklar!$G$46)+Ayarlar!$B$6*IF(Bitkiler!$H$25=Topraklar!$H$46,0,1))/Ayarlar!$B$7)+IF(Topraklar!$K$46=Bitkiler!$C$25,0.002,IF(Topraklar!$L$46="Evet",0.001,0)))</f>
        <v/>
      </c>
      <c r="AU26" s="16">
        <f>IF(OR(Topraklar!$J$47="Evet",AND(Topraklar!$L$47&lt;&gt;"Evet",Topraklar!$K$47&lt;&gt;Bitkiler!$C$25)),0,MAX(0,1-(Ayarlar!$B$2*ABS(Bitkiler!$D$25-Topraklar!$D$47)+Ayarlar!$B$3*ABS(Bitkiler!$E$25-Topraklar!$E$47)+Ayarlar!$B$4*ABS(Bitkiler!$F$25-Topraklar!$F$47)+Ayarlar!$B$5*ABS(Bitkiler!$G$25-Topraklar!$G$47)+Ayarlar!$B$6*IF(Bitkiler!$H$25=Topraklar!$H$47,0,1))/Ayarlar!$B$7)+IF(Topraklar!$K$47=Bitkiler!$C$25,0.002,IF(Topraklar!$L$47="Evet",0.001,0)))</f>
        <v/>
      </c>
      <c r="AV26" s="16">
        <f>IF(OR(Topraklar!$J$48="Evet",AND(Topraklar!$L$48&lt;&gt;"Evet",Topraklar!$K$48&lt;&gt;Bitkiler!$C$25)),0,MAX(0,1-(Ayarlar!$B$2*ABS(Bitkiler!$D$25-Topraklar!$D$48)+Ayarlar!$B$3*ABS(Bitkiler!$E$25-Topraklar!$E$48)+Ayarlar!$B$4*ABS(Bitkiler!$F$25-Topraklar!$F$48)+Ayarlar!$B$5*ABS(Bitkiler!$G$25-Topraklar!$G$48)+Ayarlar!$B$6*IF(Bitkiler!$H$25=Topraklar!$H$48,0,1))/Ayarlar!$B$7)+IF(Topraklar!$K$48=Bitkiler!$C$25,0.002,IF(Topraklar!$L$48="Evet",0.001,0)))</f>
        <v/>
      </c>
      <c r="AW26" s="16">
        <f>IF(OR(Topraklar!$J$49="Evet",AND(Topraklar!$L$49&lt;&gt;"Evet",Topraklar!$K$49&lt;&gt;Bitkiler!$C$25)),0,MAX(0,1-(Ayarlar!$B$2*ABS(Bitkiler!$D$25-Topraklar!$D$49)+Ayarlar!$B$3*ABS(Bitkiler!$E$25-Topraklar!$E$49)+Ayarlar!$B$4*ABS(Bitkiler!$F$25-Topraklar!$F$49)+Ayarlar!$B$5*ABS(Bitkiler!$G$25-Topraklar!$G$49)+Ayarlar!$B$6*IF(Bitkiler!$H$25=Topraklar!$H$49,0,1))/Ayarlar!$B$7)+IF(Topraklar!$K$49=Bitkiler!$C$25,0.002,IF(Topraklar!$L$49="Evet",0.001,0)))</f>
        <v/>
      </c>
      <c r="AX26" s="16">
        <f>IF(OR(Topraklar!$J$50="Evet",AND(Topraklar!$L$50&lt;&gt;"Evet",Topraklar!$K$50&lt;&gt;Bitkiler!$C$25)),0,MAX(0,1-(Ayarlar!$B$2*ABS(Bitkiler!$D$25-Topraklar!$D$50)+Ayarlar!$B$3*ABS(Bitkiler!$E$25-Topraklar!$E$50)+Ayarlar!$B$4*ABS(Bitkiler!$F$25-Topraklar!$F$50)+Ayarlar!$B$5*ABS(Bitkiler!$G$25-Topraklar!$G$50)+Ayarlar!$B$6*IF(Bitkiler!$H$25=Topraklar!$H$50,0,1))/Ayarlar!$B$7)+IF(Topraklar!$K$50=Bitkiler!$C$25,0.002,IF(Topraklar!$L$50="Evet",0.001,0)))</f>
        <v/>
      </c>
      <c r="AY26" s="16">
        <f>IF(OR(Topraklar!$J$51="Evet",AND(Topraklar!$L$51&lt;&gt;"Evet",Topraklar!$K$51&lt;&gt;Bitkiler!$C$25)),0,MAX(0,1-(Ayarlar!$B$2*ABS(Bitkiler!$D$25-Topraklar!$D$51)+Ayarlar!$B$3*ABS(Bitkiler!$E$25-Topraklar!$E$51)+Ayarlar!$B$4*ABS(Bitkiler!$F$25-Topraklar!$F$51)+Ayarlar!$B$5*ABS(Bitkiler!$G$25-Topraklar!$G$51)+Ayarlar!$B$6*IF(Bitkiler!$H$25=Topraklar!$H$51,0,1))/Ayarlar!$B$7)+IF(Topraklar!$K$51=Bitkiler!$C$25,0.002,IF(Topraklar!$L$51="Evet",0.001,0)))</f>
        <v/>
      </c>
    </row>
    <row r="27">
      <c r="A27" s="15">
        <f>Bitkiler!A26</f>
        <v/>
      </c>
      <c r="B27" s="16">
        <f>IF(OR(Topraklar!$J$2="Evet",AND(Topraklar!$L$2&lt;&gt;"Evet",Topraklar!$K$2&lt;&gt;Bitkiler!$C$26)),0,MAX(0,1-(Ayarlar!$B$2*ABS(Bitkiler!$D$26-Topraklar!$D$2)+Ayarlar!$B$3*ABS(Bitkiler!$E$26-Topraklar!$E$2)+Ayarlar!$B$4*ABS(Bitkiler!$F$26-Topraklar!$F$2)+Ayarlar!$B$5*ABS(Bitkiler!$G$26-Topraklar!$G$2)+Ayarlar!$B$6*IF(Bitkiler!$H$26=Topraklar!$H$2,0,1))/Ayarlar!$B$7)+IF(Topraklar!$K$2=Bitkiler!$C$26,0.002,IF(Topraklar!$L$2="Evet",0.001,0)))</f>
        <v/>
      </c>
      <c r="C27" s="16">
        <f>IF(OR(Topraklar!$J$3="Evet",AND(Topraklar!$L$3&lt;&gt;"Evet",Topraklar!$K$3&lt;&gt;Bitkiler!$C$26)),0,MAX(0,1-(Ayarlar!$B$2*ABS(Bitkiler!$D$26-Topraklar!$D$3)+Ayarlar!$B$3*ABS(Bitkiler!$E$26-Topraklar!$E$3)+Ayarlar!$B$4*ABS(Bitkiler!$F$26-Topraklar!$F$3)+Ayarlar!$B$5*ABS(Bitkiler!$G$26-Topraklar!$G$3)+Ayarlar!$B$6*IF(Bitkiler!$H$26=Topraklar!$H$3,0,1))/Ayarlar!$B$7)+IF(Topraklar!$K$3=Bitkiler!$C$26,0.002,IF(Topraklar!$L$3="Evet",0.001,0)))</f>
        <v/>
      </c>
      <c r="D27" s="16">
        <f>IF(OR(Topraklar!$J$4="Evet",AND(Topraklar!$L$4&lt;&gt;"Evet",Topraklar!$K$4&lt;&gt;Bitkiler!$C$26)),0,MAX(0,1-(Ayarlar!$B$2*ABS(Bitkiler!$D$26-Topraklar!$D$4)+Ayarlar!$B$3*ABS(Bitkiler!$E$26-Topraklar!$E$4)+Ayarlar!$B$4*ABS(Bitkiler!$F$26-Topraklar!$F$4)+Ayarlar!$B$5*ABS(Bitkiler!$G$26-Topraklar!$G$4)+Ayarlar!$B$6*IF(Bitkiler!$H$26=Topraklar!$H$4,0,1))/Ayarlar!$B$7)+IF(Topraklar!$K$4=Bitkiler!$C$26,0.002,IF(Topraklar!$L$4="Evet",0.001,0)))</f>
        <v/>
      </c>
      <c r="E27" s="16">
        <f>IF(OR(Topraklar!$J$5="Evet",AND(Topraklar!$L$5&lt;&gt;"Evet",Topraklar!$K$5&lt;&gt;Bitkiler!$C$26)),0,MAX(0,1-(Ayarlar!$B$2*ABS(Bitkiler!$D$26-Topraklar!$D$5)+Ayarlar!$B$3*ABS(Bitkiler!$E$26-Topraklar!$E$5)+Ayarlar!$B$4*ABS(Bitkiler!$F$26-Topraklar!$F$5)+Ayarlar!$B$5*ABS(Bitkiler!$G$26-Topraklar!$G$5)+Ayarlar!$B$6*IF(Bitkiler!$H$26=Topraklar!$H$5,0,1))/Ayarlar!$B$7)+IF(Topraklar!$K$5=Bitkiler!$C$26,0.002,IF(Topraklar!$L$5="Evet",0.001,0)))</f>
        <v/>
      </c>
      <c r="F27" s="16">
        <f>IF(OR(Topraklar!$J$6="Evet",AND(Topraklar!$L$6&lt;&gt;"Evet",Topraklar!$K$6&lt;&gt;Bitkiler!$C$26)),0,MAX(0,1-(Ayarlar!$B$2*ABS(Bitkiler!$D$26-Topraklar!$D$6)+Ayarlar!$B$3*ABS(Bitkiler!$E$26-Topraklar!$E$6)+Ayarlar!$B$4*ABS(Bitkiler!$F$26-Topraklar!$F$6)+Ayarlar!$B$5*ABS(Bitkiler!$G$26-Topraklar!$G$6)+Ayarlar!$B$6*IF(Bitkiler!$H$26=Topraklar!$H$6,0,1))/Ayarlar!$B$7)+IF(Topraklar!$K$6=Bitkiler!$C$26,0.002,IF(Topraklar!$L$6="Evet",0.001,0)))</f>
        <v/>
      </c>
      <c r="G27" s="16">
        <f>IF(OR(Topraklar!$J$7="Evet",AND(Topraklar!$L$7&lt;&gt;"Evet",Topraklar!$K$7&lt;&gt;Bitkiler!$C$26)),0,MAX(0,1-(Ayarlar!$B$2*ABS(Bitkiler!$D$26-Topraklar!$D$7)+Ayarlar!$B$3*ABS(Bitkiler!$E$26-Topraklar!$E$7)+Ayarlar!$B$4*ABS(Bitkiler!$F$26-Topraklar!$F$7)+Ayarlar!$B$5*ABS(Bitkiler!$G$26-Topraklar!$G$7)+Ayarlar!$B$6*IF(Bitkiler!$H$26=Topraklar!$H$7,0,1))/Ayarlar!$B$7)+IF(Topraklar!$K$7=Bitkiler!$C$26,0.002,IF(Topraklar!$L$7="Evet",0.001,0)))</f>
        <v/>
      </c>
      <c r="H27" s="16">
        <f>IF(OR(Topraklar!$J$8="Evet",AND(Topraklar!$L$8&lt;&gt;"Evet",Topraklar!$K$8&lt;&gt;Bitkiler!$C$26)),0,MAX(0,1-(Ayarlar!$B$2*ABS(Bitkiler!$D$26-Topraklar!$D$8)+Ayarlar!$B$3*ABS(Bitkiler!$E$26-Topraklar!$E$8)+Ayarlar!$B$4*ABS(Bitkiler!$F$26-Topraklar!$F$8)+Ayarlar!$B$5*ABS(Bitkiler!$G$26-Topraklar!$G$8)+Ayarlar!$B$6*IF(Bitkiler!$H$26=Topraklar!$H$8,0,1))/Ayarlar!$B$7)+IF(Topraklar!$K$8=Bitkiler!$C$26,0.002,IF(Topraklar!$L$8="Evet",0.001,0)))</f>
        <v/>
      </c>
      <c r="I27" s="16">
        <f>IF(OR(Topraklar!$J$9="Evet",AND(Topraklar!$L$9&lt;&gt;"Evet",Topraklar!$K$9&lt;&gt;Bitkiler!$C$26)),0,MAX(0,1-(Ayarlar!$B$2*ABS(Bitkiler!$D$26-Topraklar!$D$9)+Ayarlar!$B$3*ABS(Bitkiler!$E$26-Topraklar!$E$9)+Ayarlar!$B$4*ABS(Bitkiler!$F$26-Topraklar!$F$9)+Ayarlar!$B$5*ABS(Bitkiler!$G$26-Topraklar!$G$9)+Ayarlar!$B$6*IF(Bitkiler!$H$26=Topraklar!$H$9,0,1))/Ayarlar!$B$7)+IF(Topraklar!$K$9=Bitkiler!$C$26,0.002,IF(Topraklar!$L$9="Evet",0.001,0)))</f>
        <v/>
      </c>
      <c r="J27" s="16">
        <f>IF(OR(Topraklar!$J$10="Evet",AND(Topraklar!$L$10&lt;&gt;"Evet",Topraklar!$K$10&lt;&gt;Bitkiler!$C$26)),0,MAX(0,1-(Ayarlar!$B$2*ABS(Bitkiler!$D$26-Topraklar!$D$10)+Ayarlar!$B$3*ABS(Bitkiler!$E$26-Topraklar!$E$10)+Ayarlar!$B$4*ABS(Bitkiler!$F$26-Topraklar!$F$10)+Ayarlar!$B$5*ABS(Bitkiler!$G$26-Topraklar!$G$10)+Ayarlar!$B$6*IF(Bitkiler!$H$26=Topraklar!$H$10,0,1))/Ayarlar!$B$7)+IF(Topraklar!$K$10=Bitkiler!$C$26,0.002,IF(Topraklar!$L$10="Evet",0.001,0)))</f>
        <v/>
      </c>
      <c r="K27" s="16">
        <f>IF(OR(Topraklar!$J$11="Evet",AND(Topraklar!$L$11&lt;&gt;"Evet",Topraklar!$K$11&lt;&gt;Bitkiler!$C$26)),0,MAX(0,1-(Ayarlar!$B$2*ABS(Bitkiler!$D$26-Topraklar!$D$11)+Ayarlar!$B$3*ABS(Bitkiler!$E$26-Topraklar!$E$11)+Ayarlar!$B$4*ABS(Bitkiler!$F$26-Topraklar!$F$11)+Ayarlar!$B$5*ABS(Bitkiler!$G$26-Topraklar!$G$11)+Ayarlar!$B$6*IF(Bitkiler!$H$26=Topraklar!$H$11,0,1))/Ayarlar!$B$7)+IF(Topraklar!$K$11=Bitkiler!$C$26,0.002,IF(Topraklar!$L$11="Evet",0.001,0)))</f>
        <v/>
      </c>
      <c r="L27" s="16">
        <f>IF(OR(Topraklar!$J$12="Evet",AND(Topraklar!$L$12&lt;&gt;"Evet",Topraklar!$K$12&lt;&gt;Bitkiler!$C$26)),0,MAX(0,1-(Ayarlar!$B$2*ABS(Bitkiler!$D$26-Topraklar!$D$12)+Ayarlar!$B$3*ABS(Bitkiler!$E$26-Topraklar!$E$12)+Ayarlar!$B$4*ABS(Bitkiler!$F$26-Topraklar!$F$12)+Ayarlar!$B$5*ABS(Bitkiler!$G$26-Topraklar!$G$12)+Ayarlar!$B$6*IF(Bitkiler!$H$26=Topraklar!$H$12,0,1))/Ayarlar!$B$7)+IF(Topraklar!$K$12=Bitkiler!$C$26,0.002,IF(Topraklar!$L$12="Evet",0.001,0)))</f>
        <v/>
      </c>
      <c r="M27" s="16">
        <f>IF(OR(Topraklar!$J$13="Evet",AND(Topraklar!$L$13&lt;&gt;"Evet",Topraklar!$K$13&lt;&gt;Bitkiler!$C$26)),0,MAX(0,1-(Ayarlar!$B$2*ABS(Bitkiler!$D$26-Topraklar!$D$13)+Ayarlar!$B$3*ABS(Bitkiler!$E$26-Topraklar!$E$13)+Ayarlar!$B$4*ABS(Bitkiler!$F$26-Topraklar!$F$13)+Ayarlar!$B$5*ABS(Bitkiler!$G$26-Topraklar!$G$13)+Ayarlar!$B$6*IF(Bitkiler!$H$26=Topraklar!$H$13,0,1))/Ayarlar!$B$7)+IF(Topraklar!$K$13=Bitkiler!$C$26,0.002,IF(Topraklar!$L$13="Evet",0.001,0)))</f>
        <v/>
      </c>
      <c r="N27" s="16">
        <f>IF(OR(Topraklar!$J$14="Evet",AND(Topraklar!$L$14&lt;&gt;"Evet",Topraklar!$K$14&lt;&gt;Bitkiler!$C$26)),0,MAX(0,1-(Ayarlar!$B$2*ABS(Bitkiler!$D$26-Topraklar!$D$14)+Ayarlar!$B$3*ABS(Bitkiler!$E$26-Topraklar!$E$14)+Ayarlar!$B$4*ABS(Bitkiler!$F$26-Topraklar!$F$14)+Ayarlar!$B$5*ABS(Bitkiler!$G$26-Topraklar!$G$14)+Ayarlar!$B$6*IF(Bitkiler!$H$26=Topraklar!$H$14,0,1))/Ayarlar!$B$7)+IF(Topraklar!$K$14=Bitkiler!$C$26,0.002,IF(Topraklar!$L$14="Evet",0.001,0)))</f>
        <v/>
      </c>
      <c r="O27" s="16">
        <f>IF(OR(Topraklar!$J$15="Evet",AND(Topraklar!$L$15&lt;&gt;"Evet",Topraklar!$K$15&lt;&gt;Bitkiler!$C$26)),0,MAX(0,1-(Ayarlar!$B$2*ABS(Bitkiler!$D$26-Topraklar!$D$15)+Ayarlar!$B$3*ABS(Bitkiler!$E$26-Topraklar!$E$15)+Ayarlar!$B$4*ABS(Bitkiler!$F$26-Topraklar!$F$15)+Ayarlar!$B$5*ABS(Bitkiler!$G$26-Topraklar!$G$15)+Ayarlar!$B$6*IF(Bitkiler!$H$26=Topraklar!$H$15,0,1))/Ayarlar!$B$7)+IF(Topraklar!$K$15=Bitkiler!$C$26,0.002,IF(Topraklar!$L$15="Evet",0.001,0)))</f>
        <v/>
      </c>
      <c r="P27" s="16">
        <f>IF(OR(Topraklar!$J$16="Evet",AND(Topraklar!$L$16&lt;&gt;"Evet",Topraklar!$K$16&lt;&gt;Bitkiler!$C$26)),0,MAX(0,1-(Ayarlar!$B$2*ABS(Bitkiler!$D$26-Topraklar!$D$16)+Ayarlar!$B$3*ABS(Bitkiler!$E$26-Topraklar!$E$16)+Ayarlar!$B$4*ABS(Bitkiler!$F$26-Topraklar!$F$16)+Ayarlar!$B$5*ABS(Bitkiler!$G$26-Topraklar!$G$16)+Ayarlar!$B$6*IF(Bitkiler!$H$26=Topraklar!$H$16,0,1))/Ayarlar!$B$7)+IF(Topraklar!$K$16=Bitkiler!$C$26,0.002,IF(Topraklar!$L$16="Evet",0.001,0)))</f>
        <v/>
      </c>
      <c r="Q27" s="16">
        <f>IF(OR(Topraklar!$J$17="Evet",AND(Topraklar!$L$17&lt;&gt;"Evet",Topraklar!$K$17&lt;&gt;Bitkiler!$C$26)),0,MAX(0,1-(Ayarlar!$B$2*ABS(Bitkiler!$D$26-Topraklar!$D$17)+Ayarlar!$B$3*ABS(Bitkiler!$E$26-Topraklar!$E$17)+Ayarlar!$B$4*ABS(Bitkiler!$F$26-Topraklar!$F$17)+Ayarlar!$B$5*ABS(Bitkiler!$G$26-Topraklar!$G$17)+Ayarlar!$B$6*IF(Bitkiler!$H$26=Topraklar!$H$17,0,1))/Ayarlar!$B$7)+IF(Topraklar!$K$17=Bitkiler!$C$26,0.002,IF(Topraklar!$L$17="Evet",0.001,0)))</f>
        <v/>
      </c>
      <c r="R27" s="16">
        <f>IF(OR(Topraklar!$J$18="Evet",AND(Topraklar!$L$18&lt;&gt;"Evet",Topraklar!$K$18&lt;&gt;Bitkiler!$C$26)),0,MAX(0,1-(Ayarlar!$B$2*ABS(Bitkiler!$D$26-Topraklar!$D$18)+Ayarlar!$B$3*ABS(Bitkiler!$E$26-Topraklar!$E$18)+Ayarlar!$B$4*ABS(Bitkiler!$F$26-Topraklar!$F$18)+Ayarlar!$B$5*ABS(Bitkiler!$G$26-Topraklar!$G$18)+Ayarlar!$B$6*IF(Bitkiler!$H$26=Topraklar!$H$18,0,1))/Ayarlar!$B$7)+IF(Topraklar!$K$18=Bitkiler!$C$26,0.002,IF(Topraklar!$L$18="Evet",0.001,0)))</f>
        <v/>
      </c>
      <c r="S27" s="16">
        <f>IF(OR(Topraklar!$J$19="Evet",AND(Topraklar!$L$19&lt;&gt;"Evet",Topraklar!$K$19&lt;&gt;Bitkiler!$C$26)),0,MAX(0,1-(Ayarlar!$B$2*ABS(Bitkiler!$D$26-Topraklar!$D$19)+Ayarlar!$B$3*ABS(Bitkiler!$E$26-Topraklar!$E$19)+Ayarlar!$B$4*ABS(Bitkiler!$F$26-Topraklar!$F$19)+Ayarlar!$B$5*ABS(Bitkiler!$G$26-Topraklar!$G$19)+Ayarlar!$B$6*IF(Bitkiler!$H$26=Topraklar!$H$19,0,1))/Ayarlar!$B$7)+IF(Topraklar!$K$19=Bitkiler!$C$26,0.002,IF(Topraklar!$L$19="Evet",0.001,0)))</f>
        <v/>
      </c>
      <c r="T27" s="16">
        <f>IF(OR(Topraklar!$J$20="Evet",AND(Topraklar!$L$20&lt;&gt;"Evet",Topraklar!$K$20&lt;&gt;Bitkiler!$C$26)),0,MAX(0,1-(Ayarlar!$B$2*ABS(Bitkiler!$D$26-Topraklar!$D$20)+Ayarlar!$B$3*ABS(Bitkiler!$E$26-Topraklar!$E$20)+Ayarlar!$B$4*ABS(Bitkiler!$F$26-Topraklar!$F$20)+Ayarlar!$B$5*ABS(Bitkiler!$G$26-Topraklar!$G$20)+Ayarlar!$B$6*IF(Bitkiler!$H$26=Topraklar!$H$20,0,1))/Ayarlar!$B$7)+IF(Topraklar!$K$20=Bitkiler!$C$26,0.002,IF(Topraklar!$L$20="Evet",0.001,0)))</f>
        <v/>
      </c>
      <c r="U27" s="16">
        <f>IF(OR(Topraklar!$J$21="Evet",AND(Topraklar!$L$21&lt;&gt;"Evet",Topraklar!$K$21&lt;&gt;Bitkiler!$C$26)),0,MAX(0,1-(Ayarlar!$B$2*ABS(Bitkiler!$D$26-Topraklar!$D$21)+Ayarlar!$B$3*ABS(Bitkiler!$E$26-Topraklar!$E$21)+Ayarlar!$B$4*ABS(Bitkiler!$F$26-Topraklar!$F$21)+Ayarlar!$B$5*ABS(Bitkiler!$G$26-Topraklar!$G$21)+Ayarlar!$B$6*IF(Bitkiler!$H$26=Topraklar!$H$21,0,1))/Ayarlar!$B$7)+IF(Topraklar!$K$21=Bitkiler!$C$26,0.002,IF(Topraklar!$L$21="Evet",0.001,0)))</f>
        <v/>
      </c>
      <c r="V27" s="16">
        <f>IF(OR(Topraklar!$J$22="Evet",AND(Topraklar!$L$22&lt;&gt;"Evet",Topraklar!$K$22&lt;&gt;Bitkiler!$C$26)),0,MAX(0,1-(Ayarlar!$B$2*ABS(Bitkiler!$D$26-Topraklar!$D$22)+Ayarlar!$B$3*ABS(Bitkiler!$E$26-Topraklar!$E$22)+Ayarlar!$B$4*ABS(Bitkiler!$F$26-Topraklar!$F$22)+Ayarlar!$B$5*ABS(Bitkiler!$G$26-Topraklar!$G$22)+Ayarlar!$B$6*IF(Bitkiler!$H$26=Topraklar!$H$22,0,1))/Ayarlar!$B$7)+IF(Topraklar!$K$22=Bitkiler!$C$26,0.002,IF(Topraklar!$L$22="Evet",0.001,0)))</f>
        <v/>
      </c>
      <c r="W27" s="16">
        <f>IF(OR(Topraklar!$J$23="Evet",AND(Topraklar!$L$23&lt;&gt;"Evet",Topraklar!$K$23&lt;&gt;Bitkiler!$C$26)),0,MAX(0,1-(Ayarlar!$B$2*ABS(Bitkiler!$D$26-Topraklar!$D$23)+Ayarlar!$B$3*ABS(Bitkiler!$E$26-Topraklar!$E$23)+Ayarlar!$B$4*ABS(Bitkiler!$F$26-Topraklar!$F$23)+Ayarlar!$B$5*ABS(Bitkiler!$G$26-Topraklar!$G$23)+Ayarlar!$B$6*IF(Bitkiler!$H$26=Topraklar!$H$23,0,1))/Ayarlar!$B$7)+IF(Topraklar!$K$23=Bitkiler!$C$26,0.002,IF(Topraklar!$L$23="Evet",0.001,0)))</f>
        <v/>
      </c>
      <c r="X27" s="16">
        <f>IF(OR(Topraklar!$J$24="Evet",AND(Topraklar!$L$24&lt;&gt;"Evet",Topraklar!$K$24&lt;&gt;Bitkiler!$C$26)),0,MAX(0,1-(Ayarlar!$B$2*ABS(Bitkiler!$D$26-Topraklar!$D$24)+Ayarlar!$B$3*ABS(Bitkiler!$E$26-Topraklar!$E$24)+Ayarlar!$B$4*ABS(Bitkiler!$F$26-Topraklar!$F$24)+Ayarlar!$B$5*ABS(Bitkiler!$G$26-Topraklar!$G$24)+Ayarlar!$B$6*IF(Bitkiler!$H$26=Topraklar!$H$24,0,1))/Ayarlar!$B$7)+IF(Topraklar!$K$24=Bitkiler!$C$26,0.002,IF(Topraklar!$L$24="Evet",0.001,0)))</f>
        <v/>
      </c>
      <c r="Y27" s="16">
        <f>IF(OR(Topraklar!$J$25="Evet",AND(Topraklar!$L$25&lt;&gt;"Evet",Topraklar!$K$25&lt;&gt;Bitkiler!$C$26)),0,MAX(0,1-(Ayarlar!$B$2*ABS(Bitkiler!$D$26-Topraklar!$D$25)+Ayarlar!$B$3*ABS(Bitkiler!$E$26-Topraklar!$E$25)+Ayarlar!$B$4*ABS(Bitkiler!$F$26-Topraklar!$F$25)+Ayarlar!$B$5*ABS(Bitkiler!$G$26-Topraklar!$G$25)+Ayarlar!$B$6*IF(Bitkiler!$H$26=Topraklar!$H$25,0,1))/Ayarlar!$B$7)+IF(Topraklar!$K$25=Bitkiler!$C$26,0.002,IF(Topraklar!$L$25="Evet",0.001,0)))</f>
        <v/>
      </c>
      <c r="Z27" s="16">
        <f>IF(OR(Topraklar!$J$26="Evet",AND(Topraklar!$L$26&lt;&gt;"Evet",Topraklar!$K$26&lt;&gt;Bitkiler!$C$26)),0,MAX(0,1-(Ayarlar!$B$2*ABS(Bitkiler!$D$26-Topraklar!$D$26)+Ayarlar!$B$3*ABS(Bitkiler!$E$26-Topraklar!$E$26)+Ayarlar!$B$4*ABS(Bitkiler!$F$26-Topraklar!$F$26)+Ayarlar!$B$5*ABS(Bitkiler!$G$26-Topraklar!$G$26)+Ayarlar!$B$6*IF(Bitkiler!$H$26=Topraklar!$H$26,0,1))/Ayarlar!$B$7)+IF(Topraklar!$K$26=Bitkiler!$C$26,0.002,IF(Topraklar!$L$26="Evet",0.001,0)))</f>
        <v/>
      </c>
      <c r="AA27" s="16">
        <f>IF(OR(Topraklar!$J$27="Evet",AND(Topraklar!$L$27&lt;&gt;"Evet",Topraklar!$K$27&lt;&gt;Bitkiler!$C$26)),0,MAX(0,1-(Ayarlar!$B$2*ABS(Bitkiler!$D$26-Topraklar!$D$27)+Ayarlar!$B$3*ABS(Bitkiler!$E$26-Topraklar!$E$27)+Ayarlar!$B$4*ABS(Bitkiler!$F$26-Topraklar!$F$27)+Ayarlar!$B$5*ABS(Bitkiler!$G$26-Topraklar!$G$27)+Ayarlar!$B$6*IF(Bitkiler!$H$26=Topraklar!$H$27,0,1))/Ayarlar!$B$7)+IF(Topraklar!$K$27=Bitkiler!$C$26,0.002,IF(Topraklar!$L$27="Evet",0.001,0)))</f>
        <v/>
      </c>
      <c r="AB27" s="16">
        <f>IF(OR(Topraklar!$J$28="Evet",AND(Topraklar!$L$28&lt;&gt;"Evet",Topraklar!$K$28&lt;&gt;Bitkiler!$C$26)),0,MAX(0,1-(Ayarlar!$B$2*ABS(Bitkiler!$D$26-Topraklar!$D$28)+Ayarlar!$B$3*ABS(Bitkiler!$E$26-Topraklar!$E$28)+Ayarlar!$B$4*ABS(Bitkiler!$F$26-Topraklar!$F$28)+Ayarlar!$B$5*ABS(Bitkiler!$G$26-Topraklar!$G$28)+Ayarlar!$B$6*IF(Bitkiler!$H$26=Topraklar!$H$28,0,1))/Ayarlar!$B$7)+IF(Topraklar!$K$28=Bitkiler!$C$26,0.002,IF(Topraklar!$L$28="Evet",0.001,0)))</f>
        <v/>
      </c>
      <c r="AC27" s="16">
        <f>IF(OR(Topraklar!$J$29="Evet",AND(Topraklar!$L$29&lt;&gt;"Evet",Topraklar!$K$29&lt;&gt;Bitkiler!$C$26)),0,MAX(0,1-(Ayarlar!$B$2*ABS(Bitkiler!$D$26-Topraklar!$D$29)+Ayarlar!$B$3*ABS(Bitkiler!$E$26-Topraklar!$E$29)+Ayarlar!$B$4*ABS(Bitkiler!$F$26-Topraklar!$F$29)+Ayarlar!$B$5*ABS(Bitkiler!$G$26-Topraklar!$G$29)+Ayarlar!$B$6*IF(Bitkiler!$H$26=Topraklar!$H$29,0,1))/Ayarlar!$B$7)+IF(Topraklar!$K$29=Bitkiler!$C$26,0.002,IF(Topraklar!$L$29="Evet",0.001,0)))</f>
        <v/>
      </c>
      <c r="AD27" s="16">
        <f>IF(OR(Topraklar!$J$30="Evet",AND(Topraklar!$L$30&lt;&gt;"Evet",Topraklar!$K$30&lt;&gt;Bitkiler!$C$26)),0,MAX(0,1-(Ayarlar!$B$2*ABS(Bitkiler!$D$26-Topraklar!$D$30)+Ayarlar!$B$3*ABS(Bitkiler!$E$26-Topraklar!$E$30)+Ayarlar!$B$4*ABS(Bitkiler!$F$26-Topraklar!$F$30)+Ayarlar!$B$5*ABS(Bitkiler!$G$26-Topraklar!$G$30)+Ayarlar!$B$6*IF(Bitkiler!$H$26=Topraklar!$H$30,0,1))/Ayarlar!$B$7)+IF(Topraklar!$K$30=Bitkiler!$C$26,0.002,IF(Topraklar!$L$30="Evet",0.001,0)))</f>
        <v/>
      </c>
      <c r="AE27" s="16">
        <f>IF(OR(Topraklar!$J$31="Evet",AND(Topraklar!$L$31&lt;&gt;"Evet",Topraklar!$K$31&lt;&gt;Bitkiler!$C$26)),0,MAX(0,1-(Ayarlar!$B$2*ABS(Bitkiler!$D$26-Topraklar!$D$31)+Ayarlar!$B$3*ABS(Bitkiler!$E$26-Topraklar!$E$31)+Ayarlar!$B$4*ABS(Bitkiler!$F$26-Topraklar!$F$31)+Ayarlar!$B$5*ABS(Bitkiler!$G$26-Topraklar!$G$31)+Ayarlar!$B$6*IF(Bitkiler!$H$26=Topraklar!$H$31,0,1))/Ayarlar!$B$7)+IF(Topraklar!$K$31=Bitkiler!$C$26,0.002,IF(Topraklar!$L$31="Evet",0.001,0)))</f>
        <v/>
      </c>
      <c r="AF27" s="16">
        <f>IF(OR(Topraklar!$J$32="Evet",AND(Topraklar!$L$32&lt;&gt;"Evet",Topraklar!$K$32&lt;&gt;Bitkiler!$C$26)),0,MAX(0,1-(Ayarlar!$B$2*ABS(Bitkiler!$D$26-Topraklar!$D$32)+Ayarlar!$B$3*ABS(Bitkiler!$E$26-Topraklar!$E$32)+Ayarlar!$B$4*ABS(Bitkiler!$F$26-Topraklar!$F$32)+Ayarlar!$B$5*ABS(Bitkiler!$G$26-Topraklar!$G$32)+Ayarlar!$B$6*IF(Bitkiler!$H$26=Topraklar!$H$32,0,1))/Ayarlar!$B$7)+IF(Topraklar!$K$32=Bitkiler!$C$26,0.002,IF(Topraklar!$L$32="Evet",0.001,0)))</f>
        <v/>
      </c>
      <c r="AG27" s="16">
        <f>IF(OR(Topraklar!$J$33="Evet",AND(Topraklar!$L$33&lt;&gt;"Evet",Topraklar!$K$33&lt;&gt;Bitkiler!$C$26)),0,MAX(0,1-(Ayarlar!$B$2*ABS(Bitkiler!$D$26-Topraklar!$D$33)+Ayarlar!$B$3*ABS(Bitkiler!$E$26-Topraklar!$E$33)+Ayarlar!$B$4*ABS(Bitkiler!$F$26-Topraklar!$F$33)+Ayarlar!$B$5*ABS(Bitkiler!$G$26-Topraklar!$G$33)+Ayarlar!$B$6*IF(Bitkiler!$H$26=Topraklar!$H$33,0,1))/Ayarlar!$B$7)+IF(Topraklar!$K$33=Bitkiler!$C$26,0.002,IF(Topraklar!$L$33="Evet",0.001,0)))</f>
        <v/>
      </c>
      <c r="AH27" s="16">
        <f>IF(OR(Topraklar!$J$34="Evet",AND(Topraklar!$L$34&lt;&gt;"Evet",Topraklar!$K$34&lt;&gt;Bitkiler!$C$26)),0,MAX(0,1-(Ayarlar!$B$2*ABS(Bitkiler!$D$26-Topraklar!$D$34)+Ayarlar!$B$3*ABS(Bitkiler!$E$26-Topraklar!$E$34)+Ayarlar!$B$4*ABS(Bitkiler!$F$26-Topraklar!$F$34)+Ayarlar!$B$5*ABS(Bitkiler!$G$26-Topraklar!$G$34)+Ayarlar!$B$6*IF(Bitkiler!$H$26=Topraklar!$H$34,0,1))/Ayarlar!$B$7)+IF(Topraklar!$K$34=Bitkiler!$C$26,0.002,IF(Topraklar!$L$34="Evet",0.001,0)))</f>
        <v/>
      </c>
      <c r="AI27" s="16">
        <f>IF(OR(Topraklar!$J$35="Evet",AND(Topraklar!$L$35&lt;&gt;"Evet",Topraklar!$K$35&lt;&gt;Bitkiler!$C$26)),0,MAX(0,1-(Ayarlar!$B$2*ABS(Bitkiler!$D$26-Topraklar!$D$35)+Ayarlar!$B$3*ABS(Bitkiler!$E$26-Topraklar!$E$35)+Ayarlar!$B$4*ABS(Bitkiler!$F$26-Topraklar!$F$35)+Ayarlar!$B$5*ABS(Bitkiler!$G$26-Topraklar!$G$35)+Ayarlar!$B$6*IF(Bitkiler!$H$26=Topraklar!$H$35,0,1))/Ayarlar!$B$7)+IF(Topraklar!$K$35=Bitkiler!$C$26,0.002,IF(Topraklar!$L$35="Evet",0.001,0)))</f>
        <v/>
      </c>
      <c r="AJ27" s="16">
        <f>IF(OR(Topraklar!$J$36="Evet",AND(Topraklar!$L$36&lt;&gt;"Evet",Topraklar!$K$36&lt;&gt;Bitkiler!$C$26)),0,MAX(0,1-(Ayarlar!$B$2*ABS(Bitkiler!$D$26-Topraklar!$D$36)+Ayarlar!$B$3*ABS(Bitkiler!$E$26-Topraklar!$E$36)+Ayarlar!$B$4*ABS(Bitkiler!$F$26-Topraklar!$F$36)+Ayarlar!$B$5*ABS(Bitkiler!$G$26-Topraklar!$G$36)+Ayarlar!$B$6*IF(Bitkiler!$H$26=Topraklar!$H$36,0,1))/Ayarlar!$B$7)+IF(Topraklar!$K$36=Bitkiler!$C$26,0.002,IF(Topraklar!$L$36="Evet",0.001,0)))</f>
        <v/>
      </c>
      <c r="AK27" s="16">
        <f>IF(OR(Topraklar!$J$37="Evet",AND(Topraklar!$L$37&lt;&gt;"Evet",Topraklar!$K$37&lt;&gt;Bitkiler!$C$26)),0,MAX(0,1-(Ayarlar!$B$2*ABS(Bitkiler!$D$26-Topraklar!$D$37)+Ayarlar!$B$3*ABS(Bitkiler!$E$26-Topraklar!$E$37)+Ayarlar!$B$4*ABS(Bitkiler!$F$26-Topraklar!$F$37)+Ayarlar!$B$5*ABS(Bitkiler!$G$26-Topraklar!$G$37)+Ayarlar!$B$6*IF(Bitkiler!$H$26=Topraklar!$H$37,0,1))/Ayarlar!$B$7)+IF(Topraklar!$K$37=Bitkiler!$C$26,0.002,IF(Topraklar!$L$37="Evet",0.001,0)))</f>
        <v/>
      </c>
      <c r="AL27" s="16">
        <f>IF(OR(Topraklar!$J$38="Evet",AND(Topraklar!$L$38&lt;&gt;"Evet",Topraklar!$K$38&lt;&gt;Bitkiler!$C$26)),0,MAX(0,1-(Ayarlar!$B$2*ABS(Bitkiler!$D$26-Topraklar!$D$38)+Ayarlar!$B$3*ABS(Bitkiler!$E$26-Topraklar!$E$38)+Ayarlar!$B$4*ABS(Bitkiler!$F$26-Topraklar!$F$38)+Ayarlar!$B$5*ABS(Bitkiler!$G$26-Topraklar!$G$38)+Ayarlar!$B$6*IF(Bitkiler!$H$26=Topraklar!$H$38,0,1))/Ayarlar!$B$7)+IF(Topraklar!$K$38=Bitkiler!$C$26,0.002,IF(Topraklar!$L$38="Evet",0.001,0)))</f>
        <v/>
      </c>
      <c r="AM27" s="16">
        <f>IF(OR(Topraklar!$J$39="Evet",AND(Topraklar!$L$39&lt;&gt;"Evet",Topraklar!$K$39&lt;&gt;Bitkiler!$C$26)),0,MAX(0,1-(Ayarlar!$B$2*ABS(Bitkiler!$D$26-Topraklar!$D$39)+Ayarlar!$B$3*ABS(Bitkiler!$E$26-Topraklar!$E$39)+Ayarlar!$B$4*ABS(Bitkiler!$F$26-Topraklar!$F$39)+Ayarlar!$B$5*ABS(Bitkiler!$G$26-Topraklar!$G$39)+Ayarlar!$B$6*IF(Bitkiler!$H$26=Topraklar!$H$39,0,1))/Ayarlar!$B$7)+IF(Topraklar!$K$39=Bitkiler!$C$26,0.002,IF(Topraklar!$L$39="Evet",0.001,0)))</f>
        <v/>
      </c>
      <c r="AN27" s="16">
        <f>IF(OR(Topraklar!$J$40="Evet",AND(Topraklar!$L$40&lt;&gt;"Evet",Topraklar!$K$40&lt;&gt;Bitkiler!$C$26)),0,MAX(0,1-(Ayarlar!$B$2*ABS(Bitkiler!$D$26-Topraklar!$D$40)+Ayarlar!$B$3*ABS(Bitkiler!$E$26-Topraklar!$E$40)+Ayarlar!$B$4*ABS(Bitkiler!$F$26-Topraklar!$F$40)+Ayarlar!$B$5*ABS(Bitkiler!$G$26-Topraklar!$G$40)+Ayarlar!$B$6*IF(Bitkiler!$H$26=Topraklar!$H$40,0,1))/Ayarlar!$B$7)+IF(Topraklar!$K$40=Bitkiler!$C$26,0.002,IF(Topraklar!$L$40="Evet",0.001,0)))</f>
        <v/>
      </c>
      <c r="AO27" s="16">
        <f>IF(OR(Topraklar!$J$41="Evet",AND(Topraklar!$L$41&lt;&gt;"Evet",Topraklar!$K$41&lt;&gt;Bitkiler!$C$26)),0,MAX(0,1-(Ayarlar!$B$2*ABS(Bitkiler!$D$26-Topraklar!$D$41)+Ayarlar!$B$3*ABS(Bitkiler!$E$26-Topraklar!$E$41)+Ayarlar!$B$4*ABS(Bitkiler!$F$26-Topraklar!$F$41)+Ayarlar!$B$5*ABS(Bitkiler!$G$26-Topraklar!$G$41)+Ayarlar!$B$6*IF(Bitkiler!$H$26=Topraklar!$H$41,0,1))/Ayarlar!$B$7)+IF(Topraklar!$K$41=Bitkiler!$C$26,0.002,IF(Topraklar!$L$41="Evet",0.001,0)))</f>
        <v/>
      </c>
      <c r="AP27" s="16">
        <f>IF(OR(Topraklar!$J$42="Evet",AND(Topraklar!$L$42&lt;&gt;"Evet",Topraklar!$K$42&lt;&gt;Bitkiler!$C$26)),0,MAX(0,1-(Ayarlar!$B$2*ABS(Bitkiler!$D$26-Topraklar!$D$42)+Ayarlar!$B$3*ABS(Bitkiler!$E$26-Topraklar!$E$42)+Ayarlar!$B$4*ABS(Bitkiler!$F$26-Topraklar!$F$42)+Ayarlar!$B$5*ABS(Bitkiler!$G$26-Topraklar!$G$42)+Ayarlar!$B$6*IF(Bitkiler!$H$26=Topraklar!$H$42,0,1))/Ayarlar!$B$7)+IF(Topraklar!$K$42=Bitkiler!$C$26,0.002,IF(Topraklar!$L$42="Evet",0.001,0)))</f>
        <v/>
      </c>
      <c r="AQ27" s="16">
        <f>IF(OR(Topraklar!$J$43="Evet",AND(Topraklar!$L$43&lt;&gt;"Evet",Topraklar!$K$43&lt;&gt;Bitkiler!$C$26)),0,MAX(0,1-(Ayarlar!$B$2*ABS(Bitkiler!$D$26-Topraklar!$D$43)+Ayarlar!$B$3*ABS(Bitkiler!$E$26-Topraklar!$E$43)+Ayarlar!$B$4*ABS(Bitkiler!$F$26-Topraklar!$F$43)+Ayarlar!$B$5*ABS(Bitkiler!$G$26-Topraklar!$G$43)+Ayarlar!$B$6*IF(Bitkiler!$H$26=Topraklar!$H$43,0,1))/Ayarlar!$B$7)+IF(Topraklar!$K$43=Bitkiler!$C$26,0.002,IF(Topraklar!$L$43="Evet",0.001,0)))</f>
        <v/>
      </c>
      <c r="AR27" s="16">
        <f>IF(OR(Topraklar!$J$44="Evet",AND(Topraklar!$L$44&lt;&gt;"Evet",Topraklar!$K$44&lt;&gt;Bitkiler!$C$26)),0,MAX(0,1-(Ayarlar!$B$2*ABS(Bitkiler!$D$26-Topraklar!$D$44)+Ayarlar!$B$3*ABS(Bitkiler!$E$26-Topraklar!$E$44)+Ayarlar!$B$4*ABS(Bitkiler!$F$26-Topraklar!$F$44)+Ayarlar!$B$5*ABS(Bitkiler!$G$26-Topraklar!$G$44)+Ayarlar!$B$6*IF(Bitkiler!$H$26=Topraklar!$H$44,0,1))/Ayarlar!$B$7)+IF(Topraklar!$K$44=Bitkiler!$C$26,0.002,IF(Topraklar!$L$44="Evet",0.001,0)))</f>
        <v/>
      </c>
      <c r="AS27" s="16">
        <f>IF(OR(Topraklar!$J$45="Evet",AND(Topraklar!$L$45&lt;&gt;"Evet",Topraklar!$K$45&lt;&gt;Bitkiler!$C$26)),0,MAX(0,1-(Ayarlar!$B$2*ABS(Bitkiler!$D$26-Topraklar!$D$45)+Ayarlar!$B$3*ABS(Bitkiler!$E$26-Topraklar!$E$45)+Ayarlar!$B$4*ABS(Bitkiler!$F$26-Topraklar!$F$45)+Ayarlar!$B$5*ABS(Bitkiler!$G$26-Topraklar!$G$45)+Ayarlar!$B$6*IF(Bitkiler!$H$26=Topraklar!$H$45,0,1))/Ayarlar!$B$7)+IF(Topraklar!$K$45=Bitkiler!$C$26,0.002,IF(Topraklar!$L$45="Evet",0.001,0)))</f>
        <v/>
      </c>
      <c r="AT27" s="16">
        <f>IF(OR(Topraklar!$J$46="Evet",AND(Topraklar!$L$46&lt;&gt;"Evet",Topraklar!$K$46&lt;&gt;Bitkiler!$C$26)),0,MAX(0,1-(Ayarlar!$B$2*ABS(Bitkiler!$D$26-Topraklar!$D$46)+Ayarlar!$B$3*ABS(Bitkiler!$E$26-Topraklar!$E$46)+Ayarlar!$B$4*ABS(Bitkiler!$F$26-Topraklar!$F$46)+Ayarlar!$B$5*ABS(Bitkiler!$G$26-Topraklar!$G$46)+Ayarlar!$B$6*IF(Bitkiler!$H$26=Topraklar!$H$46,0,1))/Ayarlar!$B$7)+IF(Topraklar!$K$46=Bitkiler!$C$26,0.002,IF(Topraklar!$L$46="Evet",0.001,0)))</f>
        <v/>
      </c>
      <c r="AU27" s="16">
        <f>IF(OR(Topraklar!$J$47="Evet",AND(Topraklar!$L$47&lt;&gt;"Evet",Topraklar!$K$47&lt;&gt;Bitkiler!$C$26)),0,MAX(0,1-(Ayarlar!$B$2*ABS(Bitkiler!$D$26-Topraklar!$D$47)+Ayarlar!$B$3*ABS(Bitkiler!$E$26-Topraklar!$E$47)+Ayarlar!$B$4*ABS(Bitkiler!$F$26-Topraklar!$F$47)+Ayarlar!$B$5*ABS(Bitkiler!$G$26-Topraklar!$G$47)+Ayarlar!$B$6*IF(Bitkiler!$H$26=Topraklar!$H$47,0,1))/Ayarlar!$B$7)+IF(Topraklar!$K$47=Bitkiler!$C$26,0.002,IF(Topraklar!$L$47="Evet",0.001,0)))</f>
        <v/>
      </c>
      <c r="AV27" s="16">
        <f>IF(OR(Topraklar!$J$48="Evet",AND(Topraklar!$L$48&lt;&gt;"Evet",Topraklar!$K$48&lt;&gt;Bitkiler!$C$26)),0,MAX(0,1-(Ayarlar!$B$2*ABS(Bitkiler!$D$26-Topraklar!$D$48)+Ayarlar!$B$3*ABS(Bitkiler!$E$26-Topraklar!$E$48)+Ayarlar!$B$4*ABS(Bitkiler!$F$26-Topraklar!$F$48)+Ayarlar!$B$5*ABS(Bitkiler!$G$26-Topraklar!$G$48)+Ayarlar!$B$6*IF(Bitkiler!$H$26=Topraklar!$H$48,0,1))/Ayarlar!$B$7)+IF(Topraklar!$K$48=Bitkiler!$C$26,0.002,IF(Topraklar!$L$48="Evet",0.001,0)))</f>
        <v/>
      </c>
      <c r="AW27" s="16">
        <f>IF(OR(Topraklar!$J$49="Evet",AND(Topraklar!$L$49&lt;&gt;"Evet",Topraklar!$K$49&lt;&gt;Bitkiler!$C$26)),0,MAX(0,1-(Ayarlar!$B$2*ABS(Bitkiler!$D$26-Topraklar!$D$49)+Ayarlar!$B$3*ABS(Bitkiler!$E$26-Topraklar!$E$49)+Ayarlar!$B$4*ABS(Bitkiler!$F$26-Topraklar!$F$49)+Ayarlar!$B$5*ABS(Bitkiler!$G$26-Topraklar!$G$49)+Ayarlar!$B$6*IF(Bitkiler!$H$26=Topraklar!$H$49,0,1))/Ayarlar!$B$7)+IF(Topraklar!$K$49=Bitkiler!$C$26,0.002,IF(Topraklar!$L$49="Evet",0.001,0)))</f>
        <v/>
      </c>
      <c r="AX27" s="16">
        <f>IF(OR(Topraklar!$J$50="Evet",AND(Topraklar!$L$50&lt;&gt;"Evet",Topraklar!$K$50&lt;&gt;Bitkiler!$C$26)),0,MAX(0,1-(Ayarlar!$B$2*ABS(Bitkiler!$D$26-Topraklar!$D$50)+Ayarlar!$B$3*ABS(Bitkiler!$E$26-Topraklar!$E$50)+Ayarlar!$B$4*ABS(Bitkiler!$F$26-Topraklar!$F$50)+Ayarlar!$B$5*ABS(Bitkiler!$G$26-Topraklar!$G$50)+Ayarlar!$B$6*IF(Bitkiler!$H$26=Topraklar!$H$50,0,1))/Ayarlar!$B$7)+IF(Topraklar!$K$50=Bitkiler!$C$26,0.002,IF(Topraklar!$L$50="Evet",0.001,0)))</f>
        <v/>
      </c>
      <c r="AY27" s="16">
        <f>IF(OR(Topraklar!$J$51="Evet",AND(Topraklar!$L$51&lt;&gt;"Evet",Topraklar!$K$51&lt;&gt;Bitkiler!$C$26)),0,MAX(0,1-(Ayarlar!$B$2*ABS(Bitkiler!$D$26-Topraklar!$D$51)+Ayarlar!$B$3*ABS(Bitkiler!$E$26-Topraklar!$E$51)+Ayarlar!$B$4*ABS(Bitkiler!$F$26-Topraklar!$F$51)+Ayarlar!$B$5*ABS(Bitkiler!$G$26-Topraklar!$G$51)+Ayarlar!$B$6*IF(Bitkiler!$H$26=Topraklar!$H$51,0,1))/Ayarlar!$B$7)+IF(Topraklar!$K$51=Bitkiler!$C$26,0.002,IF(Topraklar!$L$51="Evet",0.001,0)))</f>
        <v/>
      </c>
    </row>
    <row r="28">
      <c r="A28" s="15">
        <f>Bitkiler!A27</f>
        <v/>
      </c>
      <c r="B28" s="16">
        <f>IF(OR(Topraklar!$J$2="Evet",AND(Topraklar!$L$2&lt;&gt;"Evet",Topraklar!$K$2&lt;&gt;Bitkiler!$C$27)),0,MAX(0,1-(Ayarlar!$B$2*ABS(Bitkiler!$D$27-Topraklar!$D$2)+Ayarlar!$B$3*ABS(Bitkiler!$E$27-Topraklar!$E$2)+Ayarlar!$B$4*ABS(Bitkiler!$F$27-Topraklar!$F$2)+Ayarlar!$B$5*ABS(Bitkiler!$G$27-Topraklar!$G$2)+Ayarlar!$B$6*IF(Bitkiler!$H$27=Topraklar!$H$2,0,1))/Ayarlar!$B$7)+IF(Topraklar!$K$2=Bitkiler!$C$27,0.002,IF(Topraklar!$L$2="Evet",0.001,0)))</f>
        <v/>
      </c>
      <c r="C28" s="16">
        <f>IF(OR(Topraklar!$J$3="Evet",AND(Topraklar!$L$3&lt;&gt;"Evet",Topraklar!$K$3&lt;&gt;Bitkiler!$C$27)),0,MAX(0,1-(Ayarlar!$B$2*ABS(Bitkiler!$D$27-Topraklar!$D$3)+Ayarlar!$B$3*ABS(Bitkiler!$E$27-Topraklar!$E$3)+Ayarlar!$B$4*ABS(Bitkiler!$F$27-Topraklar!$F$3)+Ayarlar!$B$5*ABS(Bitkiler!$G$27-Topraklar!$G$3)+Ayarlar!$B$6*IF(Bitkiler!$H$27=Topraklar!$H$3,0,1))/Ayarlar!$B$7)+IF(Topraklar!$K$3=Bitkiler!$C$27,0.002,IF(Topraklar!$L$3="Evet",0.001,0)))</f>
        <v/>
      </c>
      <c r="D28" s="16">
        <f>IF(OR(Topraklar!$J$4="Evet",AND(Topraklar!$L$4&lt;&gt;"Evet",Topraklar!$K$4&lt;&gt;Bitkiler!$C$27)),0,MAX(0,1-(Ayarlar!$B$2*ABS(Bitkiler!$D$27-Topraklar!$D$4)+Ayarlar!$B$3*ABS(Bitkiler!$E$27-Topraklar!$E$4)+Ayarlar!$B$4*ABS(Bitkiler!$F$27-Topraklar!$F$4)+Ayarlar!$B$5*ABS(Bitkiler!$G$27-Topraklar!$G$4)+Ayarlar!$B$6*IF(Bitkiler!$H$27=Topraklar!$H$4,0,1))/Ayarlar!$B$7)+IF(Topraklar!$K$4=Bitkiler!$C$27,0.002,IF(Topraklar!$L$4="Evet",0.001,0)))</f>
        <v/>
      </c>
      <c r="E28" s="16">
        <f>IF(OR(Topraklar!$J$5="Evet",AND(Topraklar!$L$5&lt;&gt;"Evet",Topraklar!$K$5&lt;&gt;Bitkiler!$C$27)),0,MAX(0,1-(Ayarlar!$B$2*ABS(Bitkiler!$D$27-Topraklar!$D$5)+Ayarlar!$B$3*ABS(Bitkiler!$E$27-Topraklar!$E$5)+Ayarlar!$B$4*ABS(Bitkiler!$F$27-Topraklar!$F$5)+Ayarlar!$B$5*ABS(Bitkiler!$G$27-Topraklar!$G$5)+Ayarlar!$B$6*IF(Bitkiler!$H$27=Topraklar!$H$5,0,1))/Ayarlar!$B$7)+IF(Topraklar!$K$5=Bitkiler!$C$27,0.002,IF(Topraklar!$L$5="Evet",0.001,0)))</f>
        <v/>
      </c>
      <c r="F28" s="16">
        <f>IF(OR(Topraklar!$J$6="Evet",AND(Topraklar!$L$6&lt;&gt;"Evet",Topraklar!$K$6&lt;&gt;Bitkiler!$C$27)),0,MAX(0,1-(Ayarlar!$B$2*ABS(Bitkiler!$D$27-Topraklar!$D$6)+Ayarlar!$B$3*ABS(Bitkiler!$E$27-Topraklar!$E$6)+Ayarlar!$B$4*ABS(Bitkiler!$F$27-Topraklar!$F$6)+Ayarlar!$B$5*ABS(Bitkiler!$G$27-Topraklar!$G$6)+Ayarlar!$B$6*IF(Bitkiler!$H$27=Topraklar!$H$6,0,1))/Ayarlar!$B$7)+IF(Topraklar!$K$6=Bitkiler!$C$27,0.002,IF(Topraklar!$L$6="Evet",0.001,0)))</f>
        <v/>
      </c>
      <c r="G28" s="16">
        <f>IF(OR(Topraklar!$J$7="Evet",AND(Topraklar!$L$7&lt;&gt;"Evet",Topraklar!$K$7&lt;&gt;Bitkiler!$C$27)),0,MAX(0,1-(Ayarlar!$B$2*ABS(Bitkiler!$D$27-Topraklar!$D$7)+Ayarlar!$B$3*ABS(Bitkiler!$E$27-Topraklar!$E$7)+Ayarlar!$B$4*ABS(Bitkiler!$F$27-Topraklar!$F$7)+Ayarlar!$B$5*ABS(Bitkiler!$G$27-Topraklar!$G$7)+Ayarlar!$B$6*IF(Bitkiler!$H$27=Topraklar!$H$7,0,1))/Ayarlar!$B$7)+IF(Topraklar!$K$7=Bitkiler!$C$27,0.002,IF(Topraklar!$L$7="Evet",0.001,0)))</f>
        <v/>
      </c>
      <c r="H28" s="16">
        <f>IF(OR(Topraklar!$J$8="Evet",AND(Topraklar!$L$8&lt;&gt;"Evet",Topraklar!$K$8&lt;&gt;Bitkiler!$C$27)),0,MAX(0,1-(Ayarlar!$B$2*ABS(Bitkiler!$D$27-Topraklar!$D$8)+Ayarlar!$B$3*ABS(Bitkiler!$E$27-Topraklar!$E$8)+Ayarlar!$B$4*ABS(Bitkiler!$F$27-Topraklar!$F$8)+Ayarlar!$B$5*ABS(Bitkiler!$G$27-Topraklar!$G$8)+Ayarlar!$B$6*IF(Bitkiler!$H$27=Topraklar!$H$8,0,1))/Ayarlar!$B$7)+IF(Topraklar!$K$8=Bitkiler!$C$27,0.002,IF(Topraklar!$L$8="Evet",0.001,0)))</f>
        <v/>
      </c>
      <c r="I28" s="16">
        <f>IF(OR(Topraklar!$J$9="Evet",AND(Topraklar!$L$9&lt;&gt;"Evet",Topraklar!$K$9&lt;&gt;Bitkiler!$C$27)),0,MAX(0,1-(Ayarlar!$B$2*ABS(Bitkiler!$D$27-Topraklar!$D$9)+Ayarlar!$B$3*ABS(Bitkiler!$E$27-Topraklar!$E$9)+Ayarlar!$B$4*ABS(Bitkiler!$F$27-Topraklar!$F$9)+Ayarlar!$B$5*ABS(Bitkiler!$G$27-Topraklar!$G$9)+Ayarlar!$B$6*IF(Bitkiler!$H$27=Topraklar!$H$9,0,1))/Ayarlar!$B$7)+IF(Topraklar!$K$9=Bitkiler!$C$27,0.002,IF(Topraklar!$L$9="Evet",0.001,0)))</f>
        <v/>
      </c>
      <c r="J28" s="16">
        <f>IF(OR(Topraklar!$J$10="Evet",AND(Topraklar!$L$10&lt;&gt;"Evet",Topraklar!$K$10&lt;&gt;Bitkiler!$C$27)),0,MAX(0,1-(Ayarlar!$B$2*ABS(Bitkiler!$D$27-Topraklar!$D$10)+Ayarlar!$B$3*ABS(Bitkiler!$E$27-Topraklar!$E$10)+Ayarlar!$B$4*ABS(Bitkiler!$F$27-Topraklar!$F$10)+Ayarlar!$B$5*ABS(Bitkiler!$G$27-Topraklar!$G$10)+Ayarlar!$B$6*IF(Bitkiler!$H$27=Topraklar!$H$10,0,1))/Ayarlar!$B$7)+IF(Topraklar!$K$10=Bitkiler!$C$27,0.002,IF(Topraklar!$L$10="Evet",0.001,0)))</f>
        <v/>
      </c>
      <c r="K28" s="16">
        <f>IF(OR(Topraklar!$J$11="Evet",AND(Topraklar!$L$11&lt;&gt;"Evet",Topraklar!$K$11&lt;&gt;Bitkiler!$C$27)),0,MAX(0,1-(Ayarlar!$B$2*ABS(Bitkiler!$D$27-Topraklar!$D$11)+Ayarlar!$B$3*ABS(Bitkiler!$E$27-Topraklar!$E$11)+Ayarlar!$B$4*ABS(Bitkiler!$F$27-Topraklar!$F$11)+Ayarlar!$B$5*ABS(Bitkiler!$G$27-Topraklar!$G$11)+Ayarlar!$B$6*IF(Bitkiler!$H$27=Topraklar!$H$11,0,1))/Ayarlar!$B$7)+IF(Topraklar!$K$11=Bitkiler!$C$27,0.002,IF(Topraklar!$L$11="Evet",0.001,0)))</f>
        <v/>
      </c>
      <c r="L28" s="16">
        <f>IF(OR(Topraklar!$J$12="Evet",AND(Topraklar!$L$12&lt;&gt;"Evet",Topraklar!$K$12&lt;&gt;Bitkiler!$C$27)),0,MAX(0,1-(Ayarlar!$B$2*ABS(Bitkiler!$D$27-Topraklar!$D$12)+Ayarlar!$B$3*ABS(Bitkiler!$E$27-Topraklar!$E$12)+Ayarlar!$B$4*ABS(Bitkiler!$F$27-Topraklar!$F$12)+Ayarlar!$B$5*ABS(Bitkiler!$G$27-Topraklar!$G$12)+Ayarlar!$B$6*IF(Bitkiler!$H$27=Topraklar!$H$12,0,1))/Ayarlar!$B$7)+IF(Topraklar!$K$12=Bitkiler!$C$27,0.002,IF(Topraklar!$L$12="Evet",0.001,0)))</f>
        <v/>
      </c>
      <c r="M28" s="16">
        <f>IF(OR(Topraklar!$J$13="Evet",AND(Topraklar!$L$13&lt;&gt;"Evet",Topraklar!$K$13&lt;&gt;Bitkiler!$C$27)),0,MAX(0,1-(Ayarlar!$B$2*ABS(Bitkiler!$D$27-Topraklar!$D$13)+Ayarlar!$B$3*ABS(Bitkiler!$E$27-Topraklar!$E$13)+Ayarlar!$B$4*ABS(Bitkiler!$F$27-Topraklar!$F$13)+Ayarlar!$B$5*ABS(Bitkiler!$G$27-Topraklar!$G$13)+Ayarlar!$B$6*IF(Bitkiler!$H$27=Topraklar!$H$13,0,1))/Ayarlar!$B$7)+IF(Topraklar!$K$13=Bitkiler!$C$27,0.002,IF(Topraklar!$L$13="Evet",0.001,0)))</f>
        <v/>
      </c>
      <c r="N28" s="16">
        <f>IF(OR(Topraklar!$J$14="Evet",AND(Topraklar!$L$14&lt;&gt;"Evet",Topraklar!$K$14&lt;&gt;Bitkiler!$C$27)),0,MAX(0,1-(Ayarlar!$B$2*ABS(Bitkiler!$D$27-Topraklar!$D$14)+Ayarlar!$B$3*ABS(Bitkiler!$E$27-Topraklar!$E$14)+Ayarlar!$B$4*ABS(Bitkiler!$F$27-Topraklar!$F$14)+Ayarlar!$B$5*ABS(Bitkiler!$G$27-Topraklar!$G$14)+Ayarlar!$B$6*IF(Bitkiler!$H$27=Topraklar!$H$14,0,1))/Ayarlar!$B$7)+IF(Topraklar!$K$14=Bitkiler!$C$27,0.002,IF(Topraklar!$L$14="Evet",0.001,0)))</f>
        <v/>
      </c>
      <c r="O28" s="16">
        <f>IF(OR(Topraklar!$J$15="Evet",AND(Topraklar!$L$15&lt;&gt;"Evet",Topraklar!$K$15&lt;&gt;Bitkiler!$C$27)),0,MAX(0,1-(Ayarlar!$B$2*ABS(Bitkiler!$D$27-Topraklar!$D$15)+Ayarlar!$B$3*ABS(Bitkiler!$E$27-Topraklar!$E$15)+Ayarlar!$B$4*ABS(Bitkiler!$F$27-Topraklar!$F$15)+Ayarlar!$B$5*ABS(Bitkiler!$G$27-Topraklar!$G$15)+Ayarlar!$B$6*IF(Bitkiler!$H$27=Topraklar!$H$15,0,1))/Ayarlar!$B$7)+IF(Topraklar!$K$15=Bitkiler!$C$27,0.002,IF(Topraklar!$L$15="Evet",0.001,0)))</f>
        <v/>
      </c>
      <c r="P28" s="16">
        <f>IF(OR(Topraklar!$J$16="Evet",AND(Topraklar!$L$16&lt;&gt;"Evet",Topraklar!$K$16&lt;&gt;Bitkiler!$C$27)),0,MAX(0,1-(Ayarlar!$B$2*ABS(Bitkiler!$D$27-Topraklar!$D$16)+Ayarlar!$B$3*ABS(Bitkiler!$E$27-Topraklar!$E$16)+Ayarlar!$B$4*ABS(Bitkiler!$F$27-Topraklar!$F$16)+Ayarlar!$B$5*ABS(Bitkiler!$G$27-Topraklar!$G$16)+Ayarlar!$B$6*IF(Bitkiler!$H$27=Topraklar!$H$16,0,1))/Ayarlar!$B$7)+IF(Topraklar!$K$16=Bitkiler!$C$27,0.002,IF(Topraklar!$L$16="Evet",0.001,0)))</f>
        <v/>
      </c>
      <c r="Q28" s="16">
        <f>IF(OR(Topraklar!$J$17="Evet",AND(Topraklar!$L$17&lt;&gt;"Evet",Topraklar!$K$17&lt;&gt;Bitkiler!$C$27)),0,MAX(0,1-(Ayarlar!$B$2*ABS(Bitkiler!$D$27-Topraklar!$D$17)+Ayarlar!$B$3*ABS(Bitkiler!$E$27-Topraklar!$E$17)+Ayarlar!$B$4*ABS(Bitkiler!$F$27-Topraklar!$F$17)+Ayarlar!$B$5*ABS(Bitkiler!$G$27-Topraklar!$G$17)+Ayarlar!$B$6*IF(Bitkiler!$H$27=Topraklar!$H$17,0,1))/Ayarlar!$B$7)+IF(Topraklar!$K$17=Bitkiler!$C$27,0.002,IF(Topraklar!$L$17="Evet",0.001,0)))</f>
        <v/>
      </c>
      <c r="R28" s="16">
        <f>IF(OR(Topraklar!$J$18="Evet",AND(Topraklar!$L$18&lt;&gt;"Evet",Topraklar!$K$18&lt;&gt;Bitkiler!$C$27)),0,MAX(0,1-(Ayarlar!$B$2*ABS(Bitkiler!$D$27-Topraklar!$D$18)+Ayarlar!$B$3*ABS(Bitkiler!$E$27-Topraklar!$E$18)+Ayarlar!$B$4*ABS(Bitkiler!$F$27-Topraklar!$F$18)+Ayarlar!$B$5*ABS(Bitkiler!$G$27-Topraklar!$G$18)+Ayarlar!$B$6*IF(Bitkiler!$H$27=Topraklar!$H$18,0,1))/Ayarlar!$B$7)+IF(Topraklar!$K$18=Bitkiler!$C$27,0.002,IF(Topraklar!$L$18="Evet",0.001,0)))</f>
        <v/>
      </c>
      <c r="S28" s="16">
        <f>IF(OR(Topraklar!$J$19="Evet",AND(Topraklar!$L$19&lt;&gt;"Evet",Topraklar!$K$19&lt;&gt;Bitkiler!$C$27)),0,MAX(0,1-(Ayarlar!$B$2*ABS(Bitkiler!$D$27-Topraklar!$D$19)+Ayarlar!$B$3*ABS(Bitkiler!$E$27-Topraklar!$E$19)+Ayarlar!$B$4*ABS(Bitkiler!$F$27-Topraklar!$F$19)+Ayarlar!$B$5*ABS(Bitkiler!$G$27-Topraklar!$G$19)+Ayarlar!$B$6*IF(Bitkiler!$H$27=Topraklar!$H$19,0,1))/Ayarlar!$B$7)+IF(Topraklar!$K$19=Bitkiler!$C$27,0.002,IF(Topraklar!$L$19="Evet",0.001,0)))</f>
        <v/>
      </c>
      <c r="T28" s="16">
        <f>IF(OR(Topraklar!$J$20="Evet",AND(Topraklar!$L$20&lt;&gt;"Evet",Topraklar!$K$20&lt;&gt;Bitkiler!$C$27)),0,MAX(0,1-(Ayarlar!$B$2*ABS(Bitkiler!$D$27-Topraklar!$D$20)+Ayarlar!$B$3*ABS(Bitkiler!$E$27-Topraklar!$E$20)+Ayarlar!$B$4*ABS(Bitkiler!$F$27-Topraklar!$F$20)+Ayarlar!$B$5*ABS(Bitkiler!$G$27-Topraklar!$G$20)+Ayarlar!$B$6*IF(Bitkiler!$H$27=Topraklar!$H$20,0,1))/Ayarlar!$B$7)+IF(Topraklar!$K$20=Bitkiler!$C$27,0.002,IF(Topraklar!$L$20="Evet",0.001,0)))</f>
        <v/>
      </c>
      <c r="U28" s="16">
        <f>IF(OR(Topraklar!$J$21="Evet",AND(Topraklar!$L$21&lt;&gt;"Evet",Topraklar!$K$21&lt;&gt;Bitkiler!$C$27)),0,MAX(0,1-(Ayarlar!$B$2*ABS(Bitkiler!$D$27-Topraklar!$D$21)+Ayarlar!$B$3*ABS(Bitkiler!$E$27-Topraklar!$E$21)+Ayarlar!$B$4*ABS(Bitkiler!$F$27-Topraklar!$F$21)+Ayarlar!$B$5*ABS(Bitkiler!$G$27-Topraklar!$G$21)+Ayarlar!$B$6*IF(Bitkiler!$H$27=Topraklar!$H$21,0,1))/Ayarlar!$B$7)+IF(Topraklar!$K$21=Bitkiler!$C$27,0.002,IF(Topraklar!$L$21="Evet",0.001,0)))</f>
        <v/>
      </c>
      <c r="V28" s="16">
        <f>IF(OR(Topraklar!$J$22="Evet",AND(Topraklar!$L$22&lt;&gt;"Evet",Topraklar!$K$22&lt;&gt;Bitkiler!$C$27)),0,MAX(0,1-(Ayarlar!$B$2*ABS(Bitkiler!$D$27-Topraklar!$D$22)+Ayarlar!$B$3*ABS(Bitkiler!$E$27-Topraklar!$E$22)+Ayarlar!$B$4*ABS(Bitkiler!$F$27-Topraklar!$F$22)+Ayarlar!$B$5*ABS(Bitkiler!$G$27-Topraklar!$G$22)+Ayarlar!$B$6*IF(Bitkiler!$H$27=Topraklar!$H$22,0,1))/Ayarlar!$B$7)+IF(Topraklar!$K$22=Bitkiler!$C$27,0.002,IF(Topraklar!$L$22="Evet",0.001,0)))</f>
        <v/>
      </c>
      <c r="W28" s="16">
        <f>IF(OR(Topraklar!$J$23="Evet",AND(Topraklar!$L$23&lt;&gt;"Evet",Topraklar!$K$23&lt;&gt;Bitkiler!$C$27)),0,MAX(0,1-(Ayarlar!$B$2*ABS(Bitkiler!$D$27-Topraklar!$D$23)+Ayarlar!$B$3*ABS(Bitkiler!$E$27-Topraklar!$E$23)+Ayarlar!$B$4*ABS(Bitkiler!$F$27-Topraklar!$F$23)+Ayarlar!$B$5*ABS(Bitkiler!$G$27-Topraklar!$G$23)+Ayarlar!$B$6*IF(Bitkiler!$H$27=Topraklar!$H$23,0,1))/Ayarlar!$B$7)+IF(Topraklar!$K$23=Bitkiler!$C$27,0.002,IF(Topraklar!$L$23="Evet",0.001,0)))</f>
        <v/>
      </c>
      <c r="X28" s="16">
        <f>IF(OR(Topraklar!$J$24="Evet",AND(Topraklar!$L$24&lt;&gt;"Evet",Topraklar!$K$24&lt;&gt;Bitkiler!$C$27)),0,MAX(0,1-(Ayarlar!$B$2*ABS(Bitkiler!$D$27-Topraklar!$D$24)+Ayarlar!$B$3*ABS(Bitkiler!$E$27-Topraklar!$E$24)+Ayarlar!$B$4*ABS(Bitkiler!$F$27-Topraklar!$F$24)+Ayarlar!$B$5*ABS(Bitkiler!$G$27-Topraklar!$G$24)+Ayarlar!$B$6*IF(Bitkiler!$H$27=Topraklar!$H$24,0,1))/Ayarlar!$B$7)+IF(Topraklar!$K$24=Bitkiler!$C$27,0.002,IF(Topraklar!$L$24="Evet",0.001,0)))</f>
        <v/>
      </c>
      <c r="Y28" s="16">
        <f>IF(OR(Topraklar!$J$25="Evet",AND(Topraklar!$L$25&lt;&gt;"Evet",Topraklar!$K$25&lt;&gt;Bitkiler!$C$27)),0,MAX(0,1-(Ayarlar!$B$2*ABS(Bitkiler!$D$27-Topraklar!$D$25)+Ayarlar!$B$3*ABS(Bitkiler!$E$27-Topraklar!$E$25)+Ayarlar!$B$4*ABS(Bitkiler!$F$27-Topraklar!$F$25)+Ayarlar!$B$5*ABS(Bitkiler!$G$27-Topraklar!$G$25)+Ayarlar!$B$6*IF(Bitkiler!$H$27=Topraklar!$H$25,0,1))/Ayarlar!$B$7)+IF(Topraklar!$K$25=Bitkiler!$C$27,0.002,IF(Topraklar!$L$25="Evet",0.001,0)))</f>
        <v/>
      </c>
      <c r="Z28" s="16">
        <f>IF(OR(Topraklar!$J$26="Evet",AND(Topraklar!$L$26&lt;&gt;"Evet",Topraklar!$K$26&lt;&gt;Bitkiler!$C$27)),0,MAX(0,1-(Ayarlar!$B$2*ABS(Bitkiler!$D$27-Topraklar!$D$26)+Ayarlar!$B$3*ABS(Bitkiler!$E$27-Topraklar!$E$26)+Ayarlar!$B$4*ABS(Bitkiler!$F$27-Topraklar!$F$26)+Ayarlar!$B$5*ABS(Bitkiler!$G$27-Topraklar!$G$26)+Ayarlar!$B$6*IF(Bitkiler!$H$27=Topraklar!$H$26,0,1))/Ayarlar!$B$7)+IF(Topraklar!$K$26=Bitkiler!$C$27,0.002,IF(Topraklar!$L$26="Evet",0.001,0)))</f>
        <v/>
      </c>
      <c r="AA28" s="16">
        <f>IF(OR(Topraklar!$J$27="Evet",AND(Topraklar!$L$27&lt;&gt;"Evet",Topraklar!$K$27&lt;&gt;Bitkiler!$C$27)),0,MAX(0,1-(Ayarlar!$B$2*ABS(Bitkiler!$D$27-Topraklar!$D$27)+Ayarlar!$B$3*ABS(Bitkiler!$E$27-Topraklar!$E$27)+Ayarlar!$B$4*ABS(Bitkiler!$F$27-Topraklar!$F$27)+Ayarlar!$B$5*ABS(Bitkiler!$G$27-Topraklar!$G$27)+Ayarlar!$B$6*IF(Bitkiler!$H$27=Topraklar!$H$27,0,1))/Ayarlar!$B$7)+IF(Topraklar!$K$27=Bitkiler!$C$27,0.002,IF(Topraklar!$L$27="Evet",0.001,0)))</f>
        <v/>
      </c>
      <c r="AB28" s="16">
        <f>IF(OR(Topraklar!$J$28="Evet",AND(Topraklar!$L$28&lt;&gt;"Evet",Topraklar!$K$28&lt;&gt;Bitkiler!$C$27)),0,MAX(0,1-(Ayarlar!$B$2*ABS(Bitkiler!$D$27-Topraklar!$D$28)+Ayarlar!$B$3*ABS(Bitkiler!$E$27-Topraklar!$E$28)+Ayarlar!$B$4*ABS(Bitkiler!$F$27-Topraklar!$F$28)+Ayarlar!$B$5*ABS(Bitkiler!$G$27-Topraklar!$G$28)+Ayarlar!$B$6*IF(Bitkiler!$H$27=Topraklar!$H$28,0,1))/Ayarlar!$B$7)+IF(Topraklar!$K$28=Bitkiler!$C$27,0.002,IF(Topraklar!$L$28="Evet",0.001,0)))</f>
        <v/>
      </c>
      <c r="AC28" s="16">
        <f>IF(OR(Topraklar!$J$29="Evet",AND(Topraklar!$L$29&lt;&gt;"Evet",Topraklar!$K$29&lt;&gt;Bitkiler!$C$27)),0,MAX(0,1-(Ayarlar!$B$2*ABS(Bitkiler!$D$27-Topraklar!$D$29)+Ayarlar!$B$3*ABS(Bitkiler!$E$27-Topraklar!$E$29)+Ayarlar!$B$4*ABS(Bitkiler!$F$27-Topraklar!$F$29)+Ayarlar!$B$5*ABS(Bitkiler!$G$27-Topraklar!$G$29)+Ayarlar!$B$6*IF(Bitkiler!$H$27=Topraklar!$H$29,0,1))/Ayarlar!$B$7)+IF(Topraklar!$K$29=Bitkiler!$C$27,0.002,IF(Topraklar!$L$29="Evet",0.001,0)))</f>
        <v/>
      </c>
      <c r="AD28" s="16">
        <f>IF(OR(Topraklar!$J$30="Evet",AND(Topraklar!$L$30&lt;&gt;"Evet",Topraklar!$K$30&lt;&gt;Bitkiler!$C$27)),0,MAX(0,1-(Ayarlar!$B$2*ABS(Bitkiler!$D$27-Topraklar!$D$30)+Ayarlar!$B$3*ABS(Bitkiler!$E$27-Topraklar!$E$30)+Ayarlar!$B$4*ABS(Bitkiler!$F$27-Topraklar!$F$30)+Ayarlar!$B$5*ABS(Bitkiler!$G$27-Topraklar!$G$30)+Ayarlar!$B$6*IF(Bitkiler!$H$27=Topraklar!$H$30,0,1))/Ayarlar!$B$7)+IF(Topraklar!$K$30=Bitkiler!$C$27,0.002,IF(Topraklar!$L$30="Evet",0.001,0)))</f>
        <v/>
      </c>
      <c r="AE28" s="16">
        <f>IF(OR(Topraklar!$J$31="Evet",AND(Topraklar!$L$31&lt;&gt;"Evet",Topraklar!$K$31&lt;&gt;Bitkiler!$C$27)),0,MAX(0,1-(Ayarlar!$B$2*ABS(Bitkiler!$D$27-Topraklar!$D$31)+Ayarlar!$B$3*ABS(Bitkiler!$E$27-Topraklar!$E$31)+Ayarlar!$B$4*ABS(Bitkiler!$F$27-Topraklar!$F$31)+Ayarlar!$B$5*ABS(Bitkiler!$G$27-Topraklar!$G$31)+Ayarlar!$B$6*IF(Bitkiler!$H$27=Topraklar!$H$31,0,1))/Ayarlar!$B$7)+IF(Topraklar!$K$31=Bitkiler!$C$27,0.002,IF(Topraklar!$L$31="Evet",0.001,0)))</f>
        <v/>
      </c>
      <c r="AF28" s="16">
        <f>IF(OR(Topraklar!$J$32="Evet",AND(Topraklar!$L$32&lt;&gt;"Evet",Topraklar!$K$32&lt;&gt;Bitkiler!$C$27)),0,MAX(0,1-(Ayarlar!$B$2*ABS(Bitkiler!$D$27-Topraklar!$D$32)+Ayarlar!$B$3*ABS(Bitkiler!$E$27-Topraklar!$E$32)+Ayarlar!$B$4*ABS(Bitkiler!$F$27-Topraklar!$F$32)+Ayarlar!$B$5*ABS(Bitkiler!$G$27-Topraklar!$G$32)+Ayarlar!$B$6*IF(Bitkiler!$H$27=Topraklar!$H$32,0,1))/Ayarlar!$B$7)+IF(Topraklar!$K$32=Bitkiler!$C$27,0.002,IF(Topraklar!$L$32="Evet",0.001,0)))</f>
        <v/>
      </c>
      <c r="AG28" s="16">
        <f>IF(OR(Topraklar!$J$33="Evet",AND(Topraklar!$L$33&lt;&gt;"Evet",Topraklar!$K$33&lt;&gt;Bitkiler!$C$27)),0,MAX(0,1-(Ayarlar!$B$2*ABS(Bitkiler!$D$27-Topraklar!$D$33)+Ayarlar!$B$3*ABS(Bitkiler!$E$27-Topraklar!$E$33)+Ayarlar!$B$4*ABS(Bitkiler!$F$27-Topraklar!$F$33)+Ayarlar!$B$5*ABS(Bitkiler!$G$27-Topraklar!$G$33)+Ayarlar!$B$6*IF(Bitkiler!$H$27=Topraklar!$H$33,0,1))/Ayarlar!$B$7)+IF(Topraklar!$K$33=Bitkiler!$C$27,0.002,IF(Topraklar!$L$33="Evet",0.001,0)))</f>
        <v/>
      </c>
      <c r="AH28" s="16">
        <f>IF(OR(Topraklar!$J$34="Evet",AND(Topraklar!$L$34&lt;&gt;"Evet",Topraklar!$K$34&lt;&gt;Bitkiler!$C$27)),0,MAX(0,1-(Ayarlar!$B$2*ABS(Bitkiler!$D$27-Topraklar!$D$34)+Ayarlar!$B$3*ABS(Bitkiler!$E$27-Topraklar!$E$34)+Ayarlar!$B$4*ABS(Bitkiler!$F$27-Topraklar!$F$34)+Ayarlar!$B$5*ABS(Bitkiler!$G$27-Topraklar!$G$34)+Ayarlar!$B$6*IF(Bitkiler!$H$27=Topraklar!$H$34,0,1))/Ayarlar!$B$7)+IF(Topraklar!$K$34=Bitkiler!$C$27,0.002,IF(Topraklar!$L$34="Evet",0.001,0)))</f>
        <v/>
      </c>
      <c r="AI28" s="16">
        <f>IF(OR(Topraklar!$J$35="Evet",AND(Topraklar!$L$35&lt;&gt;"Evet",Topraklar!$K$35&lt;&gt;Bitkiler!$C$27)),0,MAX(0,1-(Ayarlar!$B$2*ABS(Bitkiler!$D$27-Topraklar!$D$35)+Ayarlar!$B$3*ABS(Bitkiler!$E$27-Topraklar!$E$35)+Ayarlar!$B$4*ABS(Bitkiler!$F$27-Topraklar!$F$35)+Ayarlar!$B$5*ABS(Bitkiler!$G$27-Topraklar!$G$35)+Ayarlar!$B$6*IF(Bitkiler!$H$27=Topraklar!$H$35,0,1))/Ayarlar!$B$7)+IF(Topraklar!$K$35=Bitkiler!$C$27,0.002,IF(Topraklar!$L$35="Evet",0.001,0)))</f>
        <v/>
      </c>
      <c r="AJ28" s="16">
        <f>IF(OR(Topraklar!$J$36="Evet",AND(Topraklar!$L$36&lt;&gt;"Evet",Topraklar!$K$36&lt;&gt;Bitkiler!$C$27)),0,MAX(0,1-(Ayarlar!$B$2*ABS(Bitkiler!$D$27-Topraklar!$D$36)+Ayarlar!$B$3*ABS(Bitkiler!$E$27-Topraklar!$E$36)+Ayarlar!$B$4*ABS(Bitkiler!$F$27-Topraklar!$F$36)+Ayarlar!$B$5*ABS(Bitkiler!$G$27-Topraklar!$G$36)+Ayarlar!$B$6*IF(Bitkiler!$H$27=Topraklar!$H$36,0,1))/Ayarlar!$B$7)+IF(Topraklar!$K$36=Bitkiler!$C$27,0.002,IF(Topraklar!$L$36="Evet",0.001,0)))</f>
        <v/>
      </c>
      <c r="AK28" s="16">
        <f>IF(OR(Topraklar!$J$37="Evet",AND(Topraklar!$L$37&lt;&gt;"Evet",Topraklar!$K$37&lt;&gt;Bitkiler!$C$27)),0,MAX(0,1-(Ayarlar!$B$2*ABS(Bitkiler!$D$27-Topraklar!$D$37)+Ayarlar!$B$3*ABS(Bitkiler!$E$27-Topraklar!$E$37)+Ayarlar!$B$4*ABS(Bitkiler!$F$27-Topraklar!$F$37)+Ayarlar!$B$5*ABS(Bitkiler!$G$27-Topraklar!$G$37)+Ayarlar!$B$6*IF(Bitkiler!$H$27=Topraklar!$H$37,0,1))/Ayarlar!$B$7)+IF(Topraklar!$K$37=Bitkiler!$C$27,0.002,IF(Topraklar!$L$37="Evet",0.001,0)))</f>
        <v/>
      </c>
      <c r="AL28" s="16">
        <f>IF(OR(Topraklar!$J$38="Evet",AND(Topraklar!$L$38&lt;&gt;"Evet",Topraklar!$K$38&lt;&gt;Bitkiler!$C$27)),0,MAX(0,1-(Ayarlar!$B$2*ABS(Bitkiler!$D$27-Topraklar!$D$38)+Ayarlar!$B$3*ABS(Bitkiler!$E$27-Topraklar!$E$38)+Ayarlar!$B$4*ABS(Bitkiler!$F$27-Topraklar!$F$38)+Ayarlar!$B$5*ABS(Bitkiler!$G$27-Topraklar!$G$38)+Ayarlar!$B$6*IF(Bitkiler!$H$27=Topraklar!$H$38,0,1))/Ayarlar!$B$7)+IF(Topraklar!$K$38=Bitkiler!$C$27,0.002,IF(Topraklar!$L$38="Evet",0.001,0)))</f>
        <v/>
      </c>
      <c r="AM28" s="16">
        <f>IF(OR(Topraklar!$J$39="Evet",AND(Topraklar!$L$39&lt;&gt;"Evet",Topraklar!$K$39&lt;&gt;Bitkiler!$C$27)),0,MAX(0,1-(Ayarlar!$B$2*ABS(Bitkiler!$D$27-Topraklar!$D$39)+Ayarlar!$B$3*ABS(Bitkiler!$E$27-Topraklar!$E$39)+Ayarlar!$B$4*ABS(Bitkiler!$F$27-Topraklar!$F$39)+Ayarlar!$B$5*ABS(Bitkiler!$G$27-Topraklar!$G$39)+Ayarlar!$B$6*IF(Bitkiler!$H$27=Topraklar!$H$39,0,1))/Ayarlar!$B$7)+IF(Topraklar!$K$39=Bitkiler!$C$27,0.002,IF(Topraklar!$L$39="Evet",0.001,0)))</f>
        <v/>
      </c>
      <c r="AN28" s="16">
        <f>IF(OR(Topraklar!$J$40="Evet",AND(Topraklar!$L$40&lt;&gt;"Evet",Topraklar!$K$40&lt;&gt;Bitkiler!$C$27)),0,MAX(0,1-(Ayarlar!$B$2*ABS(Bitkiler!$D$27-Topraklar!$D$40)+Ayarlar!$B$3*ABS(Bitkiler!$E$27-Topraklar!$E$40)+Ayarlar!$B$4*ABS(Bitkiler!$F$27-Topraklar!$F$40)+Ayarlar!$B$5*ABS(Bitkiler!$G$27-Topraklar!$G$40)+Ayarlar!$B$6*IF(Bitkiler!$H$27=Topraklar!$H$40,0,1))/Ayarlar!$B$7)+IF(Topraklar!$K$40=Bitkiler!$C$27,0.002,IF(Topraklar!$L$40="Evet",0.001,0)))</f>
        <v/>
      </c>
      <c r="AO28" s="16">
        <f>IF(OR(Topraklar!$J$41="Evet",AND(Topraklar!$L$41&lt;&gt;"Evet",Topraklar!$K$41&lt;&gt;Bitkiler!$C$27)),0,MAX(0,1-(Ayarlar!$B$2*ABS(Bitkiler!$D$27-Topraklar!$D$41)+Ayarlar!$B$3*ABS(Bitkiler!$E$27-Topraklar!$E$41)+Ayarlar!$B$4*ABS(Bitkiler!$F$27-Topraklar!$F$41)+Ayarlar!$B$5*ABS(Bitkiler!$G$27-Topraklar!$G$41)+Ayarlar!$B$6*IF(Bitkiler!$H$27=Topraklar!$H$41,0,1))/Ayarlar!$B$7)+IF(Topraklar!$K$41=Bitkiler!$C$27,0.002,IF(Topraklar!$L$41="Evet",0.001,0)))</f>
        <v/>
      </c>
      <c r="AP28" s="16">
        <f>IF(OR(Topraklar!$J$42="Evet",AND(Topraklar!$L$42&lt;&gt;"Evet",Topraklar!$K$42&lt;&gt;Bitkiler!$C$27)),0,MAX(0,1-(Ayarlar!$B$2*ABS(Bitkiler!$D$27-Topraklar!$D$42)+Ayarlar!$B$3*ABS(Bitkiler!$E$27-Topraklar!$E$42)+Ayarlar!$B$4*ABS(Bitkiler!$F$27-Topraklar!$F$42)+Ayarlar!$B$5*ABS(Bitkiler!$G$27-Topraklar!$G$42)+Ayarlar!$B$6*IF(Bitkiler!$H$27=Topraklar!$H$42,0,1))/Ayarlar!$B$7)+IF(Topraklar!$K$42=Bitkiler!$C$27,0.002,IF(Topraklar!$L$42="Evet",0.001,0)))</f>
        <v/>
      </c>
      <c r="AQ28" s="16">
        <f>IF(OR(Topraklar!$J$43="Evet",AND(Topraklar!$L$43&lt;&gt;"Evet",Topraklar!$K$43&lt;&gt;Bitkiler!$C$27)),0,MAX(0,1-(Ayarlar!$B$2*ABS(Bitkiler!$D$27-Topraklar!$D$43)+Ayarlar!$B$3*ABS(Bitkiler!$E$27-Topraklar!$E$43)+Ayarlar!$B$4*ABS(Bitkiler!$F$27-Topraklar!$F$43)+Ayarlar!$B$5*ABS(Bitkiler!$G$27-Topraklar!$G$43)+Ayarlar!$B$6*IF(Bitkiler!$H$27=Topraklar!$H$43,0,1))/Ayarlar!$B$7)+IF(Topraklar!$K$43=Bitkiler!$C$27,0.002,IF(Topraklar!$L$43="Evet",0.001,0)))</f>
        <v/>
      </c>
      <c r="AR28" s="16">
        <f>IF(OR(Topraklar!$J$44="Evet",AND(Topraklar!$L$44&lt;&gt;"Evet",Topraklar!$K$44&lt;&gt;Bitkiler!$C$27)),0,MAX(0,1-(Ayarlar!$B$2*ABS(Bitkiler!$D$27-Topraklar!$D$44)+Ayarlar!$B$3*ABS(Bitkiler!$E$27-Topraklar!$E$44)+Ayarlar!$B$4*ABS(Bitkiler!$F$27-Topraklar!$F$44)+Ayarlar!$B$5*ABS(Bitkiler!$G$27-Topraklar!$G$44)+Ayarlar!$B$6*IF(Bitkiler!$H$27=Topraklar!$H$44,0,1))/Ayarlar!$B$7)+IF(Topraklar!$K$44=Bitkiler!$C$27,0.002,IF(Topraklar!$L$44="Evet",0.001,0)))</f>
        <v/>
      </c>
      <c r="AS28" s="16">
        <f>IF(OR(Topraklar!$J$45="Evet",AND(Topraklar!$L$45&lt;&gt;"Evet",Topraklar!$K$45&lt;&gt;Bitkiler!$C$27)),0,MAX(0,1-(Ayarlar!$B$2*ABS(Bitkiler!$D$27-Topraklar!$D$45)+Ayarlar!$B$3*ABS(Bitkiler!$E$27-Topraklar!$E$45)+Ayarlar!$B$4*ABS(Bitkiler!$F$27-Topraklar!$F$45)+Ayarlar!$B$5*ABS(Bitkiler!$G$27-Topraklar!$G$45)+Ayarlar!$B$6*IF(Bitkiler!$H$27=Topraklar!$H$45,0,1))/Ayarlar!$B$7)+IF(Topraklar!$K$45=Bitkiler!$C$27,0.002,IF(Topraklar!$L$45="Evet",0.001,0)))</f>
        <v/>
      </c>
      <c r="AT28" s="16">
        <f>IF(OR(Topraklar!$J$46="Evet",AND(Topraklar!$L$46&lt;&gt;"Evet",Topraklar!$K$46&lt;&gt;Bitkiler!$C$27)),0,MAX(0,1-(Ayarlar!$B$2*ABS(Bitkiler!$D$27-Topraklar!$D$46)+Ayarlar!$B$3*ABS(Bitkiler!$E$27-Topraklar!$E$46)+Ayarlar!$B$4*ABS(Bitkiler!$F$27-Topraklar!$F$46)+Ayarlar!$B$5*ABS(Bitkiler!$G$27-Topraklar!$G$46)+Ayarlar!$B$6*IF(Bitkiler!$H$27=Topraklar!$H$46,0,1))/Ayarlar!$B$7)+IF(Topraklar!$K$46=Bitkiler!$C$27,0.002,IF(Topraklar!$L$46="Evet",0.001,0)))</f>
        <v/>
      </c>
      <c r="AU28" s="16">
        <f>IF(OR(Topraklar!$J$47="Evet",AND(Topraklar!$L$47&lt;&gt;"Evet",Topraklar!$K$47&lt;&gt;Bitkiler!$C$27)),0,MAX(0,1-(Ayarlar!$B$2*ABS(Bitkiler!$D$27-Topraklar!$D$47)+Ayarlar!$B$3*ABS(Bitkiler!$E$27-Topraklar!$E$47)+Ayarlar!$B$4*ABS(Bitkiler!$F$27-Topraklar!$F$47)+Ayarlar!$B$5*ABS(Bitkiler!$G$27-Topraklar!$G$47)+Ayarlar!$B$6*IF(Bitkiler!$H$27=Topraklar!$H$47,0,1))/Ayarlar!$B$7)+IF(Topraklar!$K$47=Bitkiler!$C$27,0.002,IF(Topraklar!$L$47="Evet",0.001,0)))</f>
        <v/>
      </c>
      <c r="AV28" s="16">
        <f>IF(OR(Topraklar!$J$48="Evet",AND(Topraklar!$L$48&lt;&gt;"Evet",Topraklar!$K$48&lt;&gt;Bitkiler!$C$27)),0,MAX(0,1-(Ayarlar!$B$2*ABS(Bitkiler!$D$27-Topraklar!$D$48)+Ayarlar!$B$3*ABS(Bitkiler!$E$27-Topraklar!$E$48)+Ayarlar!$B$4*ABS(Bitkiler!$F$27-Topraklar!$F$48)+Ayarlar!$B$5*ABS(Bitkiler!$G$27-Topraklar!$G$48)+Ayarlar!$B$6*IF(Bitkiler!$H$27=Topraklar!$H$48,0,1))/Ayarlar!$B$7)+IF(Topraklar!$K$48=Bitkiler!$C$27,0.002,IF(Topraklar!$L$48="Evet",0.001,0)))</f>
        <v/>
      </c>
      <c r="AW28" s="16">
        <f>IF(OR(Topraklar!$J$49="Evet",AND(Topraklar!$L$49&lt;&gt;"Evet",Topraklar!$K$49&lt;&gt;Bitkiler!$C$27)),0,MAX(0,1-(Ayarlar!$B$2*ABS(Bitkiler!$D$27-Topraklar!$D$49)+Ayarlar!$B$3*ABS(Bitkiler!$E$27-Topraklar!$E$49)+Ayarlar!$B$4*ABS(Bitkiler!$F$27-Topraklar!$F$49)+Ayarlar!$B$5*ABS(Bitkiler!$G$27-Topraklar!$G$49)+Ayarlar!$B$6*IF(Bitkiler!$H$27=Topraklar!$H$49,0,1))/Ayarlar!$B$7)+IF(Topraklar!$K$49=Bitkiler!$C$27,0.002,IF(Topraklar!$L$49="Evet",0.001,0)))</f>
        <v/>
      </c>
      <c r="AX28" s="16">
        <f>IF(OR(Topraklar!$J$50="Evet",AND(Topraklar!$L$50&lt;&gt;"Evet",Topraklar!$K$50&lt;&gt;Bitkiler!$C$27)),0,MAX(0,1-(Ayarlar!$B$2*ABS(Bitkiler!$D$27-Topraklar!$D$50)+Ayarlar!$B$3*ABS(Bitkiler!$E$27-Topraklar!$E$50)+Ayarlar!$B$4*ABS(Bitkiler!$F$27-Topraklar!$F$50)+Ayarlar!$B$5*ABS(Bitkiler!$G$27-Topraklar!$G$50)+Ayarlar!$B$6*IF(Bitkiler!$H$27=Topraklar!$H$50,0,1))/Ayarlar!$B$7)+IF(Topraklar!$K$50=Bitkiler!$C$27,0.002,IF(Topraklar!$L$50="Evet",0.001,0)))</f>
        <v/>
      </c>
      <c r="AY28" s="16">
        <f>IF(OR(Topraklar!$J$51="Evet",AND(Topraklar!$L$51&lt;&gt;"Evet",Topraklar!$K$51&lt;&gt;Bitkiler!$C$27)),0,MAX(0,1-(Ayarlar!$B$2*ABS(Bitkiler!$D$27-Topraklar!$D$51)+Ayarlar!$B$3*ABS(Bitkiler!$E$27-Topraklar!$E$51)+Ayarlar!$B$4*ABS(Bitkiler!$F$27-Topraklar!$F$51)+Ayarlar!$B$5*ABS(Bitkiler!$G$27-Topraklar!$G$51)+Ayarlar!$B$6*IF(Bitkiler!$H$27=Topraklar!$H$51,0,1))/Ayarlar!$B$7)+IF(Topraklar!$K$51=Bitkiler!$C$27,0.002,IF(Topraklar!$L$51="Evet",0.001,0)))</f>
        <v/>
      </c>
    </row>
    <row r="29">
      <c r="A29" s="15">
        <f>Bitkiler!A28</f>
        <v/>
      </c>
      <c r="B29" s="16">
        <f>IF(OR(Topraklar!$J$2="Evet",AND(Topraklar!$L$2&lt;&gt;"Evet",Topraklar!$K$2&lt;&gt;Bitkiler!$C$28)),0,MAX(0,1-(Ayarlar!$B$2*ABS(Bitkiler!$D$28-Topraklar!$D$2)+Ayarlar!$B$3*ABS(Bitkiler!$E$28-Topraklar!$E$2)+Ayarlar!$B$4*ABS(Bitkiler!$F$28-Topraklar!$F$2)+Ayarlar!$B$5*ABS(Bitkiler!$G$28-Topraklar!$G$2)+Ayarlar!$B$6*IF(Bitkiler!$H$28=Topraklar!$H$2,0,1))/Ayarlar!$B$7)+IF(Topraklar!$K$2=Bitkiler!$C$28,0.002,IF(Topraklar!$L$2="Evet",0.001,0)))</f>
        <v/>
      </c>
      <c r="C29" s="16">
        <f>IF(OR(Topraklar!$J$3="Evet",AND(Topraklar!$L$3&lt;&gt;"Evet",Topraklar!$K$3&lt;&gt;Bitkiler!$C$28)),0,MAX(0,1-(Ayarlar!$B$2*ABS(Bitkiler!$D$28-Topraklar!$D$3)+Ayarlar!$B$3*ABS(Bitkiler!$E$28-Topraklar!$E$3)+Ayarlar!$B$4*ABS(Bitkiler!$F$28-Topraklar!$F$3)+Ayarlar!$B$5*ABS(Bitkiler!$G$28-Topraklar!$G$3)+Ayarlar!$B$6*IF(Bitkiler!$H$28=Topraklar!$H$3,0,1))/Ayarlar!$B$7)+IF(Topraklar!$K$3=Bitkiler!$C$28,0.002,IF(Topraklar!$L$3="Evet",0.001,0)))</f>
        <v/>
      </c>
      <c r="D29" s="16">
        <f>IF(OR(Topraklar!$J$4="Evet",AND(Topraklar!$L$4&lt;&gt;"Evet",Topraklar!$K$4&lt;&gt;Bitkiler!$C$28)),0,MAX(0,1-(Ayarlar!$B$2*ABS(Bitkiler!$D$28-Topraklar!$D$4)+Ayarlar!$B$3*ABS(Bitkiler!$E$28-Topraklar!$E$4)+Ayarlar!$B$4*ABS(Bitkiler!$F$28-Topraklar!$F$4)+Ayarlar!$B$5*ABS(Bitkiler!$G$28-Topraklar!$G$4)+Ayarlar!$B$6*IF(Bitkiler!$H$28=Topraklar!$H$4,0,1))/Ayarlar!$B$7)+IF(Topraklar!$K$4=Bitkiler!$C$28,0.002,IF(Topraklar!$L$4="Evet",0.001,0)))</f>
        <v/>
      </c>
      <c r="E29" s="16">
        <f>IF(OR(Topraklar!$J$5="Evet",AND(Topraklar!$L$5&lt;&gt;"Evet",Topraklar!$K$5&lt;&gt;Bitkiler!$C$28)),0,MAX(0,1-(Ayarlar!$B$2*ABS(Bitkiler!$D$28-Topraklar!$D$5)+Ayarlar!$B$3*ABS(Bitkiler!$E$28-Topraklar!$E$5)+Ayarlar!$B$4*ABS(Bitkiler!$F$28-Topraklar!$F$5)+Ayarlar!$B$5*ABS(Bitkiler!$G$28-Topraklar!$G$5)+Ayarlar!$B$6*IF(Bitkiler!$H$28=Topraklar!$H$5,0,1))/Ayarlar!$B$7)+IF(Topraklar!$K$5=Bitkiler!$C$28,0.002,IF(Topraklar!$L$5="Evet",0.001,0)))</f>
        <v/>
      </c>
      <c r="F29" s="16">
        <f>IF(OR(Topraklar!$J$6="Evet",AND(Topraklar!$L$6&lt;&gt;"Evet",Topraklar!$K$6&lt;&gt;Bitkiler!$C$28)),0,MAX(0,1-(Ayarlar!$B$2*ABS(Bitkiler!$D$28-Topraklar!$D$6)+Ayarlar!$B$3*ABS(Bitkiler!$E$28-Topraklar!$E$6)+Ayarlar!$B$4*ABS(Bitkiler!$F$28-Topraklar!$F$6)+Ayarlar!$B$5*ABS(Bitkiler!$G$28-Topraklar!$G$6)+Ayarlar!$B$6*IF(Bitkiler!$H$28=Topraklar!$H$6,0,1))/Ayarlar!$B$7)+IF(Topraklar!$K$6=Bitkiler!$C$28,0.002,IF(Topraklar!$L$6="Evet",0.001,0)))</f>
        <v/>
      </c>
      <c r="G29" s="16">
        <f>IF(OR(Topraklar!$J$7="Evet",AND(Topraklar!$L$7&lt;&gt;"Evet",Topraklar!$K$7&lt;&gt;Bitkiler!$C$28)),0,MAX(0,1-(Ayarlar!$B$2*ABS(Bitkiler!$D$28-Topraklar!$D$7)+Ayarlar!$B$3*ABS(Bitkiler!$E$28-Topraklar!$E$7)+Ayarlar!$B$4*ABS(Bitkiler!$F$28-Topraklar!$F$7)+Ayarlar!$B$5*ABS(Bitkiler!$G$28-Topraklar!$G$7)+Ayarlar!$B$6*IF(Bitkiler!$H$28=Topraklar!$H$7,0,1))/Ayarlar!$B$7)+IF(Topraklar!$K$7=Bitkiler!$C$28,0.002,IF(Topraklar!$L$7="Evet",0.001,0)))</f>
        <v/>
      </c>
      <c r="H29" s="16">
        <f>IF(OR(Topraklar!$J$8="Evet",AND(Topraklar!$L$8&lt;&gt;"Evet",Topraklar!$K$8&lt;&gt;Bitkiler!$C$28)),0,MAX(0,1-(Ayarlar!$B$2*ABS(Bitkiler!$D$28-Topraklar!$D$8)+Ayarlar!$B$3*ABS(Bitkiler!$E$28-Topraklar!$E$8)+Ayarlar!$B$4*ABS(Bitkiler!$F$28-Topraklar!$F$8)+Ayarlar!$B$5*ABS(Bitkiler!$G$28-Topraklar!$G$8)+Ayarlar!$B$6*IF(Bitkiler!$H$28=Topraklar!$H$8,0,1))/Ayarlar!$B$7)+IF(Topraklar!$K$8=Bitkiler!$C$28,0.002,IF(Topraklar!$L$8="Evet",0.001,0)))</f>
        <v/>
      </c>
      <c r="I29" s="16">
        <f>IF(OR(Topraklar!$J$9="Evet",AND(Topraklar!$L$9&lt;&gt;"Evet",Topraklar!$K$9&lt;&gt;Bitkiler!$C$28)),0,MAX(0,1-(Ayarlar!$B$2*ABS(Bitkiler!$D$28-Topraklar!$D$9)+Ayarlar!$B$3*ABS(Bitkiler!$E$28-Topraklar!$E$9)+Ayarlar!$B$4*ABS(Bitkiler!$F$28-Topraklar!$F$9)+Ayarlar!$B$5*ABS(Bitkiler!$G$28-Topraklar!$G$9)+Ayarlar!$B$6*IF(Bitkiler!$H$28=Topraklar!$H$9,0,1))/Ayarlar!$B$7)+IF(Topraklar!$K$9=Bitkiler!$C$28,0.002,IF(Topraklar!$L$9="Evet",0.001,0)))</f>
        <v/>
      </c>
      <c r="J29" s="16">
        <f>IF(OR(Topraklar!$J$10="Evet",AND(Topraklar!$L$10&lt;&gt;"Evet",Topraklar!$K$10&lt;&gt;Bitkiler!$C$28)),0,MAX(0,1-(Ayarlar!$B$2*ABS(Bitkiler!$D$28-Topraklar!$D$10)+Ayarlar!$B$3*ABS(Bitkiler!$E$28-Topraklar!$E$10)+Ayarlar!$B$4*ABS(Bitkiler!$F$28-Topraklar!$F$10)+Ayarlar!$B$5*ABS(Bitkiler!$G$28-Topraklar!$G$10)+Ayarlar!$B$6*IF(Bitkiler!$H$28=Topraklar!$H$10,0,1))/Ayarlar!$B$7)+IF(Topraklar!$K$10=Bitkiler!$C$28,0.002,IF(Topraklar!$L$10="Evet",0.001,0)))</f>
        <v/>
      </c>
      <c r="K29" s="16">
        <f>IF(OR(Topraklar!$J$11="Evet",AND(Topraklar!$L$11&lt;&gt;"Evet",Topraklar!$K$11&lt;&gt;Bitkiler!$C$28)),0,MAX(0,1-(Ayarlar!$B$2*ABS(Bitkiler!$D$28-Topraklar!$D$11)+Ayarlar!$B$3*ABS(Bitkiler!$E$28-Topraklar!$E$11)+Ayarlar!$B$4*ABS(Bitkiler!$F$28-Topraklar!$F$11)+Ayarlar!$B$5*ABS(Bitkiler!$G$28-Topraklar!$G$11)+Ayarlar!$B$6*IF(Bitkiler!$H$28=Topraklar!$H$11,0,1))/Ayarlar!$B$7)+IF(Topraklar!$K$11=Bitkiler!$C$28,0.002,IF(Topraklar!$L$11="Evet",0.001,0)))</f>
        <v/>
      </c>
      <c r="L29" s="16">
        <f>IF(OR(Topraklar!$J$12="Evet",AND(Topraklar!$L$12&lt;&gt;"Evet",Topraklar!$K$12&lt;&gt;Bitkiler!$C$28)),0,MAX(0,1-(Ayarlar!$B$2*ABS(Bitkiler!$D$28-Topraklar!$D$12)+Ayarlar!$B$3*ABS(Bitkiler!$E$28-Topraklar!$E$12)+Ayarlar!$B$4*ABS(Bitkiler!$F$28-Topraklar!$F$12)+Ayarlar!$B$5*ABS(Bitkiler!$G$28-Topraklar!$G$12)+Ayarlar!$B$6*IF(Bitkiler!$H$28=Topraklar!$H$12,0,1))/Ayarlar!$B$7)+IF(Topraklar!$K$12=Bitkiler!$C$28,0.002,IF(Topraklar!$L$12="Evet",0.001,0)))</f>
        <v/>
      </c>
      <c r="M29" s="16">
        <f>IF(OR(Topraklar!$J$13="Evet",AND(Topraklar!$L$13&lt;&gt;"Evet",Topraklar!$K$13&lt;&gt;Bitkiler!$C$28)),0,MAX(0,1-(Ayarlar!$B$2*ABS(Bitkiler!$D$28-Topraklar!$D$13)+Ayarlar!$B$3*ABS(Bitkiler!$E$28-Topraklar!$E$13)+Ayarlar!$B$4*ABS(Bitkiler!$F$28-Topraklar!$F$13)+Ayarlar!$B$5*ABS(Bitkiler!$G$28-Topraklar!$G$13)+Ayarlar!$B$6*IF(Bitkiler!$H$28=Topraklar!$H$13,0,1))/Ayarlar!$B$7)+IF(Topraklar!$K$13=Bitkiler!$C$28,0.002,IF(Topraklar!$L$13="Evet",0.001,0)))</f>
        <v/>
      </c>
      <c r="N29" s="16">
        <f>IF(OR(Topraklar!$J$14="Evet",AND(Topraklar!$L$14&lt;&gt;"Evet",Topraklar!$K$14&lt;&gt;Bitkiler!$C$28)),0,MAX(0,1-(Ayarlar!$B$2*ABS(Bitkiler!$D$28-Topraklar!$D$14)+Ayarlar!$B$3*ABS(Bitkiler!$E$28-Topraklar!$E$14)+Ayarlar!$B$4*ABS(Bitkiler!$F$28-Topraklar!$F$14)+Ayarlar!$B$5*ABS(Bitkiler!$G$28-Topraklar!$G$14)+Ayarlar!$B$6*IF(Bitkiler!$H$28=Topraklar!$H$14,0,1))/Ayarlar!$B$7)+IF(Topraklar!$K$14=Bitkiler!$C$28,0.002,IF(Topraklar!$L$14="Evet",0.001,0)))</f>
        <v/>
      </c>
      <c r="O29" s="16">
        <f>IF(OR(Topraklar!$J$15="Evet",AND(Topraklar!$L$15&lt;&gt;"Evet",Topraklar!$K$15&lt;&gt;Bitkiler!$C$28)),0,MAX(0,1-(Ayarlar!$B$2*ABS(Bitkiler!$D$28-Topraklar!$D$15)+Ayarlar!$B$3*ABS(Bitkiler!$E$28-Topraklar!$E$15)+Ayarlar!$B$4*ABS(Bitkiler!$F$28-Topraklar!$F$15)+Ayarlar!$B$5*ABS(Bitkiler!$G$28-Topraklar!$G$15)+Ayarlar!$B$6*IF(Bitkiler!$H$28=Topraklar!$H$15,0,1))/Ayarlar!$B$7)+IF(Topraklar!$K$15=Bitkiler!$C$28,0.002,IF(Topraklar!$L$15="Evet",0.001,0)))</f>
        <v/>
      </c>
      <c r="P29" s="16">
        <f>IF(OR(Topraklar!$J$16="Evet",AND(Topraklar!$L$16&lt;&gt;"Evet",Topraklar!$K$16&lt;&gt;Bitkiler!$C$28)),0,MAX(0,1-(Ayarlar!$B$2*ABS(Bitkiler!$D$28-Topraklar!$D$16)+Ayarlar!$B$3*ABS(Bitkiler!$E$28-Topraklar!$E$16)+Ayarlar!$B$4*ABS(Bitkiler!$F$28-Topraklar!$F$16)+Ayarlar!$B$5*ABS(Bitkiler!$G$28-Topraklar!$G$16)+Ayarlar!$B$6*IF(Bitkiler!$H$28=Topraklar!$H$16,0,1))/Ayarlar!$B$7)+IF(Topraklar!$K$16=Bitkiler!$C$28,0.002,IF(Topraklar!$L$16="Evet",0.001,0)))</f>
        <v/>
      </c>
      <c r="Q29" s="16">
        <f>IF(OR(Topraklar!$J$17="Evet",AND(Topraklar!$L$17&lt;&gt;"Evet",Topraklar!$K$17&lt;&gt;Bitkiler!$C$28)),0,MAX(0,1-(Ayarlar!$B$2*ABS(Bitkiler!$D$28-Topraklar!$D$17)+Ayarlar!$B$3*ABS(Bitkiler!$E$28-Topraklar!$E$17)+Ayarlar!$B$4*ABS(Bitkiler!$F$28-Topraklar!$F$17)+Ayarlar!$B$5*ABS(Bitkiler!$G$28-Topraklar!$G$17)+Ayarlar!$B$6*IF(Bitkiler!$H$28=Topraklar!$H$17,0,1))/Ayarlar!$B$7)+IF(Topraklar!$K$17=Bitkiler!$C$28,0.002,IF(Topraklar!$L$17="Evet",0.001,0)))</f>
        <v/>
      </c>
      <c r="R29" s="16">
        <f>IF(OR(Topraklar!$J$18="Evet",AND(Topraklar!$L$18&lt;&gt;"Evet",Topraklar!$K$18&lt;&gt;Bitkiler!$C$28)),0,MAX(0,1-(Ayarlar!$B$2*ABS(Bitkiler!$D$28-Topraklar!$D$18)+Ayarlar!$B$3*ABS(Bitkiler!$E$28-Topraklar!$E$18)+Ayarlar!$B$4*ABS(Bitkiler!$F$28-Topraklar!$F$18)+Ayarlar!$B$5*ABS(Bitkiler!$G$28-Topraklar!$G$18)+Ayarlar!$B$6*IF(Bitkiler!$H$28=Topraklar!$H$18,0,1))/Ayarlar!$B$7)+IF(Topraklar!$K$18=Bitkiler!$C$28,0.002,IF(Topraklar!$L$18="Evet",0.001,0)))</f>
        <v/>
      </c>
      <c r="S29" s="16">
        <f>IF(OR(Topraklar!$J$19="Evet",AND(Topraklar!$L$19&lt;&gt;"Evet",Topraklar!$K$19&lt;&gt;Bitkiler!$C$28)),0,MAX(0,1-(Ayarlar!$B$2*ABS(Bitkiler!$D$28-Topraklar!$D$19)+Ayarlar!$B$3*ABS(Bitkiler!$E$28-Topraklar!$E$19)+Ayarlar!$B$4*ABS(Bitkiler!$F$28-Topraklar!$F$19)+Ayarlar!$B$5*ABS(Bitkiler!$G$28-Topraklar!$G$19)+Ayarlar!$B$6*IF(Bitkiler!$H$28=Topraklar!$H$19,0,1))/Ayarlar!$B$7)+IF(Topraklar!$K$19=Bitkiler!$C$28,0.002,IF(Topraklar!$L$19="Evet",0.001,0)))</f>
        <v/>
      </c>
      <c r="T29" s="16">
        <f>IF(OR(Topraklar!$J$20="Evet",AND(Topraklar!$L$20&lt;&gt;"Evet",Topraklar!$K$20&lt;&gt;Bitkiler!$C$28)),0,MAX(0,1-(Ayarlar!$B$2*ABS(Bitkiler!$D$28-Topraklar!$D$20)+Ayarlar!$B$3*ABS(Bitkiler!$E$28-Topraklar!$E$20)+Ayarlar!$B$4*ABS(Bitkiler!$F$28-Topraklar!$F$20)+Ayarlar!$B$5*ABS(Bitkiler!$G$28-Topraklar!$G$20)+Ayarlar!$B$6*IF(Bitkiler!$H$28=Topraklar!$H$20,0,1))/Ayarlar!$B$7)+IF(Topraklar!$K$20=Bitkiler!$C$28,0.002,IF(Topraklar!$L$20="Evet",0.001,0)))</f>
        <v/>
      </c>
      <c r="U29" s="16">
        <f>IF(OR(Topraklar!$J$21="Evet",AND(Topraklar!$L$21&lt;&gt;"Evet",Topraklar!$K$21&lt;&gt;Bitkiler!$C$28)),0,MAX(0,1-(Ayarlar!$B$2*ABS(Bitkiler!$D$28-Topraklar!$D$21)+Ayarlar!$B$3*ABS(Bitkiler!$E$28-Topraklar!$E$21)+Ayarlar!$B$4*ABS(Bitkiler!$F$28-Topraklar!$F$21)+Ayarlar!$B$5*ABS(Bitkiler!$G$28-Topraklar!$G$21)+Ayarlar!$B$6*IF(Bitkiler!$H$28=Topraklar!$H$21,0,1))/Ayarlar!$B$7)+IF(Topraklar!$K$21=Bitkiler!$C$28,0.002,IF(Topraklar!$L$21="Evet",0.001,0)))</f>
        <v/>
      </c>
      <c r="V29" s="16">
        <f>IF(OR(Topraklar!$J$22="Evet",AND(Topraklar!$L$22&lt;&gt;"Evet",Topraklar!$K$22&lt;&gt;Bitkiler!$C$28)),0,MAX(0,1-(Ayarlar!$B$2*ABS(Bitkiler!$D$28-Topraklar!$D$22)+Ayarlar!$B$3*ABS(Bitkiler!$E$28-Topraklar!$E$22)+Ayarlar!$B$4*ABS(Bitkiler!$F$28-Topraklar!$F$22)+Ayarlar!$B$5*ABS(Bitkiler!$G$28-Topraklar!$G$22)+Ayarlar!$B$6*IF(Bitkiler!$H$28=Topraklar!$H$22,0,1))/Ayarlar!$B$7)+IF(Topraklar!$K$22=Bitkiler!$C$28,0.002,IF(Topraklar!$L$22="Evet",0.001,0)))</f>
        <v/>
      </c>
      <c r="W29" s="16">
        <f>IF(OR(Topraklar!$J$23="Evet",AND(Topraklar!$L$23&lt;&gt;"Evet",Topraklar!$K$23&lt;&gt;Bitkiler!$C$28)),0,MAX(0,1-(Ayarlar!$B$2*ABS(Bitkiler!$D$28-Topraklar!$D$23)+Ayarlar!$B$3*ABS(Bitkiler!$E$28-Topraklar!$E$23)+Ayarlar!$B$4*ABS(Bitkiler!$F$28-Topraklar!$F$23)+Ayarlar!$B$5*ABS(Bitkiler!$G$28-Topraklar!$G$23)+Ayarlar!$B$6*IF(Bitkiler!$H$28=Topraklar!$H$23,0,1))/Ayarlar!$B$7)+IF(Topraklar!$K$23=Bitkiler!$C$28,0.002,IF(Topraklar!$L$23="Evet",0.001,0)))</f>
        <v/>
      </c>
      <c r="X29" s="16">
        <f>IF(OR(Topraklar!$J$24="Evet",AND(Topraklar!$L$24&lt;&gt;"Evet",Topraklar!$K$24&lt;&gt;Bitkiler!$C$28)),0,MAX(0,1-(Ayarlar!$B$2*ABS(Bitkiler!$D$28-Topraklar!$D$24)+Ayarlar!$B$3*ABS(Bitkiler!$E$28-Topraklar!$E$24)+Ayarlar!$B$4*ABS(Bitkiler!$F$28-Topraklar!$F$24)+Ayarlar!$B$5*ABS(Bitkiler!$G$28-Topraklar!$G$24)+Ayarlar!$B$6*IF(Bitkiler!$H$28=Topraklar!$H$24,0,1))/Ayarlar!$B$7)+IF(Topraklar!$K$24=Bitkiler!$C$28,0.002,IF(Topraklar!$L$24="Evet",0.001,0)))</f>
        <v/>
      </c>
      <c r="Y29" s="16">
        <f>IF(OR(Topraklar!$J$25="Evet",AND(Topraklar!$L$25&lt;&gt;"Evet",Topraklar!$K$25&lt;&gt;Bitkiler!$C$28)),0,MAX(0,1-(Ayarlar!$B$2*ABS(Bitkiler!$D$28-Topraklar!$D$25)+Ayarlar!$B$3*ABS(Bitkiler!$E$28-Topraklar!$E$25)+Ayarlar!$B$4*ABS(Bitkiler!$F$28-Topraklar!$F$25)+Ayarlar!$B$5*ABS(Bitkiler!$G$28-Topraklar!$G$25)+Ayarlar!$B$6*IF(Bitkiler!$H$28=Topraklar!$H$25,0,1))/Ayarlar!$B$7)+IF(Topraklar!$K$25=Bitkiler!$C$28,0.002,IF(Topraklar!$L$25="Evet",0.001,0)))</f>
        <v/>
      </c>
      <c r="Z29" s="16">
        <f>IF(OR(Topraklar!$J$26="Evet",AND(Topraklar!$L$26&lt;&gt;"Evet",Topraklar!$K$26&lt;&gt;Bitkiler!$C$28)),0,MAX(0,1-(Ayarlar!$B$2*ABS(Bitkiler!$D$28-Topraklar!$D$26)+Ayarlar!$B$3*ABS(Bitkiler!$E$28-Topraklar!$E$26)+Ayarlar!$B$4*ABS(Bitkiler!$F$28-Topraklar!$F$26)+Ayarlar!$B$5*ABS(Bitkiler!$G$28-Topraklar!$G$26)+Ayarlar!$B$6*IF(Bitkiler!$H$28=Topraklar!$H$26,0,1))/Ayarlar!$B$7)+IF(Topraklar!$K$26=Bitkiler!$C$28,0.002,IF(Topraklar!$L$26="Evet",0.001,0)))</f>
        <v/>
      </c>
      <c r="AA29" s="16">
        <f>IF(OR(Topraklar!$J$27="Evet",AND(Topraklar!$L$27&lt;&gt;"Evet",Topraklar!$K$27&lt;&gt;Bitkiler!$C$28)),0,MAX(0,1-(Ayarlar!$B$2*ABS(Bitkiler!$D$28-Topraklar!$D$27)+Ayarlar!$B$3*ABS(Bitkiler!$E$28-Topraklar!$E$27)+Ayarlar!$B$4*ABS(Bitkiler!$F$28-Topraklar!$F$27)+Ayarlar!$B$5*ABS(Bitkiler!$G$28-Topraklar!$G$27)+Ayarlar!$B$6*IF(Bitkiler!$H$28=Topraklar!$H$27,0,1))/Ayarlar!$B$7)+IF(Topraklar!$K$27=Bitkiler!$C$28,0.002,IF(Topraklar!$L$27="Evet",0.001,0)))</f>
        <v/>
      </c>
      <c r="AB29" s="16">
        <f>IF(OR(Topraklar!$J$28="Evet",AND(Topraklar!$L$28&lt;&gt;"Evet",Topraklar!$K$28&lt;&gt;Bitkiler!$C$28)),0,MAX(0,1-(Ayarlar!$B$2*ABS(Bitkiler!$D$28-Topraklar!$D$28)+Ayarlar!$B$3*ABS(Bitkiler!$E$28-Topraklar!$E$28)+Ayarlar!$B$4*ABS(Bitkiler!$F$28-Topraklar!$F$28)+Ayarlar!$B$5*ABS(Bitkiler!$G$28-Topraklar!$G$28)+Ayarlar!$B$6*IF(Bitkiler!$H$28=Topraklar!$H$28,0,1))/Ayarlar!$B$7)+IF(Topraklar!$K$28=Bitkiler!$C$28,0.002,IF(Topraklar!$L$28="Evet",0.001,0)))</f>
        <v/>
      </c>
      <c r="AC29" s="16">
        <f>IF(OR(Topraklar!$J$29="Evet",AND(Topraklar!$L$29&lt;&gt;"Evet",Topraklar!$K$29&lt;&gt;Bitkiler!$C$28)),0,MAX(0,1-(Ayarlar!$B$2*ABS(Bitkiler!$D$28-Topraklar!$D$29)+Ayarlar!$B$3*ABS(Bitkiler!$E$28-Topraklar!$E$29)+Ayarlar!$B$4*ABS(Bitkiler!$F$28-Topraklar!$F$29)+Ayarlar!$B$5*ABS(Bitkiler!$G$28-Topraklar!$G$29)+Ayarlar!$B$6*IF(Bitkiler!$H$28=Topraklar!$H$29,0,1))/Ayarlar!$B$7)+IF(Topraklar!$K$29=Bitkiler!$C$28,0.002,IF(Topraklar!$L$29="Evet",0.001,0)))</f>
        <v/>
      </c>
      <c r="AD29" s="16">
        <f>IF(OR(Topraklar!$J$30="Evet",AND(Topraklar!$L$30&lt;&gt;"Evet",Topraklar!$K$30&lt;&gt;Bitkiler!$C$28)),0,MAX(0,1-(Ayarlar!$B$2*ABS(Bitkiler!$D$28-Topraklar!$D$30)+Ayarlar!$B$3*ABS(Bitkiler!$E$28-Topraklar!$E$30)+Ayarlar!$B$4*ABS(Bitkiler!$F$28-Topraklar!$F$30)+Ayarlar!$B$5*ABS(Bitkiler!$G$28-Topraklar!$G$30)+Ayarlar!$B$6*IF(Bitkiler!$H$28=Topraklar!$H$30,0,1))/Ayarlar!$B$7)+IF(Topraklar!$K$30=Bitkiler!$C$28,0.002,IF(Topraklar!$L$30="Evet",0.001,0)))</f>
        <v/>
      </c>
      <c r="AE29" s="16">
        <f>IF(OR(Topraklar!$J$31="Evet",AND(Topraklar!$L$31&lt;&gt;"Evet",Topraklar!$K$31&lt;&gt;Bitkiler!$C$28)),0,MAX(0,1-(Ayarlar!$B$2*ABS(Bitkiler!$D$28-Topraklar!$D$31)+Ayarlar!$B$3*ABS(Bitkiler!$E$28-Topraklar!$E$31)+Ayarlar!$B$4*ABS(Bitkiler!$F$28-Topraklar!$F$31)+Ayarlar!$B$5*ABS(Bitkiler!$G$28-Topraklar!$G$31)+Ayarlar!$B$6*IF(Bitkiler!$H$28=Topraklar!$H$31,0,1))/Ayarlar!$B$7)+IF(Topraklar!$K$31=Bitkiler!$C$28,0.002,IF(Topraklar!$L$31="Evet",0.001,0)))</f>
        <v/>
      </c>
      <c r="AF29" s="16">
        <f>IF(OR(Topraklar!$J$32="Evet",AND(Topraklar!$L$32&lt;&gt;"Evet",Topraklar!$K$32&lt;&gt;Bitkiler!$C$28)),0,MAX(0,1-(Ayarlar!$B$2*ABS(Bitkiler!$D$28-Topraklar!$D$32)+Ayarlar!$B$3*ABS(Bitkiler!$E$28-Topraklar!$E$32)+Ayarlar!$B$4*ABS(Bitkiler!$F$28-Topraklar!$F$32)+Ayarlar!$B$5*ABS(Bitkiler!$G$28-Topraklar!$G$32)+Ayarlar!$B$6*IF(Bitkiler!$H$28=Topraklar!$H$32,0,1))/Ayarlar!$B$7)+IF(Topraklar!$K$32=Bitkiler!$C$28,0.002,IF(Topraklar!$L$32="Evet",0.001,0)))</f>
        <v/>
      </c>
      <c r="AG29" s="16">
        <f>IF(OR(Topraklar!$J$33="Evet",AND(Topraklar!$L$33&lt;&gt;"Evet",Topraklar!$K$33&lt;&gt;Bitkiler!$C$28)),0,MAX(0,1-(Ayarlar!$B$2*ABS(Bitkiler!$D$28-Topraklar!$D$33)+Ayarlar!$B$3*ABS(Bitkiler!$E$28-Topraklar!$E$33)+Ayarlar!$B$4*ABS(Bitkiler!$F$28-Topraklar!$F$33)+Ayarlar!$B$5*ABS(Bitkiler!$G$28-Topraklar!$G$33)+Ayarlar!$B$6*IF(Bitkiler!$H$28=Topraklar!$H$33,0,1))/Ayarlar!$B$7)+IF(Topraklar!$K$33=Bitkiler!$C$28,0.002,IF(Topraklar!$L$33="Evet",0.001,0)))</f>
        <v/>
      </c>
      <c r="AH29" s="16">
        <f>IF(OR(Topraklar!$J$34="Evet",AND(Topraklar!$L$34&lt;&gt;"Evet",Topraklar!$K$34&lt;&gt;Bitkiler!$C$28)),0,MAX(0,1-(Ayarlar!$B$2*ABS(Bitkiler!$D$28-Topraklar!$D$34)+Ayarlar!$B$3*ABS(Bitkiler!$E$28-Topraklar!$E$34)+Ayarlar!$B$4*ABS(Bitkiler!$F$28-Topraklar!$F$34)+Ayarlar!$B$5*ABS(Bitkiler!$G$28-Topraklar!$G$34)+Ayarlar!$B$6*IF(Bitkiler!$H$28=Topraklar!$H$34,0,1))/Ayarlar!$B$7)+IF(Topraklar!$K$34=Bitkiler!$C$28,0.002,IF(Topraklar!$L$34="Evet",0.001,0)))</f>
        <v/>
      </c>
      <c r="AI29" s="16">
        <f>IF(OR(Topraklar!$J$35="Evet",AND(Topraklar!$L$35&lt;&gt;"Evet",Topraklar!$K$35&lt;&gt;Bitkiler!$C$28)),0,MAX(0,1-(Ayarlar!$B$2*ABS(Bitkiler!$D$28-Topraklar!$D$35)+Ayarlar!$B$3*ABS(Bitkiler!$E$28-Topraklar!$E$35)+Ayarlar!$B$4*ABS(Bitkiler!$F$28-Topraklar!$F$35)+Ayarlar!$B$5*ABS(Bitkiler!$G$28-Topraklar!$G$35)+Ayarlar!$B$6*IF(Bitkiler!$H$28=Topraklar!$H$35,0,1))/Ayarlar!$B$7)+IF(Topraklar!$K$35=Bitkiler!$C$28,0.002,IF(Topraklar!$L$35="Evet",0.001,0)))</f>
        <v/>
      </c>
      <c r="AJ29" s="16">
        <f>IF(OR(Topraklar!$J$36="Evet",AND(Topraklar!$L$36&lt;&gt;"Evet",Topraklar!$K$36&lt;&gt;Bitkiler!$C$28)),0,MAX(0,1-(Ayarlar!$B$2*ABS(Bitkiler!$D$28-Topraklar!$D$36)+Ayarlar!$B$3*ABS(Bitkiler!$E$28-Topraklar!$E$36)+Ayarlar!$B$4*ABS(Bitkiler!$F$28-Topraklar!$F$36)+Ayarlar!$B$5*ABS(Bitkiler!$G$28-Topraklar!$G$36)+Ayarlar!$B$6*IF(Bitkiler!$H$28=Topraklar!$H$36,0,1))/Ayarlar!$B$7)+IF(Topraklar!$K$36=Bitkiler!$C$28,0.002,IF(Topraklar!$L$36="Evet",0.001,0)))</f>
        <v/>
      </c>
      <c r="AK29" s="16">
        <f>IF(OR(Topraklar!$J$37="Evet",AND(Topraklar!$L$37&lt;&gt;"Evet",Topraklar!$K$37&lt;&gt;Bitkiler!$C$28)),0,MAX(0,1-(Ayarlar!$B$2*ABS(Bitkiler!$D$28-Topraklar!$D$37)+Ayarlar!$B$3*ABS(Bitkiler!$E$28-Topraklar!$E$37)+Ayarlar!$B$4*ABS(Bitkiler!$F$28-Topraklar!$F$37)+Ayarlar!$B$5*ABS(Bitkiler!$G$28-Topraklar!$G$37)+Ayarlar!$B$6*IF(Bitkiler!$H$28=Topraklar!$H$37,0,1))/Ayarlar!$B$7)+IF(Topraklar!$K$37=Bitkiler!$C$28,0.002,IF(Topraklar!$L$37="Evet",0.001,0)))</f>
        <v/>
      </c>
      <c r="AL29" s="16">
        <f>IF(OR(Topraklar!$J$38="Evet",AND(Topraklar!$L$38&lt;&gt;"Evet",Topraklar!$K$38&lt;&gt;Bitkiler!$C$28)),0,MAX(0,1-(Ayarlar!$B$2*ABS(Bitkiler!$D$28-Topraklar!$D$38)+Ayarlar!$B$3*ABS(Bitkiler!$E$28-Topraklar!$E$38)+Ayarlar!$B$4*ABS(Bitkiler!$F$28-Topraklar!$F$38)+Ayarlar!$B$5*ABS(Bitkiler!$G$28-Topraklar!$G$38)+Ayarlar!$B$6*IF(Bitkiler!$H$28=Topraklar!$H$38,0,1))/Ayarlar!$B$7)+IF(Topraklar!$K$38=Bitkiler!$C$28,0.002,IF(Topraklar!$L$38="Evet",0.001,0)))</f>
        <v/>
      </c>
      <c r="AM29" s="16">
        <f>IF(OR(Topraklar!$J$39="Evet",AND(Topraklar!$L$39&lt;&gt;"Evet",Topraklar!$K$39&lt;&gt;Bitkiler!$C$28)),0,MAX(0,1-(Ayarlar!$B$2*ABS(Bitkiler!$D$28-Topraklar!$D$39)+Ayarlar!$B$3*ABS(Bitkiler!$E$28-Topraklar!$E$39)+Ayarlar!$B$4*ABS(Bitkiler!$F$28-Topraklar!$F$39)+Ayarlar!$B$5*ABS(Bitkiler!$G$28-Topraklar!$G$39)+Ayarlar!$B$6*IF(Bitkiler!$H$28=Topraklar!$H$39,0,1))/Ayarlar!$B$7)+IF(Topraklar!$K$39=Bitkiler!$C$28,0.002,IF(Topraklar!$L$39="Evet",0.001,0)))</f>
        <v/>
      </c>
      <c r="AN29" s="16">
        <f>IF(OR(Topraklar!$J$40="Evet",AND(Topraklar!$L$40&lt;&gt;"Evet",Topraklar!$K$40&lt;&gt;Bitkiler!$C$28)),0,MAX(0,1-(Ayarlar!$B$2*ABS(Bitkiler!$D$28-Topraklar!$D$40)+Ayarlar!$B$3*ABS(Bitkiler!$E$28-Topraklar!$E$40)+Ayarlar!$B$4*ABS(Bitkiler!$F$28-Topraklar!$F$40)+Ayarlar!$B$5*ABS(Bitkiler!$G$28-Topraklar!$G$40)+Ayarlar!$B$6*IF(Bitkiler!$H$28=Topraklar!$H$40,0,1))/Ayarlar!$B$7)+IF(Topraklar!$K$40=Bitkiler!$C$28,0.002,IF(Topraklar!$L$40="Evet",0.001,0)))</f>
        <v/>
      </c>
      <c r="AO29" s="16">
        <f>IF(OR(Topraklar!$J$41="Evet",AND(Topraklar!$L$41&lt;&gt;"Evet",Topraklar!$K$41&lt;&gt;Bitkiler!$C$28)),0,MAX(0,1-(Ayarlar!$B$2*ABS(Bitkiler!$D$28-Topraklar!$D$41)+Ayarlar!$B$3*ABS(Bitkiler!$E$28-Topraklar!$E$41)+Ayarlar!$B$4*ABS(Bitkiler!$F$28-Topraklar!$F$41)+Ayarlar!$B$5*ABS(Bitkiler!$G$28-Topraklar!$G$41)+Ayarlar!$B$6*IF(Bitkiler!$H$28=Topraklar!$H$41,0,1))/Ayarlar!$B$7)+IF(Topraklar!$K$41=Bitkiler!$C$28,0.002,IF(Topraklar!$L$41="Evet",0.001,0)))</f>
        <v/>
      </c>
      <c r="AP29" s="16">
        <f>IF(OR(Topraklar!$J$42="Evet",AND(Topraklar!$L$42&lt;&gt;"Evet",Topraklar!$K$42&lt;&gt;Bitkiler!$C$28)),0,MAX(0,1-(Ayarlar!$B$2*ABS(Bitkiler!$D$28-Topraklar!$D$42)+Ayarlar!$B$3*ABS(Bitkiler!$E$28-Topraklar!$E$42)+Ayarlar!$B$4*ABS(Bitkiler!$F$28-Topraklar!$F$42)+Ayarlar!$B$5*ABS(Bitkiler!$G$28-Topraklar!$G$42)+Ayarlar!$B$6*IF(Bitkiler!$H$28=Topraklar!$H$42,0,1))/Ayarlar!$B$7)+IF(Topraklar!$K$42=Bitkiler!$C$28,0.002,IF(Topraklar!$L$42="Evet",0.001,0)))</f>
        <v/>
      </c>
      <c r="AQ29" s="16">
        <f>IF(OR(Topraklar!$J$43="Evet",AND(Topraklar!$L$43&lt;&gt;"Evet",Topraklar!$K$43&lt;&gt;Bitkiler!$C$28)),0,MAX(0,1-(Ayarlar!$B$2*ABS(Bitkiler!$D$28-Topraklar!$D$43)+Ayarlar!$B$3*ABS(Bitkiler!$E$28-Topraklar!$E$43)+Ayarlar!$B$4*ABS(Bitkiler!$F$28-Topraklar!$F$43)+Ayarlar!$B$5*ABS(Bitkiler!$G$28-Topraklar!$G$43)+Ayarlar!$B$6*IF(Bitkiler!$H$28=Topraklar!$H$43,0,1))/Ayarlar!$B$7)+IF(Topraklar!$K$43=Bitkiler!$C$28,0.002,IF(Topraklar!$L$43="Evet",0.001,0)))</f>
        <v/>
      </c>
      <c r="AR29" s="16">
        <f>IF(OR(Topraklar!$J$44="Evet",AND(Topraklar!$L$44&lt;&gt;"Evet",Topraklar!$K$44&lt;&gt;Bitkiler!$C$28)),0,MAX(0,1-(Ayarlar!$B$2*ABS(Bitkiler!$D$28-Topraklar!$D$44)+Ayarlar!$B$3*ABS(Bitkiler!$E$28-Topraklar!$E$44)+Ayarlar!$B$4*ABS(Bitkiler!$F$28-Topraklar!$F$44)+Ayarlar!$B$5*ABS(Bitkiler!$G$28-Topraklar!$G$44)+Ayarlar!$B$6*IF(Bitkiler!$H$28=Topraklar!$H$44,0,1))/Ayarlar!$B$7)+IF(Topraklar!$K$44=Bitkiler!$C$28,0.002,IF(Topraklar!$L$44="Evet",0.001,0)))</f>
        <v/>
      </c>
      <c r="AS29" s="16">
        <f>IF(OR(Topraklar!$J$45="Evet",AND(Topraklar!$L$45&lt;&gt;"Evet",Topraklar!$K$45&lt;&gt;Bitkiler!$C$28)),0,MAX(0,1-(Ayarlar!$B$2*ABS(Bitkiler!$D$28-Topraklar!$D$45)+Ayarlar!$B$3*ABS(Bitkiler!$E$28-Topraklar!$E$45)+Ayarlar!$B$4*ABS(Bitkiler!$F$28-Topraklar!$F$45)+Ayarlar!$B$5*ABS(Bitkiler!$G$28-Topraklar!$G$45)+Ayarlar!$B$6*IF(Bitkiler!$H$28=Topraklar!$H$45,0,1))/Ayarlar!$B$7)+IF(Topraklar!$K$45=Bitkiler!$C$28,0.002,IF(Topraklar!$L$45="Evet",0.001,0)))</f>
        <v/>
      </c>
      <c r="AT29" s="16">
        <f>IF(OR(Topraklar!$J$46="Evet",AND(Topraklar!$L$46&lt;&gt;"Evet",Topraklar!$K$46&lt;&gt;Bitkiler!$C$28)),0,MAX(0,1-(Ayarlar!$B$2*ABS(Bitkiler!$D$28-Topraklar!$D$46)+Ayarlar!$B$3*ABS(Bitkiler!$E$28-Topraklar!$E$46)+Ayarlar!$B$4*ABS(Bitkiler!$F$28-Topraklar!$F$46)+Ayarlar!$B$5*ABS(Bitkiler!$G$28-Topraklar!$G$46)+Ayarlar!$B$6*IF(Bitkiler!$H$28=Topraklar!$H$46,0,1))/Ayarlar!$B$7)+IF(Topraklar!$K$46=Bitkiler!$C$28,0.002,IF(Topraklar!$L$46="Evet",0.001,0)))</f>
        <v/>
      </c>
      <c r="AU29" s="16">
        <f>IF(OR(Topraklar!$J$47="Evet",AND(Topraklar!$L$47&lt;&gt;"Evet",Topraklar!$K$47&lt;&gt;Bitkiler!$C$28)),0,MAX(0,1-(Ayarlar!$B$2*ABS(Bitkiler!$D$28-Topraklar!$D$47)+Ayarlar!$B$3*ABS(Bitkiler!$E$28-Topraklar!$E$47)+Ayarlar!$B$4*ABS(Bitkiler!$F$28-Topraklar!$F$47)+Ayarlar!$B$5*ABS(Bitkiler!$G$28-Topraklar!$G$47)+Ayarlar!$B$6*IF(Bitkiler!$H$28=Topraklar!$H$47,0,1))/Ayarlar!$B$7)+IF(Topraklar!$K$47=Bitkiler!$C$28,0.002,IF(Topraklar!$L$47="Evet",0.001,0)))</f>
        <v/>
      </c>
      <c r="AV29" s="16">
        <f>IF(OR(Topraklar!$J$48="Evet",AND(Topraklar!$L$48&lt;&gt;"Evet",Topraklar!$K$48&lt;&gt;Bitkiler!$C$28)),0,MAX(0,1-(Ayarlar!$B$2*ABS(Bitkiler!$D$28-Topraklar!$D$48)+Ayarlar!$B$3*ABS(Bitkiler!$E$28-Topraklar!$E$48)+Ayarlar!$B$4*ABS(Bitkiler!$F$28-Topraklar!$F$48)+Ayarlar!$B$5*ABS(Bitkiler!$G$28-Topraklar!$G$48)+Ayarlar!$B$6*IF(Bitkiler!$H$28=Topraklar!$H$48,0,1))/Ayarlar!$B$7)+IF(Topraklar!$K$48=Bitkiler!$C$28,0.002,IF(Topraklar!$L$48="Evet",0.001,0)))</f>
        <v/>
      </c>
      <c r="AW29" s="16">
        <f>IF(OR(Topraklar!$J$49="Evet",AND(Topraklar!$L$49&lt;&gt;"Evet",Topraklar!$K$49&lt;&gt;Bitkiler!$C$28)),0,MAX(0,1-(Ayarlar!$B$2*ABS(Bitkiler!$D$28-Topraklar!$D$49)+Ayarlar!$B$3*ABS(Bitkiler!$E$28-Topraklar!$E$49)+Ayarlar!$B$4*ABS(Bitkiler!$F$28-Topraklar!$F$49)+Ayarlar!$B$5*ABS(Bitkiler!$G$28-Topraklar!$G$49)+Ayarlar!$B$6*IF(Bitkiler!$H$28=Topraklar!$H$49,0,1))/Ayarlar!$B$7)+IF(Topraklar!$K$49=Bitkiler!$C$28,0.002,IF(Topraklar!$L$49="Evet",0.001,0)))</f>
        <v/>
      </c>
      <c r="AX29" s="16">
        <f>IF(OR(Topraklar!$J$50="Evet",AND(Topraklar!$L$50&lt;&gt;"Evet",Topraklar!$K$50&lt;&gt;Bitkiler!$C$28)),0,MAX(0,1-(Ayarlar!$B$2*ABS(Bitkiler!$D$28-Topraklar!$D$50)+Ayarlar!$B$3*ABS(Bitkiler!$E$28-Topraklar!$E$50)+Ayarlar!$B$4*ABS(Bitkiler!$F$28-Topraklar!$F$50)+Ayarlar!$B$5*ABS(Bitkiler!$G$28-Topraklar!$G$50)+Ayarlar!$B$6*IF(Bitkiler!$H$28=Topraklar!$H$50,0,1))/Ayarlar!$B$7)+IF(Topraklar!$K$50=Bitkiler!$C$28,0.002,IF(Topraklar!$L$50="Evet",0.001,0)))</f>
        <v/>
      </c>
      <c r="AY29" s="16">
        <f>IF(OR(Topraklar!$J$51="Evet",AND(Topraklar!$L$51&lt;&gt;"Evet",Topraklar!$K$51&lt;&gt;Bitkiler!$C$28)),0,MAX(0,1-(Ayarlar!$B$2*ABS(Bitkiler!$D$28-Topraklar!$D$51)+Ayarlar!$B$3*ABS(Bitkiler!$E$28-Topraklar!$E$51)+Ayarlar!$B$4*ABS(Bitkiler!$F$28-Topraklar!$F$51)+Ayarlar!$B$5*ABS(Bitkiler!$G$28-Topraklar!$G$51)+Ayarlar!$B$6*IF(Bitkiler!$H$28=Topraklar!$H$51,0,1))/Ayarlar!$B$7)+IF(Topraklar!$K$51=Bitkiler!$C$28,0.002,IF(Topraklar!$L$51="Evet",0.001,0)))</f>
        <v/>
      </c>
    </row>
    <row r="30">
      <c r="A30" s="15">
        <f>Bitkiler!A29</f>
        <v/>
      </c>
      <c r="B30" s="16">
        <f>IF(OR(Topraklar!$J$2="Evet",AND(Topraklar!$L$2&lt;&gt;"Evet",Topraklar!$K$2&lt;&gt;Bitkiler!$C$29)),0,MAX(0,1-(Ayarlar!$B$2*ABS(Bitkiler!$D$29-Topraklar!$D$2)+Ayarlar!$B$3*ABS(Bitkiler!$E$29-Topraklar!$E$2)+Ayarlar!$B$4*ABS(Bitkiler!$F$29-Topraklar!$F$2)+Ayarlar!$B$5*ABS(Bitkiler!$G$29-Topraklar!$G$2)+Ayarlar!$B$6*IF(Bitkiler!$H$29=Topraklar!$H$2,0,1))/Ayarlar!$B$7)+IF(Topraklar!$K$2=Bitkiler!$C$29,0.002,IF(Topraklar!$L$2="Evet",0.001,0)))</f>
        <v/>
      </c>
      <c r="C30" s="16">
        <f>IF(OR(Topraklar!$J$3="Evet",AND(Topraklar!$L$3&lt;&gt;"Evet",Topraklar!$K$3&lt;&gt;Bitkiler!$C$29)),0,MAX(0,1-(Ayarlar!$B$2*ABS(Bitkiler!$D$29-Topraklar!$D$3)+Ayarlar!$B$3*ABS(Bitkiler!$E$29-Topraklar!$E$3)+Ayarlar!$B$4*ABS(Bitkiler!$F$29-Topraklar!$F$3)+Ayarlar!$B$5*ABS(Bitkiler!$G$29-Topraklar!$G$3)+Ayarlar!$B$6*IF(Bitkiler!$H$29=Topraklar!$H$3,0,1))/Ayarlar!$B$7)+IF(Topraklar!$K$3=Bitkiler!$C$29,0.002,IF(Topraklar!$L$3="Evet",0.001,0)))</f>
        <v/>
      </c>
      <c r="D30" s="16">
        <f>IF(OR(Topraklar!$J$4="Evet",AND(Topraklar!$L$4&lt;&gt;"Evet",Topraklar!$K$4&lt;&gt;Bitkiler!$C$29)),0,MAX(0,1-(Ayarlar!$B$2*ABS(Bitkiler!$D$29-Topraklar!$D$4)+Ayarlar!$B$3*ABS(Bitkiler!$E$29-Topraklar!$E$4)+Ayarlar!$B$4*ABS(Bitkiler!$F$29-Topraklar!$F$4)+Ayarlar!$B$5*ABS(Bitkiler!$G$29-Topraklar!$G$4)+Ayarlar!$B$6*IF(Bitkiler!$H$29=Topraklar!$H$4,0,1))/Ayarlar!$B$7)+IF(Topraklar!$K$4=Bitkiler!$C$29,0.002,IF(Topraklar!$L$4="Evet",0.001,0)))</f>
        <v/>
      </c>
      <c r="E30" s="16">
        <f>IF(OR(Topraklar!$J$5="Evet",AND(Topraklar!$L$5&lt;&gt;"Evet",Topraklar!$K$5&lt;&gt;Bitkiler!$C$29)),0,MAX(0,1-(Ayarlar!$B$2*ABS(Bitkiler!$D$29-Topraklar!$D$5)+Ayarlar!$B$3*ABS(Bitkiler!$E$29-Topraklar!$E$5)+Ayarlar!$B$4*ABS(Bitkiler!$F$29-Topraklar!$F$5)+Ayarlar!$B$5*ABS(Bitkiler!$G$29-Topraklar!$G$5)+Ayarlar!$B$6*IF(Bitkiler!$H$29=Topraklar!$H$5,0,1))/Ayarlar!$B$7)+IF(Topraklar!$K$5=Bitkiler!$C$29,0.002,IF(Topraklar!$L$5="Evet",0.001,0)))</f>
        <v/>
      </c>
      <c r="F30" s="16">
        <f>IF(OR(Topraklar!$J$6="Evet",AND(Topraklar!$L$6&lt;&gt;"Evet",Topraklar!$K$6&lt;&gt;Bitkiler!$C$29)),0,MAX(0,1-(Ayarlar!$B$2*ABS(Bitkiler!$D$29-Topraklar!$D$6)+Ayarlar!$B$3*ABS(Bitkiler!$E$29-Topraklar!$E$6)+Ayarlar!$B$4*ABS(Bitkiler!$F$29-Topraklar!$F$6)+Ayarlar!$B$5*ABS(Bitkiler!$G$29-Topraklar!$G$6)+Ayarlar!$B$6*IF(Bitkiler!$H$29=Topraklar!$H$6,0,1))/Ayarlar!$B$7)+IF(Topraklar!$K$6=Bitkiler!$C$29,0.002,IF(Topraklar!$L$6="Evet",0.001,0)))</f>
        <v/>
      </c>
      <c r="G30" s="16">
        <f>IF(OR(Topraklar!$J$7="Evet",AND(Topraklar!$L$7&lt;&gt;"Evet",Topraklar!$K$7&lt;&gt;Bitkiler!$C$29)),0,MAX(0,1-(Ayarlar!$B$2*ABS(Bitkiler!$D$29-Topraklar!$D$7)+Ayarlar!$B$3*ABS(Bitkiler!$E$29-Topraklar!$E$7)+Ayarlar!$B$4*ABS(Bitkiler!$F$29-Topraklar!$F$7)+Ayarlar!$B$5*ABS(Bitkiler!$G$29-Topraklar!$G$7)+Ayarlar!$B$6*IF(Bitkiler!$H$29=Topraklar!$H$7,0,1))/Ayarlar!$B$7)+IF(Topraklar!$K$7=Bitkiler!$C$29,0.002,IF(Topraklar!$L$7="Evet",0.001,0)))</f>
        <v/>
      </c>
      <c r="H30" s="16">
        <f>IF(OR(Topraklar!$J$8="Evet",AND(Topraklar!$L$8&lt;&gt;"Evet",Topraklar!$K$8&lt;&gt;Bitkiler!$C$29)),0,MAX(0,1-(Ayarlar!$B$2*ABS(Bitkiler!$D$29-Topraklar!$D$8)+Ayarlar!$B$3*ABS(Bitkiler!$E$29-Topraklar!$E$8)+Ayarlar!$B$4*ABS(Bitkiler!$F$29-Topraklar!$F$8)+Ayarlar!$B$5*ABS(Bitkiler!$G$29-Topraklar!$G$8)+Ayarlar!$B$6*IF(Bitkiler!$H$29=Topraklar!$H$8,0,1))/Ayarlar!$B$7)+IF(Topraklar!$K$8=Bitkiler!$C$29,0.002,IF(Topraklar!$L$8="Evet",0.001,0)))</f>
        <v/>
      </c>
      <c r="I30" s="16">
        <f>IF(OR(Topraklar!$J$9="Evet",AND(Topraklar!$L$9&lt;&gt;"Evet",Topraklar!$K$9&lt;&gt;Bitkiler!$C$29)),0,MAX(0,1-(Ayarlar!$B$2*ABS(Bitkiler!$D$29-Topraklar!$D$9)+Ayarlar!$B$3*ABS(Bitkiler!$E$29-Topraklar!$E$9)+Ayarlar!$B$4*ABS(Bitkiler!$F$29-Topraklar!$F$9)+Ayarlar!$B$5*ABS(Bitkiler!$G$29-Topraklar!$G$9)+Ayarlar!$B$6*IF(Bitkiler!$H$29=Topraklar!$H$9,0,1))/Ayarlar!$B$7)+IF(Topraklar!$K$9=Bitkiler!$C$29,0.002,IF(Topraklar!$L$9="Evet",0.001,0)))</f>
        <v/>
      </c>
      <c r="J30" s="16">
        <f>IF(OR(Topraklar!$J$10="Evet",AND(Topraklar!$L$10&lt;&gt;"Evet",Topraklar!$K$10&lt;&gt;Bitkiler!$C$29)),0,MAX(0,1-(Ayarlar!$B$2*ABS(Bitkiler!$D$29-Topraklar!$D$10)+Ayarlar!$B$3*ABS(Bitkiler!$E$29-Topraklar!$E$10)+Ayarlar!$B$4*ABS(Bitkiler!$F$29-Topraklar!$F$10)+Ayarlar!$B$5*ABS(Bitkiler!$G$29-Topraklar!$G$10)+Ayarlar!$B$6*IF(Bitkiler!$H$29=Topraklar!$H$10,0,1))/Ayarlar!$B$7)+IF(Topraklar!$K$10=Bitkiler!$C$29,0.002,IF(Topraklar!$L$10="Evet",0.001,0)))</f>
        <v/>
      </c>
      <c r="K30" s="16">
        <f>IF(OR(Topraklar!$J$11="Evet",AND(Topraklar!$L$11&lt;&gt;"Evet",Topraklar!$K$11&lt;&gt;Bitkiler!$C$29)),0,MAX(0,1-(Ayarlar!$B$2*ABS(Bitkiler!$D$29-Topraklar!$D$11)+Ayarlar!$B$3*ABS(Bitkiler!$E$29-Topraklar!$E$11)+Ayarlar!$B$4*ABS(Bitkiler!$F$29-Topraklar!$F$11)+Ayarlar!$B$5*ABS(Bitkiler!$G$29-Topraklar!$G$11)+Ayarlar!$B$6*IF(Bitkiler!$H$29=Topraklar!$H$11,0,1))/Ayarlar!$B$7)+IF(Topraklar!$K$11=Bitkiler!$C$29,0.002,IF(Topraklar!$L$11="Evet",0.001,0)))</f>
        <v/>
      </c>
      <c r="L30" s="16">
        <f>IF(OR(Topraklar!$J$12="Evet",AND(Topraklar!$L$12&lt;&gt;"Evet",Topraklar!$K$12&lt;&gt;Bitkiler!$C$29)),0,MAX(0,1-(Ayarlar!$B$2*ABS(Bitkiler!$D$29-Topraklar!$D$12)+Ayarlar!$B$3*ABS(Bitkiler!$E$29-Topraklar!$E$12)+Ayarlar!$B$4*ABS(Bitkiler!$F$29-Topraklar!$F$12)+Ayarlar!$B$5*ABS(Bitkiler!$G$29-Topraklar!$G$12)+Ayarlar!$B$6*IF(Bitkiler!$H$29=Topraklar!$H$12,0,1))/Ayarlar!$B$7)+IF(Topraklar!$K$12=Bitkiler!$C$29,0.002,IF(Topraklar!$L$12="Evet",0.001,0)))</f>
        <v/>
      </c>
      <c r="M30" s="16">
        <f>IF(OR(Topraklar!$J$13="Evet",AND(Topraklar!$L$13&lt;&gt;"Evet",Topraklar!$K$13&lt;&gt;Bitkiler!$C$29)),0,MAX(0,1-(Ayarlar!$B$2*ABS(Bitkiler!$D$29-Topraklar!$D$13)+Ayarlar!$B$3*ABS(Bitkiler!$E$29-Topraklar!$E$13)+Ayarlar!$B$4*ABS(Bitkiler!$F$29-Topraklar!$F$13)+Ayarlar!$B$5*ABS(Bitkiler!$G$29-Topraklar!$G$13)+Ayarlar!$B$6*IF(Bitkiler!$H$29=Topraklar!$H$13,0,1))/Ayarlar!$B$7)+IF(Topraklar!$K$13=Bitkiler!$C$29,0.002,IF(Topraklar!$L$13="Evet",0.001,0)))</f>
        <v/>
      </c>
      <c r="N30" s="16">
        <f>IF(OR(Topraklar!$J$14="Evet",AND(Topraklar!$L$14&lt;&gt;"Evet",Topraklar!$K$14&lt;&gt;Bitkiler!$C$29)),0,MAX(0,1-(Ayarlar!$B$2*ABS(Bitkiler!$D$29-Topraklar!$D$14)+Ayarlar!$B$3*ABS(Bitkiler!$E$29-Topraklar!$E$14)+Ayarlar!$B$4*ABS(Bitkiler!$F$29-Topraklar!$F$14)+Ayarlar!$B$5*ABS(Bitkiler!$G$29-Topraklar!$G$14)+Ayarlar!$B$6*IF(Bitkiler!$H$29=Topraklar!$H$14,0,1))/Ayarlar!$B$7)+IF(Topraklar!$K$14=Bitkiler!$C$29,0.002,IF(Topraklar!$L$14="Evet",0.001,0)))</f>
        <v/>
      </c>
      <c r="O30" s="16">
        <f>IF(OR(Topraklar!$J$15="Evet",AND(Topraklar!$L$15&lt;&gt;"Evet",Topraklar!$K$15&lt;&gt;Bitkiler!$C$29)),0,MAX(0,1-(Ayarlar!$B$2*ABS(Bitkiler!$D$29-Topraklar!$D$15)+Ayarlar!$B$3*ABS(Bitkiler!$E$29-Topraklar!$E$15)+Ayarlar!$B$4*ABS(Bitkiler!$F$29-Topraklar!$F$15)+Ayarlar!$B$5*ABS(Bitkiler!$G$29-Topraklar!$G$15)+Ayarlar!$B$6*IF(Bitkiler!$H$29=Topraklar!$H$15,0,1))/Ayarlar!$B$7)+IF(Topraklar!$K$15=Bitkiler!$C$29,0.002,IF(Topraklar!$L$15="Evet",0.001,0)))</f>
        <v/>
      </c>
      <c r="P30" s="16">
        <f>IF(OR(Topraklar!$J$16="Evet",AND(Topraklar!$L$16&lt;&gt;"Evet",Topraklar!$K$16&lt;&gt;Bitkiler!$C$29)),0,MAX(0,1-(Ayarlar!$B$2*ABS(Bitkiler!$D$29-Topraklar!$D$16)+Ayarlar!$B$3*ABS(Bitkiler!$E$29-Topraklar!$E$16)+Ayarlar!$B$4*ABS(Bitkiler!$F$29-Topraklar!$F$16)+Ayarlar!$B$5*ABS(Bitkiler!$G$29-Topraklar!$G$16)+Ayarlar!$B$6*IF(Bitkiler!$H$29=Topraklar!$H$16,0,1))/Ayarlar!$B$7)+IF(Topraklar!$K$16=Bitkiler!$C$29,0.002,IF(Topraklar!$L$16="Evet",0.001,0)))</f>
        <v/>
      </c>
      <c r="Q30" s="16">
        <f>IF(OR(Topraklar!$J$17="Evet",AND(Topraklar!$L$17&lt;&gt;"Evet",Topraklar!$K$17&lt;&gt;Bitkiler!$C$29)),0,MAX(0,1-(Ayarlar!$B$2*ABS(Bitkiler!$D$29-Topraklar!$D$17)+Ayarlar!$B$3*ABS(Bitkiler!$E$29-Topraklar!$E$17)+Ayarlar!$B$4*ABS(Bitkiler!$F$29-Topraklar!$F$17)+Ayarlar!$B$5*ABS(Bitkiler!$G$29-Topraklar!$G$17)+Ayarlar!$B$6*IF(Bitkiler!$H$29=Topraklar!$H$17,0,1))/Ayarlar!$B$7)+IF(Topraklar!$K$17=Bitkiler!$C$29,0.002,IF(Topraklar!$L$17="Evet",0.001,0)))</f>
        <v/>
      </c>
      <c r="R30" s="16">
        <f>IF(OR(Topraklar!$J$18="Evet",AND(Topraklar!$L$18&lt;&gt;"Evet",Topraklar!$K$18&lt;&gt;Bitkiler!$C$29)),0,MAX(0,1-(Ayarlar!$B$2*ABS(Bitkiler!$D$29-Topraklar!$D$18)+Ayarlar!$B$3*ABS(Bitkiler!$E$29-Topraklar!$E$18)+Ayarlar!$B$4*ABS(Bitkiler!$F$29-Topraklar!$F$18)+Ayarlar!$B$5*ABS(Bitkiler!$G$29-Topraklar!$G$18)+Ayarlar!$B$6*IF(Bitkiler!$H$29=Topraklar!$H$18,0,1))/Ayarlar!$B$7)+IF(Topraklar!$K$18=Bitkiler!$C$29,0.002,IF(Topraklar!$L$18="Evet",0.001,0)))</f>
        <v/>
      </c>
      <c r="S30" s="16">
        <f>IF(OR(Topraklar!$J$19="Evet",AND(Topraklar!$L$19&lt;&gt;"Evet",Topraklar!$K$19&lt;&gt;Bitkiler!$C$29)),0,MAX(0,1-(Ayarlar!$B$2*ABS(Bitkiler!$D$29-Topraklar!$D$19)+Ayarlar!$B$3*ABS(Bitkiler!$E$29-Topraklar!$E$19)+Ayarlar!$B$4*ABS(Bitkiler!$F$29-Topraklar!$F$19)+Ayarlar!$B$5*ABS(Bitkiler!$G$29-Topraklar!$G$19)+Ayarlar!$B$6*IF(Bitkiler!$H$29=Topraklar!$H$19,0,1))/Ayarlar!$B$7)+IF(Topraklar!$K$19=Bitkiler!$C$29,0.002,IF(Topraklar!$L$19="Evet",0.001,0)))</f>
        <v/>
      </c>
      <c r="T30" s="16">
        <f>IF(OR(Topraklar!$J$20="Evet",AND(Topraklar!$L$20&lt;&gt;"Evet",Topraklar!$K$20&lt;&gt;Bitkiler!$C$29)),0,MAX(0,1-(Ayarlar!$B$2*ABS(Bitkiler!$D$29-Topraklar!$D$20)+Ayarlar!$B$3*ABS(Bitkiler!$E$29-Topraklar!$E$20)+Ayarlar!$B$4*ABS(Bitkiler!$F$29-Topraklar!$F$20)+Ayarlar!$B$5*ABS(Bitkiler!$G$29-Topraklar!$G$20)+Ayarlar!$B$6*IF(Bitkiler!$H$29=Topraklar!$H$20,0,1))/Ayarlar!$B$7)+IF(Topraklar!$K$20=Bitkiler!$C$29,0.002,IF(Topraklar!$L$20="Evet",0.001,0)))</f>
        <v/>
      </c>
      <c r="U30" s="16">
        <f>IF(OR(Topraklar!$J$21="Evet",AND(Topraklar!$L$21&lt;&gt;"Evet",Topraklar!$K$21&lt;&gt;Bitkiler!$C$29)),0,MAX(0,1-(Ayarlar!$B$2*ABS(Bitkiler!$D$29-Topraklar!$D$21)+Ayarlar!$B$3*ABS(Bitkiler!$E$29-Topraklar!$E$21)+Ayarlar!$B$4*ABS(Bitkiler!$F$29-Topraklar!$F$21)+Ayarlar!$B$5*ABS(Bitkiler!$G$29-Topraklar!$G$21)+Ayarlar!$B$6*IF(Bitkiler!$H$29=Topraklar!$H$21,0,1))/Ayarlar!$B$7)+IF(Topraklar!$K$21=Bitkiler!$C$29,0.002,IF(Topraklar!$L$21="Evet",0.001,0)))</f>
        <v/>
      </c>
      <c r="V30" s="16">
        <f>IF(OR(Topraklar!$J$22="Evet",AND(Topraklar!$L$22&lt;&gt;"Evet",Topraklar!$K$22&lt;&gt;Bitkiler!$C$29)),0,MAX(0,1-(Ayarlar!$B$2*ABS(Bitkiler!$D$29-Topraklar!$D$22)+Ayarlar!$B$3*ABS(Bitkiler!$E$29-Topraklar!$E$22)+Ayarlar!$B$4*ABS(Bitkiler!$F$29-Topraklar!$F$22)+Ayarlar!$B$5*ABS(Bitkiler!$G$29-Topraklar!$G$22)+Ayarlar!$B$6*IF(Bitkiler!$H$29=Topraklar!$H$22,0,1))/Ayarlar!$B$7)+IF(Topraklar!$K$22=Bitkiler!$C$29,0.002,IF(Topraklar!$L$22="Evet",0.001,0)))</f>
        <v/>
      </c>
      <c r="W30" s="16">
        <f>IF(OR(Topraklar!$J$23="Evet",AND(Topraklar!$L$23&lt;&gt;"Evet",Topraklar!$K$23&lt;&gt;Bitkiler!$C$29)),0,MAX(0,1-(Ayarlar!$B$2*ABS(Bitkiler!$D$29-Topraklar!$D$23)+Ayarlar!$B$3*ABS(Bitkiler!$E$29-Topraklar!$E$23)+Ayarlar!$B$4*ABS(Bitkiler!$F$29-Topraklar!$F$23)+Ayarlar!$B$5*ABS(Bitkiler!$G$29-Topraklar!$G$23)+Ayarlar!$B$6*IF(Bitkiler!$H$29=Topraklar!$H$23,0,1))/Ayarlar!$B$7)+IF(Topraklar!$K$23=Bitkiler!$C$29,0.002,IF(Topraklar!$L$23="Evet",0.001,0)))</f>
        <v/>
      </c>
      <c r="X30" s="16">
        <f>IF(OR(Topraklar!$J$24="Evet",AND(Topraklar!$L$24&lt;&gt;"Evet",Topraklar!$K$24&lt;&gt;Bitkiler!$C$29)),0,MAX(0,1-(Ayarlar!$B$2*ABS(Bitkiler!$D$29-Topraklar!$D$24)+Ayarlar!$B$3*ABS(Bitkiler!$E$29-Topraklar!$E$24)+Ayarlar!$B$4*ABS(Bitkiler!$F$29-Topraklar!$F$24)+Ayarlar!$B$5*ABS(Bitkiler!$G$29-Topraklar!$G$24)+Ayarlar!$B$6*IF(Bitkiler!$H$29=Topraklar!$H$24,0,1))/Ayarlar!$B$7)+IF(Topraklar!$K$24=Bitkiler!$C$29,0.002,IF(Topraklar!$L$24="Evet",0.001,0)))</f>
        <v/>
      </c>
      <c r="Y30" s="16">
        <f>IF(OR(Topraklar!$J$25="Evet",AND(Topraklar!$L$25&lt;&gt;"Evet",Topraklar!$K$25&lt;&gt;Bitkiler!$C$29)),0,MAX(0,1-(Ayarlar!$B$2*ABS(Bitkiler!$D$29-Topraklar!$D$25)+Ayarlar!$B$3*ABS(Bitkiler!$E$29-Topraklar!$E$25)+Ayarlar!$B$4*ABS(Bitkiler!$F$29-Topraklar!$F$25)+Ayarlar!$B$5*ABS(Bitkiler!$G$29-Topraklar!$G$25)+Ayarlar!$B$6*IF(Bitkiler!$H$29=Topraklar!$H$25,0,1))/Ayarlar!$B$7)+IF(Topraklar!$K$25=Bitkiler!$C$29,0.002,IF(Topraklar!$L$25="Evet",0.001,0)))</f>
        <v/>
      </c>
      <c r="Z30" s="16">
        <f>IF(OR(Topraklar!$J$26="Evet",AND(Topraklar!$L$26&lt;&gt;"Evet",Topraklar!$K$26&lt;&gt;Bitkiler!$C$29)),0,MAX(0,1-(Ayarlar!$B$2*ABS(Bitkiler!$D$29-Topraklar!$D$26)+Ayarlar!$B$3*ABS(Bitkiler!$E$29-Topraklar!$E$26)+Ayarlar!$B$4*ABS(Bitkiler!$F$29-Topraklar!$F$26)+Ayarlar!$B$5*ABS(Bitkiler!$G$29-Topraklar!$G$26)+Ayarlar!$B$6*IF(Bitkiler!$H$29=Topraklar!$H$26,0,1))/Ayarlar!$B$7)+IF(Topraklar!$K$26=Bitkiler!$C$29,0.002,IF(Topraklar!$L$26="Evet",0.001,0)))</f>
        <v/>
      </c>
      <c r="AA30" s="16">
        <f>IF(OR(Topraklar!$J$27="Evet",AND(Topraklar!$L$27&lt;&gt;"Evet",Topraklar!$K$27&lt;&gt;Bitkiler!$C$29)),0,MAX(0,1-(Ayarlar!$B$2*ABS(Bitkiler!$D$29-Topraklar!$D$27)+Ayarlar!$B$3*ABS(Bitkiler!$E$29-Topraklar!$E$27)+Ayarlar!$B$4*ABS(Bitkiler!$F$29-Topraklar!$F$27)+Ayarlar!$B$5*ABS(Bitkiler!$G$29-Topraklar!$G$27)+Ayarlar!$B$6*IF(Bitkiler!$H$29=Topraklar!$H$27,0,1))/Ayarlar!$B$7)+IF(Topraklar!$K$27=Bitkiler!$C$29,0.002,IF(Topraklar!$L$27="Evet",0.001,0)))</f>
        <v/>
      </c>
      <c r="AB30" s="16">
        <f>IF(OR(Topraklar!$J$28="Evet",AND(Topraklar!$L$28&lt;&gt;"Evet",Topraklar!$K$28&lt;&gt;Bitkiler!$C$29)),0,MAX(0,1-(Ayarlar!$B$2*ABS(Bitkiler!$D$29-Topraklar!$D$28)+Ayarlar!$B$3*ABS(Bitkiler!$E$29-Topraklar!$E$28)+Ayarlar!$B$4*ABS(Bitkiler!$F$29-Topraklar!$F$28)+Ayarlar!$B$5*ABS(Bitkiler!$G$29-Topraklar!$G$28)+Ayarlar!$B$6*IF(Bitkiler!$H$29=Topraklar!$H$28,0,1))/Ayarlar!$B$7)+IF(Topraklar!$K$28=Bitkiler!$C$29,0.002,IF(Topraklar!$L$28="Evet",0.001,0)))</f>
        <v/>
      </c>
      <c r="AC30" s="16">
        <f>IF(OR(Topraklar!$J$29="Evet",AND(Topraklar!$L$29&lt;&gt;"Evet",Topraklar!$K$29&lt;&gt;Bitkiler!$C$29)),0,MAX(0,1-(Ayarlar!$B$2*ABS(Bitkiler!$D$29-Topraklar!$D$29)+Ayarlar!$B$3*ABS(Bitkiler!$E$29-Topraklar!$E$29)+Ayarlar!$B$4*ABS(Bitkiler!$F$29-Topraklar!$F$29)+Ayarlar!$B$5*ABS(Bitkiler!$G$29-Topraklar!$G$29)+Ayarlar!$B$6*IF(Bitkiler!$H$29=Topraklar!$H$29,0,1))/Ayarlar!$B$7)+IF(Topraklar!$K$29=Bitkiler!$C$29,0.002,IF(Topraklar!$L$29="Evet",0.001,0)))</f>
        <v/>
      </c>
      <c r="AD30" s="16">
        <f>IF(OR(Topraklar!$J$30="Evet",AND(Topraklar!$L$30&lt;&gt;"Evet",Topraklar!$K$30&lt;&gt;Bitkiler!$C$29)),0,MAX(0,1-(Ayarlar!$B$2*ABS(Bitkiler!$D$29-Topraklar!$D$30)+Ayarlar!$B$3*ABS(Bitkiler!$E$29-Topraklar!$E$30)+Ayarlar!$B$4*ABS(Bitkiler!$F$29-Topraklar!$F$30)+Ayarlar!$B$5*ABS(Bitkiler!$G$29-Topraklar!$G$30)+Ayarlar!$B$6*IF(Bitkiler!$H$29=Topraklar!$H$30,0,1))/Ayarlar!$B$7)+IF(Topraklar!$K$30=Bitkiler!$C$29,0.002,IF(Topraklar!$L$30="Evet",0.001,0)))</f>
        <v/>
      </c>
      <c r="AE30" s="16">
        <f>IF(OR(Topraklar!$J$31="Evet",AND(Topraklar!$L$31&lt;&gt;"Evet",Topraklar!$K$31&lt;&gt;Bitkiler!$C$29)),0,MAX(0,1-(Ayarlar!$B$2*ABS(Bitkiler!$D$29-Topraklar!$D$31)+Ayarlar!$B$3*ABS(Bitkiler!$E$29-Topraklar!$E$31)+Ayarlar!$B$4*ABS(Bitkiler!$F$29-Topraklar!$F$31)+Ayarlar!$B$5*ABS(Bitkiler!$G$29-Topraklar!$G$31)+Ayarlar!$B$6*IF(Bitkiler!$H$29=Topraklar!$H$31,0,1))/Ayarlar!$B$7)+IF(Topraklar!$K$31=Bitkiler!$C$29,0.002,IF(Topraklar!$L$31="Evet",0.001,0)))</f>
        <v/>
      </c>
      <c r="AF30" s="16">
        <f>IF(OR(Topraklar!$J$32="Evet",AND(Topraklar!$L$32&lt;&gt;"Evet",Topraklar!$K$32&lt;&gt;Bitkiler!$C$29)),0,MAX(0,1-(Ayarlar!$B$2*ABS(Bitkiler!$D$29-Topraklar!$D$32)+Ayarlar!$B$3*ABS(Bitkiler!$E$29-Topraklar!$E$32)+Ayarlar!$B$4*ABS(Bitkiler!$F$29-Topraklar!$F$32)+Ayarlar!$B$5*ABS(Bitkiler!$G$29-Topraklar!$G$32)+Ayarlar!$B$6*IF(Bitkiler!$H$29=Topraklar!$H$32,0,1))/Ayarlar!$B$7)+IF(Topraklar!$K$32=Bitkiler!$C$29,0.002,IF(Topraklar!$L$32="Evet",0.001,0)))</f>
        <v/>
      </c>
      <c r="AG30" s="16">
        <f>IF(OR(Topraklar!$J$33="Evet",AND(Topraklar!$L$33&lt;&gt;"Evet",Topraklar!$K$33&lt;&gt;Bitkiler!$C$29)),0,MAX(0,1-(Ayarlar!$B$2*ABS(Bitkiler!$D$29-Topraklar!$D$33)+Ayarlar!$B$3*ABS(Bitkiler!$E$29-Topraklar!$E$33)+Ayarlar!$B$4*ABS(Bitkiler!$F$29-Topraklar!$F$33)+Ayarlar!$B$5*ABS(Bitkiler!$G$29-Topraklar!$G$33)+Ayarlar!$B$6*IF(Bitkiler!$H$29=Topraklar!$H$33,0,1))/Ayarlar!$B$7)+IF(Topraklar!$K$33=Bitkiler!$C$29,0.002,IF(Topraklar!$L$33="Evet",0.001,0)))</f>
        <v/>
      </c>
      <c r="AH30" s="16">
        <f>IF(OR(Topraklar!$J$34="Evet",AND(Topraklar!$L$34&lt;&gt;"Evet",Topraklar!$K$34&lt;&gt;Bitkiler!$C$29)),0,MAX(0,1-(Ayarlar!$B$2*ABS(Bitkiler!$D$29-Topraklar!$D$34)+Ayarlar!$B$3*ABS(Bitkiler!$E$29-Topraklar!$E$34)+Ayarlar!$B$4*ABS(Bitkiler!$F$29-Topraklar!$F$34)+Ayarlar!$B$5*ABS(Bitkiler!$G$29-Topraklar!$G$34)+Ayarlar!$B$6*IF(Bitkiler!$H$29=Topraklar!$H$34,0,1))/Ayarlar!$B$7)+IF(Topraklar!$K$34=Bitkiler!$C$29,0.002,IF(Topraklar!$L$34="Evet",0.001,0)))</f>
        <v/>
      </c>
      <c r="AI30" s="16">
        <f>IF(OR(Topraklar!$J$35="Evet",AND(Topraklar!$L$35&lt;&gt;"Evet",Topraklar!$K$35&lt;&gt;Bitkiler!$C$29)),0,MAX(0,1-(Ayarlar!$B$2*ABS(Bitkiler!$D$29-Topraklar!$D$35)+Ayarlar!$B$3*ABS(Bitkiler!$E$29-Topraklar!$E$35)+Ayarlar!$B$4*ABS(Bitkiler!$F$29-Topraklar!$F$35)+Ayarlar!$B$5*ABS(Bitkiler!$G$29-Topraklar!$G$35)+Ayarlar!$B$6*IF(Bitkiler!$H$29=Topraklar!$H$35,0,1))/Ayarlar!$B$7)+IF(Topraklar!$K$35=Bitkiler!$C$29,0.002,IF(Topraklar!$L$35="Evet",0.001,0)))</f>
        <v/>
      </c>
      <c r="AJ30" s="16">
        <f>IF(OR(Topraklar!$J$36="Evet",AND(Topraklar!$L$36&lt;&gt;"Evet",Topraklar!$K$36&lt;&gt;Bitkiler!$C$29)),0,MAX(0,1-(Ayarlar!$B$2*ABS(Bitkiler!$D$29-Topraklar!$D$36)+Ayarlar!$B$3*ABS(Bitkiler!$E$29-Topraklar!$E$36)+Ayarlar!$B$4*ABS(Bitkiler!$F$29-Topraklar!$F$36)+Ayarlar!$B$5*ABS(Bitkiler!$G$29-Topraklar!$G$36)+Ayarlar!$B$6*IF(Bitkiler!$H$29=Topraklar!$H$36,0,1))/Ayarlar!$B$7)+IF(Topraklar!$K$36=Bitkiler!$C$29,0.002,IF(Topraklar!$L$36="Evet",0.001,0)))</f>
        <v/>
      </c>
      <c r="AK30" s="16">
        <f>IF(OR(Topraklar!$J$37="Evet",AND(Topraklar!$L$37&lt;&gt;"Evet",Topraklar!$K$37&lt;&gt;Bitkiler!$C$29)),0,MAX(0,1-(Ayarlar!$B$2*ABS(Bitkiler!$D$29-Topraklar!$D$37)+Ayarlar!$B$3*ABS(Bitkiler!$E$29-Topraklar!$E$37)+Ayarlar!$B$4*ABS(Bitkiler!$F$29-Topraklar!$F$37)+Ayarlar!$B$5*ABS(Bitkiler!$G$29-Topraklar!$G$37)+Ayarlar!$B$6*IF(Bitkiler!$H$29=Topraklar!$H$37,0,1))/Ayarlar!$B$7)+IF(Topraklar!$K$37=Bitkiler!$C$29,0.002,IF(Topraklar!$L$37="Evet",0.001,0)))</f>
        <v/>
      </c>
      <c r="AL30" s="16">
        <f>IF(OR(Topraklar!$J$38="Evet",AND(Topraklar!$L$38&lt;&gt;"Evet",Topraklar!$K$38&lt;&gt;Bitkiler!$C$29)),0,MAX(0,1-(Ayarlar!$B$2*ABS(Bitkiler!$D$29-Topraklar!$D$38)+Ayarlar!$B$3*ABS(Bitkiler!$E$29-Topraklar!$E$38)+Ayarlar!$B$4*ABS(Bitkiler!$F$29-Topraklar!$F$38)+Ayarlar!$B$5*ABS(Bitkiler!$G$29-Topraklar!$G$38)+Ayarlar!$B$6*IF(Bitkiler!$H$29=Topraklar!$H$38,0,1))/Ayarlar!$B$7)+IF(Topraklar!$K$38=Bitkiler!$C$29,0.002,IF(Topraklar!$L$38="Evet",0.001,0)))</f>
        <v/>
      </c>
      <c r="AM30" s="16">
        <f>IF(OR(Topraklar!$J$39="Evet",AND(Topraklar!$L$39&lt;&gt;"Evet",Topraklar!$K$39&lt;&gt;Bitkiler!$C$29)),0,MAX(0,1-(Ayarlar!$B$2*ABS(Bitkiler!$D$29-Topraklar!$D$39)+Ayarlar!$B$3*ABS(Bitkiler!$E$29-Topraklar!$E$39)+Ayarlar!$B$4*ABS(Bitkiler!$F$29-Topraklar!$F$39)+Ayarlar!$B$5*ABS(Bitkiler!$G$29-Topraklar!$G$39)+Ayarlar!$B$6*IF(Bitkiler!$H$29=Topraklar!$H$39,0,1))/Ayarlar!$B$7)+IF(Topraklar!$K$39=Bitkiler!$C$29,0.002,IF(Topraklar!$L$39="Evet",0.001,0)))</f>
        <v/>
      </c>
      <c r="AN30" s="16">
        <f>IF(OR(Topraklar!$J$40="Evet",AND(Topraklar!$L$40&lt;&gt;"Evet",Topraklar!$K$40&lt;&gt;Bitkiler!$C$29)),0,MAX(0,1-(Ayarlar!$B$2*ABS(Bitkiler!$D$29-Topraklar!$D$40)+Ayarlar!$B$3*ABS(Bitkiler!$E$29-Topraklar!$E$40)+Ayarlar!$B$4*ABS(Bitkiler!$F$29-Topraklar!$F$40)+Ayarlar!$B$5*ABS(Bitkiler!$G$29-Topraklar!$G$40)+Ayarlar!$B$6*IF(Bitkiler!$H$29=Topraklar!$H$40,0,1))/Ayarlar!$B$7)+IF(Topraklar!$K$40=Bitkiler!$C$29,0.002,IF(Topraklar!$L$40="Evet",0.001,0)))</f>
        <v/>
      </c>
      <c r="AO30" s="16">
        <f>IF(OR(Topraklar!$J$41="Evet",AND(Topraklar!$L$41&lt;&gt;"Evet",Topraklar!$K$41&lt;&gt;Bitkiler!$C$29)),0,MAX(0,1-(Ayarlar!$B$2*ABS(Bitkiler!$D$29-Topraklar!$D$41)+Ayarlar!$B$3*ABS(Bitkiler!$E$29-Topraklar!$E$41)+Ayarlar!$B$4*ABS(Bitkiler!$F$29-Topraklar!$F$41)+Ayarlar!$B$5*ABS(Bitkiler!$G$29-Topraklar!$G$41)+Ayarlar!$B$6*IF(Bitkiler!$H$29=Topraklar!$H$41,0,1))/Ayarlar!$B$7)+IF(Topraklar!$K$41=Bitkiler!$C$29,0.002,IF(Topraklar!$L$41="Evet",0.001,0)))</f>
        <v/>
      </c>
      <c r="AP30" s="16">
        <f>IF(OR(Topraklar!$J$42="Evet",AND(Topraklar!$L$42&lt;&gt;"Evet",Topraklar!$K$42&lt;&gt;Bitkiler!$C$29)),0,MAX(0,1-(Ayarlar!$B$2*ABS(Bitkiler!$D$29-Topraklar!$D$42)+Ayarlar!$B$3*ABS(Bitkiler!$E$29-Topraklar!$E$42)+Ayarlar!$B$4*ABS(Bitkiler!$F$29-Topraklar!$F$42)+Ayarlar!$B$5*ABS(Bitkiler!$G$29-Topraklar!$G$42)+Ayarlar!$B$6*IF(Bitkiler!$H$29=Topraklar!$H$42,0,1))/Ayarlar!$B$7)+IF(Topraklar!$K$42=Bitkiler!$C$29,0.002,IF(Topraklar!$L$42="Evet",0.001,0)))</f>
        <v/>
      </c>
      <c r="AQ30" s="16">
        <f>IF(OR(Topraklar!$J$43="Evet",AND(Topraklar!$L$43&lt;&gt;"Evet",Topraklar!$K$43&lt;&gt;Bitkiler!$C$29)),0,MAX(0,1-(Ayarlar!$B$2*ABS(Bitkiler!$D$29-Topraklar!$D$43)+Ayarlar!$B$3*ABS(Bitkiler!$E$29-Topraklar!$E$43)+Ayarlar!$B$4*ABS(Bitkiler!$F$29-Topraklar!$F$43)+Ayarlar!$B$5*ABS(Bitkiler!$G$29-Topraklar!$G$43)+Ayarlar!$B$6*IF(Bitkiler!$H$29=Topraklar!$H$43,0,1))/Ayarlar!$B$7)+IF(Topraklar!$K$43=Bitkiler!$C$29,0.002,IF(Topraklar!$L$43="Evet",0.001,0)))</f>
        <v/>
      </c>
      <c r="AR30" s="16">
        <f>IF(OR(Topraklar!$J$44="Evet",AND(Topraklar!$L$44&lt;&gt;"Evet",Topraklar!$K$44&lt;&gt;Bitkiler!$C$29)),0,MAX(0,1-(Ayarlar!$B$2*ABS(Bitkiler!$D$29-Topraklar!$D$44)+Ayarlar!$B$3*ABS(Bitkiler!$E$29-Topraklar!$E$44)+Ayarlar!$B$4*ABS(Bitkiler!$F$29-Topraklar!$F$44)+Ayarlar!$B$5*ABS(Bitkiler!$G$29-Topraklar!$G$44)+Ayarlar!$B$6*IF(Bitkiler!$H$29=Topraklar!$H$44,0,1))/Ayarlar!$B$7)+IF(Topraklar!$K$44=Bitkiler!$C$29,0.002,IF(Topraklar!$L$44="Evet",0.001,0)))</f>
        <v/>
      </c>
      <c r="AS30" s="16">
        <f>IF(OR(Topraklar!$J$45="Evet",AND(Topraklar!$L$45&lt;&gt;"Evet",Topraklar!$K$45&lt;&gt;Bitkiler!$C$29)),0,MAX(0,1-(Ayarlar!$B$2*ABS(Bitkiler!$D$29-Topraklar!$D$45)+Ayarlar!$B$3*ABS(Bitkiler!$E$29-Topraklar!$E$45)+Ayarlar!$B$4*ABS(Bitkiler!$F$29-Topraklar!$F$45)+Ayarlar!$B$5*ABS(Bitkiler!$G$29-Topraklar!$G$45)+Ayarlar!$B$6*IF(Bitkiler!$H$29=Topraklar!$H$45,0,1))/Ayarlar!$B$7)+IF(Topraklar!$K$45=Bitkiler!$C$29,0.002,IF(Topraklar!$L$45="Evet",0.001,0)))</f>
        <v/>
      </c>
      <c r="AT30" s="16">
        <f>IF(OR(Topraklar!$J$46="Evet",AND(Topraklar!$L$46&lt;&gt;"Evet",Topraklar!$K$46&lt;&gt;Bitkiler!$C$29)),0,MAX(0,1-(Ayarlar!$B$2*ABS(Bitkiler!$D$29-Topraklar!$D$46)+Ayarlar!$B$3*ABS(Bitkiler!$E$29-Topraklar!$E$46)+Ayarlar!$B$4*ABS(Bitkiler!$F$29-Topraklar!$F$46)+Ayarlar!$B$5*ABS(Bitkiler!$G$29-Topraklar!$G$46)+Ayarlar!$B$6*IF(Bitkiler!$H$29=Topraklar!$H$46,0,1))/Ayarlar!$B$7)+IF(Topraklar!$K$46=Bitkiler!$C$29,0.002,IF(Topraklar!$L$46="Evet",0.001,0)))</f>
        <v/>
      </c>
      <c r="AU30" s="16">
        <f>IF(OR(Topraklar!$J$47="Evet",AND(Topraklar!$L$47&lt;&gt;"Evet",Topraklar!$K$47&lt;&gt;Bitkiler!$C$29)),0,MAX(0,1-(Ayarlar!$B$2*ABS(Bitkiler!$D$29-Topraklar!$D$47)+Ayarlar!$B$3*ABS(Bitkiler!$E$29-Topraklar!$E$47)+Ayarlar!$B$4*ABS(Bitkiler!$F$29-Topraklar!$F$47)+Ayarlar!$B$5*ABS(Bitkiler!$G$29-Topraklar!$G$47)+Ayarlar!$B$6*IF(Bitkiler!$H$29=Topraklar!$H$47,0,1))/Ayarlar!$B$7)+IF(Topraklar!$K$47=Bitkiler!$C$29,0.002,IF(Topraklar!$L$47="Evet",0.001,0)))</f>
        <v/>
      </c>
      <c r="AV30" s="16">
        <f>IF(OR(Topraklar!$J$48="Evet",AND(Topraklar!$L$48&lt;&gt;"Evet",Topraklar!$K$48&lt;&gt;Bitkiler!$C$29)),0,MAX(0,1-(Ayarlar!$B$2*ABS(Bitkiler!$D$29-Topraklar!$D$48)+Ayarlar!$B$3*ABS(Bitkiler!$E$29-Topraklar!$E$48)+Ayarlar!$B$4*ABS(Bitkiler!$F$29-Topraklar!$F$48)+Ayarlar!$B$5*ABS(Bitkiler!$G$29-Topraklar!$G$48)+Ayarlar!$B$6*IF(Bitkiler!$H$29=Topraklar!$H$48,0,1))/Ayarlar!$B$7)+IF(Topraklar!$K$48=Bitkiler!$C$29,0.002,IF(Topraklar!$L$48="Evet",0.001,0)))</f>
        <v/>
      </c>
      <c r="AW30" s="16">
        <f>IF(OR(Topraklar!$J$49="Evet",AND(Topraklar!$L$49&lt;&gt;"Evet",Topraklar!$K$49&lt;&gt;Bitkiler!$C$29)),0,MAX(0,1-(Ayarlar!$B$2*ABS(Bitkiler!$D$29-Topraklar!$D$49)+Ayarlar!$B$3*ABS(Bitkiler!$E$29-Topraklar!$E$49)+Ayarlar!$B$4*ABS(Bitkiler!$F$29-Topraklar!$F$49)+Ayarlar!$B$5*ABS(Bitkiler!$G$29-Topraklar!$G$49)+Ayarlar!$B$6*IF(Bitkiler!$H$29=Topraklar!$H$49,0,1))/Ayarlar!$B$7)+IF(Topraklar!$K$49=Bitkiler!$C$29,0.002,IF(Topraklar!$L$49="Evet",0.001,0)))</f>
        <v/>
      </c>
      <c r="AX30" s="16">
        <f>IF(OR(Topraklar!$J$50="Evet",AND(Topraklar!$L$50&lt;&gt;"Evet",Topraklar!$K$50&lt;&gt;Bitkiler!$C$29)),0,MAX(0,1-(Ayarlar!$B$2*ABS(Bitkiler!$D$29-Topraklar!$D$50)+Ayarlar!$B$3*ABS(Bitkiler!$E$29-Topraklar!$E$50)+Ayarlar!$B$4*ABS(Bitkiler!$F$29-Topraklar!$F$50)+Ayarlar!$B$5*ABS(Bitkiler!$G$29-Topraklar!$G$50)+Ayarlar!$B$6*IF(Bitkiler!$H$29=Topraklar!$H$50,0,1))/Ayarlar!$B$7)+IF(Topraklar!$K$50=Bitkiler!$C$29,0.002,IF(Topraklar!$L$50="Evet",0.001,0)))</f>
        <v/>
      </c>
      <c r="AY30" s="16">
        <f>IF(OR(Topraklar!$J$51="Evet",AND(Topraklar!$L$51&lt;&gt;"Evet",Topraklar!$K$51&lt;&gt;Bitkiler!$C$29)),0,MAX(0,1-(Ayarlar!$B$2*ABS(Bitkiler!$D$29-Topraklar!$D$51)+Ayarlar!$B$3*ABS(Bitkiler!$E$29-Topraklar!$E$51)+Ayarlar!$B$4*ABS(Bitkiler!$F$29-Topraklar!$F$51)+Ayarlar!$B$5*ABS(Bitkiler!$G$29-Topraklar!$G$51)+Ayarlar!$B$6*IF(Bitkiler!$H$29=Topraklar!$H$51,0,1))/Ayarlar!$B$7)+IF(Topraklar!$K$51=Bitkiler!$C$29,0.002,IF(Topraklar!$L$51="Evet",0.001,0)))</f>
        <v/>
      </c>
    </row>
    <row r="31">
      <c r="A31" s="15">
        <f>Bitkiler!A30</f>
        <v/>
      </c>
      <c r="B31" s="16">
        <f>IF(OR(Topraklar!$J$2="Evet",AND(Topraklar!$L$2&lt;&gt;"Evet",Topraklar!$K$2&lt;&gt;Bitkiler!$C$30)),0,MAX(0,1-(Ayarlar!$B$2*ABS(Bitkiler!$D$30-Topraklar!$D$2)+Ayarlar!$B$3*ABS(Bitkiler!$E$30-Topraklar!$E$2)+Ayarlar!$B$4*ABS(Bitkiler!$F$30-Topraklar!$F$2)+Ayarlar!$B$5*ABS(Bitkiler!$G$30-Topraklar!$G$2)+Ayarlar!$B$6*IF(Bitkiler!$H$30=Topraklar!$H$2,0,1))/Ayarlar!$B$7)+IF(Topraklar!$K$2=Bitkiler!$C$30,0.002,IF(Topraklar!$L$2="Evet",0.001,0)))</f>
        <v/>
      </c>
      <c r="C31" s="16">
        <f>IF(OR(Topraklar!$J$3="Evet",AND(Topraklar!$L$3&lt;&gt;"Evet",Topraklar!$K$3&lt;&gt;Bitkiler!$C$30)),0,MAX(0,1-(Ayarlar!$B$2*ABS(Bitkiler!$D$30-Topraklar!$D$3)+Ayarlar!$B$3*ABS(Bitkiler!$E$30-Topraklar!$E$3)+Ayarlar!$B$4*ABS(Bitkiler!$F$30-Topraklar!$F$3)+Ayarlar!$B$5*ABS(Bitkiler!$G$30-Topraklar!$G$3)+Ayarlar!$B$6*IF(Bitkiler!$H$30=Topraklar!$H$3,0,1))/Ayarlar!$B$7)+IF(Topraklar!$K$3=Bitkiler!$C$30,0.002,IF(Topraklar!$L$3="Evet",0.001,0)))</f>
        <v/>
      </c>
      <c r="D31" s="16">
        <f>IF(OR(Topraklar!$J$4="Evet",AND(Topraklar!$L$4&lt;&gt;"Evet",Topraklar!$K$4&lt;&gt;Bitkiler!$C$30)),0,MAX(0,1-(Ayarlar!$B$2*ABS(Bitkiler!$D$30-Topraklar!$D$4)+Ayarlar!$B$3*ABS(Bitkiler!$E$30-Topraklar!$E$4)+Ayarlar!$B$4*ABS(Bitkiler!$F$30-Topraklar!$F$4)+Ayarlar!$B$5*ABS(Bitkiler!$G$30-Topraklar!$G$4)+Ayarlar!$B$6*IF(Bitkiler!$H$30=Topraklar!$H$4,0,1))/Ayarlar!$B$7)+IF(Topraklar!$K$4=Bitkiler!$C$30,0.002,IF(Topraklar!$L$4="Evet",0.001,0)))</f>
        <v/>
      </c>
      <c r="E31" s="16">
        <f>IF(OR(Topraklar!$J$5="Evet",AND(Topraklar!$L$5&lt;&gt;"Evet",Topraklar!$K$5&lt;&gt;Bitkiler!$C$30)),0,MAX(0,1-(Ayarlar!$B$2*ABS(Bitkiler!$D$30-Topraklar!$D$5)+Ayarlar!$B$3*ABS(Bitkiler!$E$30-Topraklar!$E$5)+Ayarlar!$B$4*ABS(Bitkiler!$F$30-Topraklar!$F$5)+Ayarlar!$B$5*ABS(Bitkiler!$G$30-Topraklar!$G$5)+Ayarlar!$B$6*IF(Bitkiler!$H$30=Topraklar!$H$5,0,1))/Ayarlar!$B$7)+IF(Topraklar!$K$5=Bitkiler!$C$30,0.002,IF(Topraklar!$L$5="Evet",0.001,0)))</f>
        <v/>
      </c>
      <c r="F31" s="16">
        <f>IF(OR(Topraklar!$J$6="Evet",AND(Topraklar!$L$6&lt;&gt;"Evet",Topraklar!$K$6&lt;&gt;Bitkiler!$C$30)),0,MAX(0,1-(Ayarlar!$B$2*ABS(Bitkiler!$D$30-Topraklar!$D$6)+Ayarlar!$B$3*ABS(Bitkiler!$E$30-Topraklar!$E$6)+Ayarlar!$B$4*ABS(Bitkiler!$F$30-Topraklar!$F$6)+Ayarlar!$B$5*ABS(Bitkiler!$G$30-Topraklar!$G$6)+Ayarlar!$B$6*IF(Bitkiler!$H$30=Topraklar!$H$6,0,1))/Ayarlar!$B$7)+IF(Topraklar!$K$6=Bitkiler!$C$30,0.002,IF(Topraklar!$L$6="Evet",0.001,0)))</f>
        <v/>
      </c>
      <c r="G31" s="16">
        <f>IF(OR(Topraklar!$J$7="Evet",AND(Topraklar!$L$7&lt;&gt;"Evet",Topraklar!$K$7&lt;&gt;Bitkiler!$C$30)),0,MAX(0,1-(Ayarlar!$B$2*ABS(Bitkiler!$D$30-Topraklar!$D$7)+Ayarlar!$B$3*ABS(Bitkiler!$E$30-Topraklar!$E$7)+Ayarlar!$B$4*ABS(Bitkiler!$F$30-Topraklar!$F$7)+Ayarlar!$B$5*ABS(Bitkiler!$G$30-Topraklar!$G$7)+Ayarlar!$B$6*IF(Bitkiler!$H$30=Topraklar!$H$7,0,1))/Ayarlar!$B$7)+IF(Topraklar!$K$7=Bitkiler!$C$30,0.002,IF(Topraklar!$L$7="Evet",0.001,0)))</f>
        <v/>
      </c>
      <c r="H31" s="16">
        <f>IF(OR(Topraklar!$J$8="Evet",AND(Topraklar!$L$8&lt;&gt;"Evet",Topraklar!$K$8&lt;&gt;Bitkiler!$C$30)),0,MAX(0,1-(Ayarlar!$B$2*ABS(Bitkiler!$D$30-Topraklar!$D$8)+Ayarlar!$B$3*ABS(Bitkiler!$E$30-Topraklar!$E$8)+Ayarlar!$B$4*ABS(Bitkiler!$F$30-Topraklar!$F$8)+Ayarlar!$B$5*ABS(Bitkiler!$G$30-Topraklar!$G$8)+Ayarlar!$B$6*IF(Bitkiler!$H$30=Topraklar!$H$8,0,1))/Ayarlar!$B$7)+IF(Topraklar!$K$8=Bitkiler!$C$30,0.002,IF(Topraklar!$L$8="Evet",0.001,0)))</f>
        <v/>
      </c>
      <c r="I31" s="16">
        <f>IF(OR(Topraklar!$J$9="Evet",AND(Topraklar!$L$9&lt;&gt;"Evet",Topraklar!$K$9&lt;&gt;Bitkiler!$C$30)),0,MAX(0,1-(Ayarlar!$B$2*ABS(Bitkiler!$D$30-Topraklar!$D$9)+Ayarlar!$B$3*ABS(Bitkiler!$E$30-Topraklar!$E$9)+Ayarlar!$B$4*ABS(Bitkiler!$F$30-Topraklar!$F$9)+Ayarlar!$B$5*ABS(Bitkiler!$G$30-Topraklar!$G$9)+Ayarlar!$B$6*IF(Bitkiler!$H$30=Topraklar!$H$9,0,1))/Ayarlar!$B$7)+IF(Topraklar!$K$9=Bitkiler!$C$30,0.002,IF(Topraklar!$L$9="Evet",0.001,0)))</f>
        <v/>
      </c>
      <c r="J31" s="16">
        <f>IF(OR(Topraklar!$J$10="Evet",AND(Topraklar!$L$10&lt;&gt;"Evet",Topraklar!$K$10&lt;&gt;Bitkiler!$C$30)),0,MAX(0,1-(Ayarlar!$B$2*ABS(Bitkiler!$D$30-Topraklar!$D$10)+Ayarlar!$B$3*ABS(Bitkiler!$E$30-Topraklar!$E$10)+Ayarlar!$B$4*ABS(Bitkiler!$F$30-Topraklar!$F$10)+Ayarlar!$B$5*ABS(Bitkiler!$G$30-Topraklar!$G$10)+Ayarlar!$B$6*IF(Bitkiler!$H$30=Topraklar!$H$10,0,1))/Ayarlar!$B$7)+IF(Topraklar!$K$10=Bitkiler!$C$30,0.002,IF(Topraklar!$L$10="Evet",0.001,0)))</f>
        <v/>
      </c>
      <c r="K31" s="16">
        <f>IF(OR(Topraklar!$J$11="Evet",AND(Topraklar!$L$11&lt;&gt;"Evet",Topraklar!$K$11&lt;&gt;Bitkiler!$C$30)),0,MAX(0,1-(Ayarlar!$B$2*ABS(Bitkiler!$D$30-Topraklar!$D$11)+Ayarlar!$B$3*ABS(Bitkiler!$E$30-Topraklar!$E$11)+Ayarlar!$B$4*ABS(Bitkiler!$F$30-Topraklar!$F$11)+Ayarlar!$B$5*ABS(Bitkiler!$G$30-Topraklar!$G$11)+Ayarlar!$B$6*IF(Bitkiler!$H$30=Topraklar!$H$11,0,1))/Ayarlar!$B$7)+IF(Topraklar!$K$11=Bitkiler!$C$30,0.002,IF(Topraklar!$L$11="Evet",0.001,0)))</f>
        <v/>
      </c>
      <c r="L31" s="16">
        <f>IF(OR(Topraklar!$J$12="Evet",AND(Topraklar!$L$12&lt;&gt;"Evet",Topraklar!$K$12&lt;&gt;Bitkiler!$C$30)),0,MAX(0,1-(Ayarlar!$B$2*ABS(Bitkiler!$D$30-Topraklar!$D$12)+Ayarlar!$B$3*ABS(Bitkiler!$E$30-Topraklar!$E$12)+Ayarlar!$B$4*ABS(Bitkiler!$F$30-Topraklar!$F$12)+Ayarlar!$B$5*ABS(Bitkiler!$G$30-Topraklar!$G$12)+Ayarlar!$B$6*IF(Bitkiler!$H$30=Topraklar!$H$12,0,1))/Ayarlar!$B$7)+IF(Topraklar!$K$12=Bitkiler!$C$30,0.002,IF(Topraklar!$L$12="Evet",0.001,0)))</f>
        <v/>
      </c>
      <c r="M31" s="16">
        <f>IF(OR(Topraklar!$J$13="Evet",AND(Topraklar!$L$13&lt;&gt;"Evet",Topraklar!$K$13&lt;&gt;Bitkiler!$C$30)),0,MAX(0,1-(Ayarlar!$B$2*ABS(Bitkiler!$D$30-Topraklar!$D$13)+Ayarlar!$B$3*ABS(Bitkiler!$E$30-Topraklar!$E$13)+Ayarlar!$B$4*ABS(Bitkiler!$F$30-Topraklar!$F$13)+Ayarlar!$B$5*ABS(Bitkiler!$G$30-Topraklar!$G$13)+Ayarlar!$B$6*IF(Bitkiler!$H$30=Topraklar!$H$13,0,1))/Ayarlar!$B$7)+IF(Topraklar!$K$13=Bitkiler!$C$30,0.002,IF(Topraklar!$L$13="Evet",0.001,0)))</f>
        <v/>
      </c>
      <c r="N31" s="16">
        <f>IF(OR(Topraklar!$J$14="Evet",AND(Topraklar!$L$14&lt;&gt;"Evet",Topraklar!$K$14&lt;&gt;Bitkiler!$C$30)),0,MAX(0,1-(Ayarlar!$B$2*ABS(Bitkiler!$D$30-Topraklar!$D$14)+Ayarlar!$B$3*ABS(Bitkiler!$E$30-Topraklar!$E$14)+Ayarlar!$B$4*ABS(Bitkiler!$F$30-Topraklar!$F$14)+Ayarlar!$B$5*ABS(Bitkiler!$G$30-Topraklar!$G$14)+Ayarlar!$B$6*IF(Bitkiler!$H$30=Topraklar!$H$14,0,1))/Ayarlar!$B$7)+IF(Topraklar!$K$14=Bitkiler!$C$30,0.002,IF(Topraklar!$L$14="Evet",0.001,0)))</f>
        <v/>
      </c>
      <c r="O31" s="16">
        <f>IF(OR(Topraklar!$J$15="Evet",AND(Topraklar!$L$15&lt;&gt;"Evet",Topraklar!$K$15&lt;&gt;Bitkiler!$C$30)),0,MAX(0,1-(Ayarlar!$B$2*ABS(Bitkiler!$D$30-Topraklar!$D$15)+Ayarlar!$B$3*ABS(Bitkiler!$E$30-Topraklar!$E$15)+Ayarlar!$B$4*ABS(Bitkiler!$F$30-Topraklar!$F$15)+Ayarlar!$B$5*ABS(Bitkiler!$G$30-Topraklar!$G$15)+Ayarlar!$B$6*IF(Bitkiler!$H$30=Topraklar!$H$15,0,1))/Ayarlar!$B$7)+IF(Topraklar!$K$15=Bitkiler!$C$30,0.002,IF(Topraklar!$L$15="Evet",0.001,0)))</f>
        <v/>
      </c>
      <c r="P31" s="16">
        <f>IF(OR(Topraklar!$J$16="Evet",AND(Topraklar!$L$16&lt;&gt;"Evet",Topraklar!$K$16&lt;&gt;Bitkiler!$C$30)),0,MAX(0,1-(Ayarlar!$B$2*ABS(Bitkiler!$D$30-Topraklar!$D$16)+Ayarlar!$B$3*ABS(Bitkiler!$E$30-Topraklar!$E$16)+Ayarlar!$B$4*ABS(Bitkiler!$F$30-Topraklar!$F$16)+Ayarlar!$B$5*ABS(Bitkiler!$G$30-Topraklar!$G$16)+Ayarlar!$B$6*IF(Bitkiler!$H$30=Topraklar!$H$16,0,1))/Ayarlar!$B$7)+IF(Topraklar!$K$16=Bitkiler!$C$30,0.002,IF(Topraklar!$L$16="Evet",0.001,0)))</f>
        <v/>
      </c>
      <c r="Q31" s="16">
        <f>IF(OR(Topraklar!$J$17="Evet",AND(Topraklar!$L$17&lt;&gt;"Evet",Topraklar!$K$17&lt;&gt;Bitkiler!$C$30)),0,MAX(0,1-(Ayarlar!$B$2*ABS(Bitkiler!$D$30-Topraklar!$D$17)+Ayarlar!$B$3*ABS(Bitkiler!$E$30-Topraklar!$E$17)+Ayarlar!$B$4*ABS(Bitkiler!$F$30-Topraklar!$F$17)+Ayarlar!$B$5*ABS(Bitkiler!$G$30-Topraklar!$G$17)+Ayarlar!$B$6*IF(Bitkiler!$H$30=Topraklar!$H$17,0,1))/Ayarlar!$B$7)+IF(Topraklar!$K$17=Bitkiler!$C$30,0.002,IF(Topraklar!$L$17="Evet",0.001,0)))</f>
        <v/>
      </c>
      <c r="R31" s="16">
        <f>IF(OR(Topraklar!$J$18="Evet",AND(Topraklar!$L$18&lt;&gt;"Evet",Topraklar!$K$18&lt;&gt;Bitkiler!$C$30)),0,MAX(0,1-(Ayarlar!$B$2*ABS(Bitkiler!$D$30-Topraklar!$D$18)+Ayarlar!$B$3*ABS(Bitkiler!$E$30-Topraklar!$E$18)+Ayarlar!$B$4*ABS(Bitkiler!$F$30-Topraklar!$F$18)+Ayarlar!$B$5*ABS(Bitkiler!$G$30-Topraklar!$G$18)+Ayarlar!$B$6*IF(Bitkiler!$H$30=Topraklar!$H$18,0,1))/Ayarlar!$B$7)+IF(Topraklar!$K$18=Bitkiler!$C$30,0.002,IF(Topraklar!$L$18="Evet",0.001,0)))</f>
        <v/>
      </c>
      <c r="S31" s="16">
        <f>IF(OR(Topraklar!$J$19="Evet",AND(Topraklar!$L$19&lt;&gt;"Evet",Topraklar!$K$19&lt;&gt;Bitkiler!$C$30)),0,MAX(0,1-(Ayarlar!$B$2*ABS(Bitkiler!$D$30-Topraklar!$D$19)+Ayarlar!$B$3*ABS(Bitkiler!$E$30-Topraklar!$E$19)+Ayarlar!$B$4*ABS(Bitkiler!$F$30-Topraklar!$F$19)+Ayarlar!$B$5*ABS(Bitkiler!$G$30-Topraklar!$G$19)+Ayarlar!$B$6*IF(Bitkiler!$H$30=Topraklar!$H$19,0,1))/Ayarlar!$B$7)+IF(Topraklar!$K$19=Bitkiler!$C$30,0.002,IF(Topraklar!$L$19="Evet",0.001,0)))</f>
        <v/>
      </c>
      <c r="T31" s="16">
        <f>IF(OR(Topraklar!$J$20="Evet",AND(Topraklar!$L$20&lt;&gt;"Evet",Topraklar!$K$20&lt;&gt;Bitkiler!$C$30)),0,MAX(0,1-(Ayarlar!$B$2*ABS(Bitkiler!$D$30-Topraklar!$D$20)+Ayarlar!$B$3*ABS(Bitkiler!$E$30-Topraklar!$E$20)+Ayarlar!$B$4*ABS(Bitkiler!$F$30-Topraklar!$F$20)+Ayarlar!$B$5*ABS(Bitkiler!$G$30-Topraklar!$G$20)+Ayarlar!$B$6*IF(Bitkiler!$H$30=Topraklar!$H$20,0,1))/Ayarlar!$B$7)+IF(Topraklar!$K$20=Bitkiler!$C$30,0.002,IF(Topraklar!$L$20="Evet",0.001,0)))</f>
        <v/>
      </c>
      <c r="U31" s="16">
        <f>IF(OR(Topraklar!$J$21="Evet",AND(Topraklar!$L$21&lt;&gt;"Evet",Topraklar!$K$21&lt;&gt;Bitkiler!$C$30)),0,MAX(0,1-(Ayarlar!$B$2*ABS(Bitkiler!$D$30-Topraklar!$D$21)+Ayarlar!$B$3*ABS(Bitkiler!$E$30-Topraklar!$E$21)+Ayarlar!$B$4*ABS(Bitkiler!$F$30-Topraklar!$F$21)+Ayarlar!$B$5*ABS(Bitkiler!$G$30-Topraklar!$G$21)+Ayarlar!$B$6*IF(Bitkiler!$H$30=Topraklar!$H$21,0,1))/Ayarlar!$B$7)+IF(Topraklar!$K$21=Bitkiler!$C$30,0.002,IF(Topraklar!$L$21="Evet",0.001,0)))</f>
        <v/>
      </c>
      <c r="V31" s="16">
        <f>IF(OR(Topraklar!$J$22="Evet",AND(Topraklar!$L$22&lt;&gt;"Evet",Topraklar!$K$22&lt;&gt;Bitkiler!$C$30)),0,MAX(0,1-(Ayarlar!$B$2*ABS(Bitkiler!$D$30-Topraklar!$D$22)+Ayarlar!$B$3*ABS(Bitkiler!$E$30-Topraklar!$E$22)+Ayarlar!$B$4*ABS(Bitkiler!$F$30-Topraklar!$F$22)+Ayarlar!$B$5*ABS(Bitkiler!$G$30-Topraklar!$G$22)+Ayarlar!$B$6*IF(Bitkiler!$H$30=Topraklar!$H$22,0,1))/Ayarlar!$B$7)+IF(Topraklar!$K$22=Bitkiler!$C$30,0.002,IF(Topraklar!$L$22="Evet",0.001,0)))</f>
        <v/>
      </c>
      <c r="W31" s="16">
        <f>IF(OR(Topraklar!$J$23="Evet",AND(Topraklar!$L$23&lt;&gt;"Evet",Topraklar!$K$23&lt;&gt;Bitkiler!$C$30)),0,MAX(0,1-(Ayarlar!$B$2*ABS(Bitkiler!$D$30-Topraklar!$D$23)+Ayarlar!$B$3*ABS(Bitkiler!$E$30-Topraklar!$E$23)+Ayarlar!$B$4*ABS(Bitkiler!$F$30-Topraklar!$F$23)+Ayarlar!$B$5*ABS(Bitkiler!$G$30-Topraklar!$G$23)+Ayarlar!$B$6*IF(Bitkiler!$H$30=Topraklar!$H$23,0,1))/Ayarlar!$B$7)+IF(Topraklar!$K$23=Bitkiler!$C$30,0.002,IF(Topraklar!$L$23="Evet",0.001,0)))</f>
        <v/>
      </c>
      <c r="X31" s="16">
        <f>IF(OR(Topraklar!$J$24="Evet",AND(Topraklar!$L$24&lt;&gt;"Evet",Topraklar!$K$24&lt;&gt;Bitkiler!$C$30)),0,MAX(0,1-(Ayarlar!$B$2*ABS(Bitkiler!$D$30-Topraklar!$D$24)+Ayarlar!$B$3*ABS(Bitkiler!$E$30-Topraklar!$E$24)+Ayarlar!$B$4*ABS(Bitkiler!$F$30-Topraklar!$F$24)+Ayarlar!$B$5*ABS(Bitkiler!$G$30-Topraklar!$G$24)+Ayarlar!$B$6*IF(Bitkiler!$H$30=Topraklar!$H$24,0,1))/Ayarlar!$B$7)+IF(Topraklar!$K$24=Bitkiler!$C$30,0.002,IF(Topraklar!$L$24="Evet",0.001,0)))</f>
        <v/>
      </c>
      <c r="Y31" s="16">
        <f>IF(OR(Topraklar!$J$25="Evet",AND(Topraklar!$L$25&lt;&gt;"Evet",Topraklar!$K$25&lt;&gt;Bitkiler!$C$30)),0,MAX(0,1-(Ayarlar!$B$2*ABS(Bitkiler!$D$30-Topraklar!$D$25)+Ayarlar!$B$3*ABS(Bitkiler!$E$30-Topraklar!$E$25)+Ayarlar!$B$4*ABS(Bitkiler!$F$30-Topraklar!$F$25)+Ayarlar!$B$5*ABS(Bitkiler!$G$30-Topraklar!$G$25)+Ayarlar!$B$6*IF(Bitkiler!$H$30=Topraklar!$H$25,0,1))/Ayarlar!$B$7)+IF(Topraklar!$K$25=Bitkiler!$C$30,0.002,IF(Topraklar!$L$25="Evet",0.001,0)))</f>
        <v/>
      </c>
      <c r="Z31" s="16">
        <f>IF(OR(Topraklar!$J$26="Evet",AND(Topraklar!$L$26&lt;&gt;"Evet",Topraklar!$K$26&lt;&gt;Bitkiler!$C$30)),0,MAX(0,1-(Ayarlar!$B$2*ABS(Bitkiler!$D$30-Topraklar!$D$26)+Ayarlar!$B$3*ABS(Bitkiler!$E$30-Topraklar!$E$26)+Ayarlar!$B$4*ABS(Bitkiler!$F$30-Topraklar!$F$26)+Ayarlar!$B$5*ABS(Bitkiler!$G$30-Topraklar!$G$26)+Ayarlar!$B$6*IF(Bitkiler!$H$30=Topraklar!$H$26,0,1))/Ayarlar!$B$7)+IF(Topraklar!$K$26=Bitkiler!$C$30,0.002,IF(Topraklar!$L$26="Evet",0.001,0)))</f>
        <v/>
      </c>
      <c r="AA31" s="16">
        <f>IF(OR(Topraklar!$J$27="Evet",AND(Topraklar!$L$27&lt;&gt;"Evet",Topraklar!$K$27&lt;&gt;Bitkiler!$C$30)),0,MAX(0,1-(Ayarlar!$B$2*ABS(Bitkiler!$D$30-Topraklar!$D$27)+Ayarlar!$B$3*ABS(Bitkiler!$E$30-Topraklar!$E$27)+Ayarlar!$B$4*ABS(Bitkiler!$F$30-Topraklar!$F$27)+Ayarlar!$B$5*ABS(Bitkiler!$G$30-Topraklar!$G$27)+Ayarlar!$B$6*IF(Bitkiler!$H$30=Topraklar!$H$27,0,1))/Ayarlar!$B$7)+IF(Topraklar!$K$27=Bitkiler!$C$30,0.002,IF(Topraklar!$L$27="Evet",0.001,0)))</f>
        <v/>
      </c>
      <c r="AB31" s="16">
        <f>IF(OR(Topraklar!$J$28="Evet",AND(Topraklar!$L$28&lt;&gt;"Evet",Topraklar!$K$28&lt;&gt;Bitkiler!$C$30)),0,MAX(0,1-(Ayarlar!$B$2*ABS(Bitkiler!$D$30-Topraklar!$D$28)+Ayarlar!$B$3*ABS(Bitkiler!$E$30-Topraklar!$E$28)+Ayarlar!$B$4*ABS(Bitkiler!$F$30-Topraklar!$F$28)+Ayarlar!$B$5*ABS(Bitkiler!$G$30-Topraklar!$G$28)+Ayarlar!$B$6*IF(Bitkiler!$H$30=Topraklar!$H$28,0,1))/Ayarlar!$B$7)+IF(Topraklar!$K$28=Bitkiler!$C$30,0.002,IF(Topraklar!$L$28="Evet",0.001,0)))</f>
        <v/>
      </c>
      <c r="AC31" s="16">
        <f>IF(OR(Topraklar!$J$29="Evet",AND(Topraklar!$L$29&lt;&gt;"Evet",Topraklar!$K$29&lt;&gt;Bitkiler!$C$30)),0,MAX(0,1-(Ayarlar!$B$2*ABS(Bitkiler!$D$30-Topraklar!$D$29)+Ayarlar!$B$3*ABS(Bitkiler!$E$30-Topraklar!$E$29)+Ayarlar!$B$4*ABS(Bitkiler!$F$30-Topraklar!$F$29)+Ayarlar!$B$5*ABS(Bitkiler!$G$30-Topraklar!$G$29)+Ayarlar!$B$6*IF(Bitkiler!$H$30=Topraklar!$H$29,0,1))/Ayarlar!$B$7)+IF(Topraklar!$K$29=Bitkiler!$C$30,0.002,IF(Topraklar!$L$29="Evet",0.001,0)))</f>
        <v/>
      </c>
      <c r="AD31" s="16">
        <f>IF(OR(Topraklar!$J$30="Evet",AND(Topraklar!$L$30&lt;&gt;"Evet",Topraklar!$K$30&lt;&gt;Bitkiler!$C$30)),0,MAX(0,1-(Ayarlar!$B$2*ABS(Bitkiler!$D$30-Topraklar!$D$30)+Ayarlar!$B$3*ABS(Bitkiler!$E$30-Topraklar!$E$30)+Ayarlar!$B$4*ABS(Bitkiler!$F$30-Topraklar!$F$30)+Ayarlar!$B$5*ABS(Bitkiler!$G$30-Topraklar!$G$30)+Ayarlar!$B$6*IF(Bitkiler!$H$30=Topraklar!$H$30,0,1))/Ayarlar!$B$7)+IF(Topraklar!$K$30=Bitkiler!$C$30,0.002,IF(Topraklar!$L$30="Evet",0.001,0)))</f>
        <v/>
      </c>
      <c r="AE31" s="16">
        <f>IF(OR(Topraklar!$J$31="Evet",AND(Topraklar!$L$31&lt;&gt;"Evet",Topraklar!$K$31&lt;&gt;Bitkiler!$C$30)),0,MAX(0,1-(Ayarlar!$B$2*ABS(Bitkiler!$D$30-Topraklar!$D$31)+Ayarlar!$B$3*ABS(Bitkiler!$E$30-Topraklar!$E$31)+Ayarlar!$B$4*ABS(Bitkiler!$F$30-Topraklar!$F$31)+Ayarlar!$B$5*ABS(Bitkiler!$G$30-Topraklar!$G$31)+Ayarlar!$B$6*IF(Bitkiler!$H$30=Topraklar!$H$31,0,1))/Ayarlar!$B$7)+IF(Topraklar!$K$31=Bitkiler!$C$30,0.002,IF(Topraklar!$L$31="Evet",0.001,0)))</f>
        <v/>
      </c>
      <c r="AF31" s="16">
        <f>IF(OR(Topraklar!$J$32="Evet",AND(Topraklar!$L$32&lt;&gt;"Evet",Topraklar!$K$32&lt;&gt;Bitkiler!$C$30)),0,MAX(0,1-(Ayarlar!$B$2*ABS(Bitkiler!$D$30-Topraklar!$D$32)+Ayarlar!$B$3*ABS(Bitkiler!$E$30-Topraklar!$E$32)+Ayarlar!$B$4*ABS(Bitkiler!$F$30-Topraklar!$F$32)+Ayarlar!$B$5*ABS(Bitkiler!$G$30-Topraklar!$G$32)+Ayarlar!$B$6*IF(Bitkiler!$H$30=Topraklar!$H$32,0,1))/Ayarlar!$B$7)+IF(Topraklar!$K$32=Bitkiler!$C$30,0.002,IF(Topraklar!$L$32="Evet",0.001,0)))</f>
        <v/>
      </c>
      <c r="AG31" s="16">
        <f>IF(OR(Topraklar!$J$33="Evet",AND(Topraklar!$L$33&lt;&gt;"Evet",Topraklar!$K$33&lt;&gt;Bitkiler!$C$30)),0,MAX(0,1-(Ayarlar!$B$2*ABS(Bitkiler!$D$30-Topraklar!$D$33)+Ayarlar!$B$3*ABS(Bitkiler!$E$30-Topraklar!$E$33)+Ayarlar!$B$4*ABS(Bitkiler!$F$30-Topraklar!$F$33)+Ayarlar!$B$5*ABS(Bitkiler!$G$30-Topraklar!$G$33)+Ayarlar!$B$6*IF(Bitkiler!$H$30=Topraklar!$H$33,0,1))/Ayarlar!$B$7)+IF(Topraklar!$K$33=Bitkiler!$C$30,0.002,IF(Topraklar!$L$33="Evet",0.001,0)))</f>
        <v/>
      </c>
      <c r="AH31" s="16">
        <f>IF(OR(Topraklar!$J$34="Evet",AND(Topraklar!$L$34&lt;&gt;"Evet",Topraklar!$K$34&lt;&gt;Bitkiler!$C$30)),0,MAX(0,1-(Ayarlar!$B$2*ABS(Bitkiler!$D$30-Topraklar!$D$34)+Ayarlar!$B$3*ABS(Bitkiler!$E$30-Topraklar!$E$34)+Ayarlar!$B$4*ABS(Bitkiler!$F$30-Topraklar!$F$34)+Ayarlar!$B$5*ABS(Bitkiler!$G$30-Topraklar!$G$34)+Ayarlar!$B$6*IF(Bitkiler!$H$30=Topraklar!$H$34,0,1))/Ayarlar!$B$7)+IF(Topraklar!$K$34=Bitkiler!$C$30,0.002,IF(Topraklar!$L$34="Evet",0.001,0)))</f>
        <v/>
      </c>
      <c r="AI31" s="16">
        <f>IF(OR(Topraklar!$J$35="Evet",AND(Topraklar!$L$35&lt;&gt;"Evet",Topraklar!$K$35&lt;&gt;Bitkiler!$C$30)),0,MAX(0,1-(Ayarlar!$B$2*ABS(Bitkiler!$D$30-Topraklar!$D$35)+Ayarlar!$B$3*ABS(Bitkiler!$E$30-Topraklar!$E$35)+Ayarlar!$B$4*ABS(Bitkiler!$F$30-Topraklar!$F$35)+Ayarlar!$B$5*ABS(Bitkiler!$G$30-Topraklar!$G$35)+Ayarlar!$B$6*IF(Bitkiler!$H$30=Topraklar!$H$35,0,1))/Ayarlar!$B$7)+IF(Topraklar!$K$35=Bitkiler!$C$30,0.002,IF(Topraklar!$L$35="Evet",0.001,0)))</f>
        <v/>
      </c>
      <c r="AJ31" s="16">
        <f>IF(OR(Topraklar!$J$36="Evet",AND(Topraklar!$L$36&lt;&gt;"Evet",Topraklar!$K$36&lt;&gt;Bitkiler!$C$30)),0,MAX(0,1-(Ayarlar!$B$2*ABS(Bitkiler!$D$30-Topraklar!$D$36)+Ayarlar!$B$3*ABS(Bitkiler!$E$30-Topraklar!$E$36)+Ayarlar!$B$4*ABS(Bitkiler!$F$30-Topraklar!$F$36)+Ayarlar!$B$5*ABS(Bitkiler!$G$30-Topraklar!$G$36)+Ayarlar!$B$6*IF(Bitkiler!$H$30=Topraklar!$H$36,0,1))/Ayarlar!$B$7)+IF(Topraklar!$K$36=Bitkiler!$C$30,0.002,IF(Topraklar!$L$36="Evet",0.001,0)))</f>
        <v/>
      </c>
      <c r="AK31" s="16">
        <f>IF(OR(Topraklar!$J$37="Evet",AND(Topraklar!$L$37&lt;&gt;"Evet",Topraklar!$K$37&lt;&gt;Bitkiler!$C$30)),0,MAX(0,1-(Ayarlar!$B$2*ABS(Bitkiler!$D$30-Topraklar!$D$37)+Ayarlar!$B$3*ABS(Bitkiler!$E$30-Topraklar!$E$37)+Ayarlar!$B$4*ABS(Bitkiler!$F$30-Topraklar!$F$37)+Ayarlar!$B$5*ABS(Bitkiler!$G$30-Topraklar!$G$37)+Ayarlar!$B$6*IF(Bitkiler!$H$30=Topraklar!$H$37,0,1))/Ayarlar!$B$7)+IF(Topraklar!$K$37=Bitkiler!$C$30,0.002,IF(Topraklar!$L$37="Evet",0.001,0)))</f>
        <v/>
      </c>
      <c r="AL31" s="16">
        <f>IF(OR(Topraklar!$J$38="Evet",AND(Topraklar!$L$38&lt;&gt;"Evet",Topraklar!$K$38&lt;&gt;Bitkiler!$C$30)),0,MAX(0,1-(Ayarlar!$B$2*ABS(Bitkiler!$D$30-Topraklar!$D$38)+Ayarlar!$B$3*ABS(Bitkiler!$E$30-Topraklar!$E$38)+Ayarlar!$B$4*ABS(Bitkiler!$F$30-Topraklar!$F$38)+Ayarlar!$B$5*ABS(Bitkiler!$G$30-Topraklar!$G$38)+Ayarlar!$B$6*IF(Bitkiler!$H$30=Topraklar!$H$38,0,1))/Ayarlar!$B$7)+IF(Topraklar!$K$38=Bitkiler!$C$30,0.002,IF(Topraklar!$L$38="Evet",0.001,0)))</f>
        <v/>
      </c>
      <c r="AM31" s="16">
        <f>IF(OR(Topraklar!$J$39="Evet",AND(Topraklar!$L$39&lt;&gt;"Evet",Topraklar!$K$39&lt;&gt;Bitkiler!$C$30)),0,MAX(0,1-(Ayarlar!$B$2*ABS(Bitkiler!$D$30-Topraklar!$D$39)+Ayarlar!$B$3*ABS(Bitkiler!$E$30-Topraklar!$E$39)+Ayarlar!$B$4*ABS(Bitkiler!$F$30-Topraklar!$F$39)+Ayarlar!$B$5*ABS(Bitkiler!$G$30-Topraklar!$G$39)+Ayarlar!$B$6*IF(Bitkiler!$H$30=Topraklar!$H$39,0,1))/Ayarlar!$B$7)+IF(Topraklar!$K$39=Bitkiler!$C$30,0.002,IF(Topraklar!$L$39="Evet",0.001,0)))</f>
        <v/>
      </c>
      <c r="AN31" s="16">
        <f>IF(OR(Topraklar!$J$40="Evet",AND(Topraklar!$L$40&lt;&gt;"Evet",Topraklar!$K$40&lt;&gt;Bitkiler!$C$30)),0,MAX(0,1-(Ayarlar!$B$2*ABS(Bitkiler!$D$30-Topraklar!$D$40)+Ayarlar!$B$3*ABS(Bitkiler!$E$30-Topraklar!$E$40)+Ayarlar!$B$4*ABS(Bitkiler!$F$30-Topraklar!$F$40)+Ayarlar!$B$5*ABS(Bitkiler!$G$30-Topraklar!$G$40)+Ayarlar!$B$6*IF(Bitkiler!$H$30=Topraklar!$H$40,0,1))/Ayarlar!$B$7)+IF(Topraklar!$K$40=Bitkiler!$C$30,0.002,IF(Topraklar!$L$40="Evet",0.001,0)))</f>
        <v/>
      </c>
      <c r="AO31" s="16">
        <f>IF(OR(Topraklar!$J$41="Evet",AND(Topraklar!$L$41&lt;&gt;"Evet",Topraklar!$K$41&lt;&gt;Bitkiler!$C$30)),0,MAX(0,1-(Ayarlar!$B$2*ABS(Bitkiler!$D$30-Topraklar!$D$41)+Ayarlar!$B$3*ABS(Bitkiler!$E$30-Topraklar!$E$41)+Ayarlar!$B$4*ABS(Bitkiler!$F$30-Topraklar!$F$41)+Ayarlar!$B$5*ABS(Bitkiler!$G$30-Topraklar!$G$41)+Ayarlar!$B$6*IF(Bitkiler!$H$30=Topraklar!$H$41,0,1))/Ayarlar!$B$7)+IF(Topraklar!$K$41=Bitkiler!$C$30,0.002,IF(Topraklar!$L$41="Evet",0.001,0)))</f>
        <v/>
      </c>
      <c r="AP31" s="16">
        <f>IF(OR(Topraklar!$J$42="Evet",AND(Topraklar!$L$42&lt;&gt;"Evet",Topraklar!$K$42&lt;&gt;Bitkiler!$C$30)),0,MAX(0,1-(Ayarlar!$B$2*ABS(Bitkiler!$D$30-Topraklar!$D$42)+Ayarlar!$B$3*ABS(Bitkiler!$E$30-Topraklar!$E$42)+Ayarlar!$B$4*ABS(Bitkiler!$F$30-Topraklar!$F$42)+Ayarlar!$B$5*ABS(Bitkiler!$G$30-Topraklar!$G$42)+Ayarlar!$B$6*IF(Bitkiler!$H$30=Topraklar!$H$42,0,1))/Ayarlar!$B$7)+IF(Topraklar!$K$42=Bitkiler!$C$30,0.002,IF(Topraklar!$L$42="Evet",0.001,0)))</f>
        <v/>
      </c>
      <c r="AQ31" s="16">
        <f>IF(OR(Topraklar!$J$43="Evet",AND(Topraklar!$L$43&lt;&gt;"Evet",Topraklar!$K$43&lt;&gt;Bitkiler!$C$30)),0,MAX(0,1-(Ayarlar!$B$2*ABS(Bitkiler!$D$30-Topraklar!$D$43)+Ayarlar!$B$3*ABS(Bitkiler!$E$30-Topraklar!$E$43)+Ayarlar!$B$4*ABS(Bitkiler!$F$30-Topraklar!$F$43)+Ayarlar!$B$5*ABS(Bitkiler!$G$30-Topraklar!$G$43)+Ayarlar!$B$6*IF(Bitkiler!$H$30=Topraklar!$H$43,0,1))/Ayarlar!$B$7)+IF(Topraklar!$K$43=Bitkiler!$C$30,0.002,IF(Topraklar!$L$43="Evet",0.001,0)))</f>
        <v/>
      </c>
      <c r="AR31" s="16">
        <f>IF(OR(Topraklar!$J$44="Evet",AND(Topraklar!$L$44&lt;&gt;"Evet",Topraklar!$K$44&lt;&gt;Bitkiler!$C$30)),0,MAX(0,1-(Ayarlar!$B$2*ABS(Bitkiler!$D$30-Topraklar!$D$44)+Ayarlar!$B$3*ABS(Bitkiler!$E$30-Topraklar!$E$44)+Ayarlar!$B$4*ABS(Bitkiler!$F$30-Topraklar!$F$44)+Ayarlar!$B$5*ABS(Bitkiler!$G$30-Topraklar!$G$44)+Ayarlar!$B$6*IF(Bitkiler!$H$30=Topraklar!$H$44,0,1))/Ayarlar!$B$7)+IF(Topraklar!$K$44=Bitkiler!$C$30,0.002,IF(Topraklar!$L$44="Evet",0.001,0)))</f>
        <v/>
      </c>
      <c r="AS31" s="16">
        <f>IF(OR(Topraklar!$J$45="Evet",AND(Topraklar!$L$45&lt;&gt;"Evet",Topraklar!$K$45&lt;&gt;Bitkiler!$C$30)),0,MAX(0,1-(Ayarlar!$B$2*ABS(Bitkiler!$D$30-Topraklar!$D$45)+Ayarlar!$B$3*ABS(Bitkiler!$E$30-Topraklar!$E$45)+Ayarlar!$B$4*ABS(Bitkiler!$F$30-Topraklar!$F$45)+Ayarlar!$B$5*ABS(Bitkiler!$G$30-Topraklar!$G$45)+Ayarlar!$B$6*IF(Bitkiler!$H$30=Topraklar!$H$45,0,1))/Ayarlar!$B$7)+IF(Topraklar!$K$45=Bitkiler!$C$30,0.002,IF(Topraklar!$L$45="Evet",0.001,0)))</f>
        <v/>
      </c>
      <c r="AT31" s="16">
        <f>IF(OR(Topraklar!$J$46="Evet",AND(Topraklar!$L$46&lt;&gt;"Evet",Topraklar!$K$46&lt;&gt;Bitkiler!$C$30)),0,MAX(0,1-(Ayarlar!$B$2*ABS(Bitkiler!$D$30-Topraklar!$D$46)+Ayarlar!$B$3*ABS(Bitkiler!$E$30-Topraklar!$E$46)+Ayarlar!$B$4*ABS(Bitkiler!$F$30-Topraklar!$F$46)+Ayarlar!$B$5*ABS(Bitkiler!$G$30-Topraklar!$G$46)+Ayarlar!$B$6*IF(Bitkiler!$H$30=Topraklar!$H$46,0,1))/Ayarlar!$B$7)+IF(Topraklar!$K$46=Bitkiler!$C$30,0.002,IF(Topraklar!$L$46="Evet",0.001,0)))</f>
        <v/>
      </c>
      <c r="AU31" s="16">
        <f>IF(OR(Topraklar!$J$47="Evet",AND(Topraklar!$L$47&lt;&gt;"Evet",Topraklar!$K$47&lt;&gt;Bitkiler!$C$30)),0,MAX(0,1-(Ayarlar!$B$2*ABS(Bitkiler!$D$30-Topraklar!$D$47)+Ayarlar!$B$3*ABS(Bitkiler!$E$30-Topraklar!$E$47)+Ayarlar!$B$4*ABS(Bitkiler!$F$30-Topraklar!$F$47)+Ayarlar!$B$5*ABS(Bitkiler!$G$30-Topraklar!$G$47)+Ayarlar!$B$6*IF(Bitkiler!$H$30=Topraklar!$H$47,0,1))/Ayarlar!$B$7)+IF(Topraklar!$K$47=Bitkiler!$C$30,0.002,IF(Topraklar!$L$47="Evet",0.001,0)))</f>
        <v/>
      </c>
      <c r="AV31" s="16">
        <f>IF(OR(Topraklar!$J$48="Evet",AND(Topraklar!$L$48&lt;&gt;"Evet",Topraklar!$K$48&lt;&gt;Bitkiler!$C$30)),0,MAX(0,1-(Ayarlar!$B$2*ABS(Bitkiler!$D$30-Topraklar!$D$48)+Ayarlar!$B$3*ABS(Bitkiler!$E$30-Topraklar!$E$48)+Ayarlar!$B$4*ABS(Bitkiler!$F$30-Topraklar!$F$48)+Ayarlar!$B$5*ABS(Bitkiler!$G$30-Topraklar!$G$48)+Ayarlar!$B$6*IF(Bitkiler!$H$30=Topraklar!$H$48,0,1))/Ayarlar!$B$7)+IF(Topraklar!$K$48=Bitkiler!$C$30,0.002,IF(Topraklar!$L$48="Evet",0.001,0)))</f>
        <v/>
      </c>
      <c r="AW31" s="16">
        <f>IF(OR(Topraklar!$J$49="Evet",AND(Topraklar!$L$49&lt;&gt;"Evet",Topraklar!$K$49&lt;&gt;Bitkiler!$C$30)),0,MAX(0,1-(Ayarlar!$B$2*ABS(Bitkiler!$D$30-Topraklar!$D$49)+Ayarlar!$B$3*ABS(Bitkiler!$E$30-Topraklar!$E$49)+Ayarlar!$B$4*ABS(Bitkiler!$F$30-Topraklar!$F$49)+Ayarlar!$B$5*ABS(Bitkiler!$G$30-Topraklar!$G$49)+Ayarlar!$B$6*IF(Bitkiler!$H$30=Topraklar!$H$49,0,1))/Ayarlar!$B$7)+IF(Topraklar!$K$49=Bitkiler!$C$30,0.002,IF(Topraklar!$L$49="Evet",0.001,0)))</f>
        <v/>
      </c>
      <c r="AX31" s="16">
        <f>IF(OR(Topraklar!$J$50="Evet",AND(Topraklar!$L$50&lt;&gt;"Evet",Topraklar!$K$50&lt;&gt;Bitkiler!$C$30)),0,MAX(0,1-(Ayarlar!$B$2*ABS(Bitkiler!$D$30-Topraklar!$D$50)+Ayarlar!$B$3*ABS(Bitkiler!$E$30-Topraklar!$E$50)+Ayarlar!$B$4*ABS(Bitkiler!$F$30-Topraklar!$F$50)+Ayarlar!$B$5*ABS(Bitkiler!$G$30-Topraklar!$G$50)+Ayarlar!$B$6*IF(Bitkiler!$H$30=Topraklar!$H$50,0,1))/Ayarlar!$B$7)+IF(Topraklar!$K$50=Bitkiler!$C$30,0.002,IF(Topraklar!$L$50="Evet",0.001,0)))</f>
        <v/>
      </c>
      <c r="AY31" s="16">
        <f>IF(OR(Topraklar!$J$51="Evet",AND(Topraklar!$L$51&lt;&gt;"Evet",Topraklar!$K$51&lt;&gt;Bitkiler!$C$30)),0,MAX(0,1-(Ayarlar!$B$2*ABS(Bitkiler!$D$30-Topraklar!$D$51)+Ayarlar!$B$3*ABS(Bitkiler!$E$30-Topraklar!$E$51)+Ayarlar!$B$4*ABS(Bitkiler!$F$30-Topraklar!$F$51)+Ayarlar!$B$5*ABS(Bitkiler!$G$30-Topraklar!$G$51)+Ayarlar!$B$6*IF(Bitkiler!$H$30=Topraklar!$H$51,0,1))/Ayarlar!$B$7)+IF(Topraklar!$K$51=Bitkiler!$C$30,0.002,IF(Topraklar!$L$51="Evet",0.001,0)))</f>
        <v/>
      </c>
    </row>
    <row r="32">
      <c r="A32" s="15">
        <f>Bitkiler!A31</f>
        <v/>
      </c>
      <c r="B32" s="16">
        <f>IF(OR(Topraklar!$J$2="Evet",AND(Topraklar!$L$2&lt;&gt;"Evet",Topraklar!$K$2&lt;&gt;Bitkiler!$C$31)),0,MAX(0,1-(Ayarlar!$B$2*ABS(Bitkiler!$D$31-Topraklar!$D$2)+Ayarlar!$B$3*ABS(Bitkiler!$E$31-Topraklar!$E$2)+Ayarlar!$B$4*ABS(Bitkiler!$F$31-Topraklar!$F$2)+Ayarlar!$B$5*ABS(Bitkiler!$G$31-Topraklar!$G$2)+Ayarlar!$B$6*IF(Bitkiler!$H$31=Topraklar!$H$2,0,1))/Ayarlar!$B$7)+IF(Topraklar!$K$2=Bitkiler!$C$31,0.002,IF(Topraklar!$L$2="Evet",0.001,0)))</f>
        <v/>
      </c>
      <c r="C32" s="16">
        <f>IF(OR(Topraklar!$J$3="Evet",AND(Topraklar!$L$3&lt;&gt;"Evet",Topraklar!$K$3&lt;&gt;Bitkiler!$C$31)),0,MAX(0,1-(Ayarlar!$B$2*ABS(Bitkiler!$D$31-Topraklar!$D$3)+Ayarlar!$B$3*ABS(Bitkiler!$E$31-Topraklar!$E$3)+Ayarlar!$B$4*ABS(Bitkiler!$F$31-Topraklar!$F$3)+Ayarlar!$B$5*ABS(Bitkiler!$G$31-Topraklar!$G$3)+Ayarlar!$B$6*IF(Bitkiler!$H$31=Topraklar!$H$3,0,1))/Ayarlar!$B$7)+IF(Topraklar!$K$3=Bitkiler!$C$31,0.002,IF(Topraklar!$L$3="Evet",0.001,0)))</f>
        <v/>
      </c>
      <c r="D32" s="16">
        <f>IF(OR(Topraklar!$J$4="Evet",AND(Topraklar!$L$4&lt;&gt;"Evet",Topraklar!$K$4&lt;&gt;Bitkiler!$C$31)),0,MAX(0,1-(Ayarlar!$B$2*ABS(Bitkiler!$D$31-Topraklar!$D$4)+Ayarlar!$B$3*ABS(Bitkiler!$E$31-Topraklar!$E$4)+Ayarlar!$B$4*ABS(Bitkiler!$F$31-Topraklar!$F$4)+Ayarlar!$B$5*ABS(Bitkiler!$G$31-Topraklar!$G$4)+Ayarlar!$B$6*IF(Bitkiler!$H$31=Topraklar!$H$4,0,1))/Ayarlar!$B$7)+IF(Topraklar!$K$4=Bitkiler!$C$31,0.002,IF(Topraklar!$L$4="Evet",0.001,0)))</f>
        <v/>
      </c>
      <c r="E32" s="16">
        <f>IF(OR(Topraklar!$J$5="Evet",AND(Topraklar!$L$5&lt;&gt;"Evet",Topraklar!$K$5&lt;&gt;Bitkiler!$C$31)),0,MAX(0,1-(Ayarlar!$B$2*ABS(Bitkiler!$D$31-Topraklar!$D$5)+Ayarlar!$B$3*ABS(Bitkiler!$E$31-Topraklar!$E$5)+Ayarlar!$B$4*ABS(Bitkiler!$F$31-Topraklar!$F$5)+Ayarlar!$B$5*ABS(Bitkiler!$G$31-Topraklar!$G$5)+Ayarlar!$B$6*IF(Bitkiler!$H$31=Topraklar!$H$5,0,1))/Ayarlar!$B$7)+IF(Topraklar!$K$5=Bitkiler!$C$31,0.002,IF(Topraklar!$L$5="Evet",0.001,0)))</f>
        <v/>
      </c>
      <c r="F32" s="16">
        <f>IF(OR(Topraklar!$J$6="Evet",AND(Topraklar!$L$6&lt;&gt;"Evet",Topraklar!$K$6&lt;&gt;Bitkiler!$C$31)),0,MAX(0,1-(Ayarlar!$B$2*ABS(Bitkiler!$D$31-Topraklar!$D$6)+Ayarlar!$B$3*ABS(Bitkiler!$E$31-Topraklar!$E$6)+Ayarlar!$B$4*ABS(Bitkiler!$F$31-Topraklar!$F$6)+Ayarlar!$B$5*ABS(Bitkiler!$G$31-Topraklar!$G$6)+Ayarlar!$B$6*IF(Bitkiler!$H$31=Topraklar!$H$6,0,1))/Ayarlar!$B$7)+IF(Topraklar!$K$6=Bitkiler!$C$31,0.002,IF(Topraklar!$L$6="Evet",0.001,0)))</f>
        <v/>
      </c>
      <c r="G32" s="16">
        <f>IF(OR(Topraklar!$J$7="Evet",AND(Topraklar!$L$7&lt;&gt;"Evet",Topraklar!$K$7&lt;&gt;Bitkiler!$C$31)),0,MAX(0,1-(Ayarlar!$B$2*ABS(Bitkiler!$D$31-Topraklar!$D$7)+Ayarlar!$B$3*ABS(Bitkiler!$E$31-Topraklar!$E$7)+Ayarlar!$B$4*ABS(Bitkiler!$F$31-Topraklar!$F$7)+Ayarlar!$B$5*ABS(Bitkiler!$G$31-Topraklar!$G$7)+Ayarlar!$B$6*IF(Bitkiler!$H$31=Topraklar!$H$7,0,1))/Ayarlar!$B$7)+IF(Topraklar!$K$7=Bitkiler!$C$31,0.002,IF(Topraklar!$L$7="Evet",0.001,0)))</f>
        <v/>
      </c>
      <c r="H32" s="16">
        <f>IF(OR(Topraklar!$J$8="Evet",AND(Topraklar!$L$8&lt;&gt;"Evet",Topraklar!$K$8&lt;&gt;Bitkiler!$C$31)),0,MAX(0,1-(Ayarlar!$B$2*ABS(Bitkiler!$D$31-Topraklar!$D$8)+Ayarlar!$B$3*ABS(Bitkiler!$E$31-Topraklar!$E$8)+Ayarlar!$B$4*ABS(Bitkiler!$F$31-Topraklar!$F$8)+Ayarlar!$B$5*ABS(Bitkiler!$G$31-Topraklar!$G$8)+Ayarlar!$B$6*IF(Bitkiler!$H$31=Topraklar!$H$8,0,1))/Ayarlar!$B$7)+IF(Topraklar!$K$8=Bitkiler!$C$31,0.002,IF(Topraklar!$L$8="Evet",0.001,0)))</f>
        <v/>
      </c>
      <c r="I32" s="16">
        <f>IF(OR(Topraklar!$J$9="Evet",AND(Topraklar!$L$9&lt;&gt;"Evet",Topraklar!$K$9&lt;&gt;Bitkiler!$C$31)),0,MAX(0,1-(Ayarlar!$B$2*ABS(Bitkiler!$D$31-Topraklar!$D$9)+Ayarlar!$B$3*ABS(Bitkiler!$E$31-Topraklar!$E$9)+Ayarlar!$B$4*ABS(Bitkiler!$F$31-Topraklar!$F$9)+Ayarlar!$B$5*ABS(Bitkiler!$G$31-Topraklar!$G$9)+Ayarlar!$B$6*IF(Bitkiler!$H$31=Topraklar!$H$9,0,1))/Ayarlar!$B$7)+IF(Topraklar!$K$9=Bitkiler!$C$31,0.002,IF(Topraklar!$L$9="Evet",0.001,0)))</f>
        <v/>
      </c>
      <c r="J32" s="16">
        <f>IF(OR(Topraklar!$J$10="Evet",AND(Topraklar!$L$10&lt;&gt;"Evet",Topraklar!$K$10&lt;&gt;Bitkiler!$C$31)),0,MAX(0,1-(Ayarlar!$B$2*ABS(Bitkiler!$D$31-Topraklar!$D$10)+Ayarlar!$B$3*ABS(Bitkiler!$E$31-Topraklar!$E$10)+Ayarlar!$B$4*ABS(Bitkiler!$F$31-Topraklar!$F$10)+Ayarlar!$B$5*ABS(Bitkiler!$G$31-Topraklar!$G$10)+Ayarlar!$B$6*IF(Bitkiler!$H$31=Topraklar!$H$10,0,1))/Ayarlar!$B$7)+IF(Topraklar!$K$10=Bitkiler!$C$31,0.002,IF(Topraklar!$L$10="Evet",0.001,0)))</f>
        <v/>
      </c>
      <c r="K32" s="16">
        <f>IF(OR(Topraklar!$J$11="Evet",AND(Topraklar!$L$11&lt;&gt;"Evet",Topraklar!$K$11&lt;&gt;Bitkiler!$C$31)),0,MAX(0,1-(Ayarlar!$B$2*ABS(Bitkiler!$D$31-Topraklar!$D$11)+Ayarlar!$B$3*ABS(Bitkiler!$E$31-Topraklar!$E$11)+Ayarlar!$B$4*ABS(Bitkiler!$F$31-Topraklar!$F$11)+Ayarlar!$B$5*ABS(Bitkiler!$G$31-Topraklar!$G$11)+Ayarlar!$B$6*IF(Bitkiler!$H$31=Topraklar!$H$11,0,1))/Ayarlar!$B$7)+IF(Topraklar!$K$11=Bitkiler!$C$31,0.002,IF(Topraklar!$L$11="Evet",0.001,0)))</f>
        <v/>
      </c>
      <c r="L32" s="16">
        <f>IF(OR(Topraklar!$J$12="Evet",AND(Topraklar!$L$12&lt;&gt;"Evet",Topraklar!$K$12&lt;&gt;Bitkiler!$C$31)),0,MAX(0,1-(Ayarlar!$B$2*ABS(Bitkiler!$D$31-Topraklar!$D$12)+Ayarlar!$B$3*ABS(Bitkiler!$E$31-Topraklar!$E$12)+Ayarlar!$B$4*ABS(Bitkiler!$F$31-Topraklar!$F$12)+Ayarlar!$B$5*ABS(Bitkiler!$G$31-Topraklar!$G$12)+Ayarlar!$B$6*IF(Bitkiler!$H$31=Topraklar!$H$12,0,1))/Ayarlar!$B$7)+IF(Topraklar!$K$12=Bitkiler!$C$31,0.002,IF(Topraklar!$L$12="Evet",0.001,0)))</f>
        <v/>
      </c>
      <c r="M32" s="16">
        <f>IF(OR(Topraklar!$J$13="Evet",AND(Topraklar!$L$13&lt;&gt;"Evet",Topraklar!$K$13&lt;&gt;Bitkiler!$C$31)),0,MAX(0,1-(Ayarlar!$B$2*ABS(Bitkiler!$D$31-Topraklar!$D$13)+Ayarlar!$B$3*ABS(Bitkiler!$E$31-Topraklar!$E$13)+Ayarlar!$B$4*ABS(Bitkiler!$F$31-Topraklar!$F$13)+Ayarlar!$B$5*ABS(Bitkiler!$G$31-Topraklar!$G$13)+Ayarlar!$B$6*IF(Bitkiler!$H$31=Topraklar!$H$13,0,1))/Ayarlar!$B$7)+IF(Topraklar!$K$13=Bitkiler!$C$31,0.002,IF(Topraklar!$L$13="Evet",0.001,0)))</f>
        <v/>
      </c>
      <c r="N32" s="16">
        <f>IF(OR(Topraklar!$J$14="Evet",AND(Topraklar!$L$14&lt;&gt;"Evet",Topraklar!$K$14&lt;&gt;Bitkiler!$C$31)),0,MAX(0,1-(Ayarlar!$B$2*ABS(Bitkiler!$D$31-Topraklar!$D$14)+Ayarlar!$B$3*ABS(Bitkiler!$E$31-Topraklar!$E$14)+Ayarlar!$B$4*ABS(Bitkiler!$F$31-Topraklar!$F$14)+Ayarlar!$B$5*ABS(Bitkiler!$G$31-Topraklar!$G$14)+Ayarlar!$B$6*IF(Bitkiler!$H$31=Topraklar!$H$14,0,1))/Ayarlar!$B$7)+IF(Topraklar!$K$14=Bitkiler!$C$31,0.002,IF(Topraklar!$L$14="Evet",0.001,0)))</f>
        <v/>
      </c>
      <c r="O32" s="16">
        <f>IF(OR(Topraklar!$J$15="Evet",AND(Topraklar!$L$15&lt;&gt;"Evet",Topraklar!$K$15&lt;&gt;Bitkiler!$C$31)),0,MAX(0,1-(Ayarlar!$B$2*ABS(Bitkiler!$D$31-Topraklar!$D$15)+Ayarlar!$B$3*ABS(Bitkiler!$E$31-Topraklar!$E$15)+Ayarlar!$B$4*ABS(Bitkiler!$F$31-Topraklar!$F$15)+Ayarlar!$B$5*ABS(Bitkiler!$G$31-Topraklar!$G$15)+Ayarlar!$B$6*IF(Bitkiler!$H$31=Topraklar!$H$15,0,1))/Ayarlar!$B$7)+IF(Topraklar!$K$15=Bitkiler!$C$31,0.002,IF(Topraklar!$L$15="Evet",0.001,0)))</f>
        <v/>
      </c>
      <c r="P32" s="16">
        <f>IF(OR(Topraklar!$J$16="Evet",AND(Topraklar!$L$16&lt;&gt;"Evet",Topraklar!$K$16&lt;&gt;Bitkiler!$C$31)),0,MAX(0,1-(Ayarlar!$B$2*ABS(Bitkiler!$D$31-Topraklar!$D$16)+Ayarlar!$B$3*ABS(Bitkiler!$E$31-Topraklar!$E$16)+Ayarlar!$B$4*ABS(Bitkiler!$F$31-Topraklar!$F$16)+Ayarlar!$B$5*ABS(Bitkiler!$G$31-Topraklar!$G$16)+Ayarlar!$B$6*IF(Bitkiler!$H$31=Topraklar!$H$16,0,1))/Ayarlar!$B$7)+IF(Topraklar!$K$16=Bitkiler!$C$31,0.002,IF(Topraklar!$L$16="Evet",0.001,0)))</f>
        <v/>
      </c>
      <c r="Q32" s="16">
        <f>IF(OR(Topraklar!$J$17="Evet",AND(Topraklar!$L$17&lt;&gt;"Evet",Topraklar!$K$17&lt;&gt;Bitkiler!$C$31)),0,MAX(0,1-(Ayarlar!$B$2*ABS(Bitkiler!$D$31-Topraklar!$D$17)+Ayarlar!$B$3*ABS(Bitkiler!$E$31-Topraklar!$E$17)+Ayarlar!$B$4*ABS(Bitkiler!$F$31-Topraklar!$F$17)+Ayarlar!$B$5*ABS(Bitkiler!$G$31-Topraklar!$G$17)+Ayarlar!$B$6*IF(Bitkiler!$H$31=Topraklar!$H$17,0,1))/Ayarlar!$B$7)+IF(Topraklar!$K$17=Bitkiler!$C$31,0.002,IF(Topraklar!$L$17="Evet",0.001,0)))</f>
        <v/>
      </c>
      <c r="R32" s="16">
        <f>IF(OR(Topraklar!$J$18="Evet",AND(Topraklar!$L$18&lt;&gt;"Evet",Topraklar!$K$18&lt;&gt;Bitkiler!$C$31)),0,MAX(0,1-(Ayarlar!$B$2*ABS(Bitkiler!$D$31-Topraklar!$D$18)+Ayarlar!$B$3*ABS(Bitkiler!$E$31-Topraklar!$E$18)+Ayarlar!$B$4*ABS(Bitkiler!$F$31-Topraklar!$F$18)+Ayarlar!$B$5*ABS(Bitkiler!$G$31-Topraklar!$G$18)+Ayarlar!$B$6*IF(Bitkiler!$H$31=Topraklar!$H$18,0,1))/Ayarlar!$B$7)+IF(Topraklar!$K$18=Bitkiler!$C$31,0.002,IF(Topraklar!$L$18="Evet",0.001,0)))</f>
        <v/>
      </c>
      <c r="S32" s="16">
        <f>IF(OR(Topraklar!$J$19="Evet",AND(Topraklar!$L$19&lt;&gt;"Evet",Topraklar!$K$19&lt;&gt;Bitkiler!$C$31)),0,MAX(0,1-(Ayarlar!$B$2*ABS(Bitkiler!$D$31-Topraklar!$D$19)+Ayarlar!$B$3*ABS(Bitkiler!$E$31-Topraklar!$E$19)+Ayarlar!$B$4*ABS(Bitkiler!$F$31-Topraklar!$F$19)+Ayarlar!$B$5*ABS(Bitkiler!$G$31-Topraklar!$G$19)+Ayarlar!$B$6*IF(Bitkiler!$H$31=Topraklar!$H$19,0,1))/Ayarlar!$B$7)+IF(Topraklar!$K$19=Bitkiler!$C$31,0.002,IF(Topraklar!$L$19="Evet",0.001,0)))</f>
        <v/>
      </c>
      <c r="T32" s="16">
        <f>IF(OR(Topraklar!$J$20="Evet",AND(Topraklar!$L$20&lt;&gt;"Evet",Topraklar!$K$20&lt;&gt;Bitkiler!$C$31)),0,MAX(0,1-(Ayarlar!$B$2*ABS(Bitkiler!$D$31-Topraklar!$D$20)+Ayarlar!$B$3*ABS(Bitkiler!$E$31-Topraklar!$E$20)+Ayarlar!$B$4*ABS(Bitkiler!$F$31-Topraklar!$F$20)+Ayarlar!$B$5*ABS(Bitkiler!$G$31-Topraklar!$G$20)+Ayarlar!$B$6*IF(Bitkiler!$H$31=Topraklar!$H$20,0,1))/Ayarlar!$B$7)+IF(Topraklar!$K$20=Bitkiler!$C$31,0.002,IF(Topraklar!$L$20="Evet",0.001,0)))</f>
        <v/>
      </c>
      <c r="U32" s="16">
        <f>IF(OR(Topraklar!$J$21="Evet",AND(Topraklar!$L$21&lt;&gt;"Evet",Topraklar!$K$21&lt;&gt;Bitkiler!$C$31)),0,MAX(0,1-(Ayarlar!$B$2*ABS(Bitkiler!$D$31-Topraklar!$D$21)+Ayarlar!$B$3*ABS(Bitkiler!$E$31-Topraklar!$E$21)+Ayarlar!$B$4*ABS(Bitkiler!$F$31-Topraklar!$F$21)+Ayarlar!$B$5*ABS(Bitkiler!$G$31-Topraklar!$G$21)+Ayarlar!$B$6*IF(Bitkiler!$H$31=Topraklar!$H$21,0,1))/Ayarlar!$B$7)+IF(Topraklar!$K$21=Bitkiler!$C$31,0.002,IF(Topraklar!$L$21="Evet",0.001,0)))</f>
        <v/>
      </c>
      <c r="V32" s="16">
        <f>IF(OR(Topraklar!$J$22="Evet",AND(Topraklar!$L$22&lt;&gt;"Evet",Topraklar!$K$22&lt;&gt;Bitkiler!$C$31)),0,MAX(0,1-(Ayarlar!$B$2*ABS(Bitkiler!$D$31-Topraklar!$D$22)+Ayarlar!$B$3*ABS(Bitkiler!$E$31-Topraklar!$E$22)+Ayarlar!$B$4*ABS(Bitkiler!$F$31-Topraklar!$F$22)+Ayarlar!$B$5*ABS(Bitkiler!$G$31-Topraklar!$G$22)+Ayarlar!$B$6*IF(Bitkiler!$H$31=Topraklar!$H$22,0,1))/Ayarlar!$B$7)+IF(Topraklar!$K$22=Bitkiler!$C$31,0.002,IF(Topraklar!$L$22="Evet",0.001,0)))</f>
        <v/>
      </c>
      <c r="W32" s="16">
        <f>IF(OR(Topraklar!$J$23="Evet",AND(Topraklar!$L$23&lt;&gt;"Evet",Topraklar!$K$23&lt;&gt;Bitkiler!$C$31)),0,MAX(0,1-(Ayarlar!$B$2*ABS(Bitkiler!$D$31-Topraklar!$D$23)+Ayarlar!$B$3*ABS(Bitkiler!$E$31-Topraklar!$E$23)+Ayarlar!$B$4*ABS(Bitkiler!$F$31-Topraklar!$F$23)+Ayarlar!$B$5*ABS(Bitkiler!$G$31-Topraklar!$G$23)+Ayarlar!$B$6*IF(Bitkiler!$H$31=Topraklar!$H$23,0,1))/Ayarlar!$B$7)+IF(Topraklar!$K$23=Bitkiler!$C$31,0.002,IF(Topraklar!$L$23="Evet",0.001,0)))</f>
        <v/>
      </c>
      <c r="X32" s="16">
        <f>IF(OR(Topraklar!$J$24="Evet",AND(Topraklar!$L$24&lt;&gt;"Evet",Topraklar!$K$24&lt;&gt;Bitkiler!$C$31)),0,MAX(0,1-(Ayarlar!$B$2*ABS(Bitkiler!$D$31-Topraklar!$D$24)+Ayarlar!$B$3*ABS(Bitkiler!$E$31-Topraklar!$E$24)+Ayarlar!$B$4*ABS(Bitkiler!$F$31-Topraklar!$F$24)+Ayarlar!$B$5*ABS(Bitkiler!$G$31-Topraklar!$G$24)+Ayarlar!$B$6*IF(Bitkiler!$H$31=Topraklar!$H$24,0,1))/Ayarlar!$B$7)+IF(Topraklar!$K$24=Bitkiler!$C$31,0.002,IF(Topraklar!$L$24="Evet",0.001,0)))</f>
        <v/>
      </c>
      <c r="Y32" s="16">
        <f>IF(OR(Topraklar!$J$25="Evet",AND(Topraklar!$L$25&lt;&gt;"Evet",Topraklar!$K$25&lt;&gt;Bitkiler!$C$31)),0,MAX(0,1-(Ayarlar!$B$2*ABS(Bitkiler!$D$31-Topraklar!$D$25)+Ayarlar!$B$3*ABS(Bitkiler!$E$31-Topraklar!$E$25)+Ayarlar!$B$4*ABS(Bitkiler!$F$31-Topraklar!$F$25)+Ayarlar!$B$5*ABS(Bitkiler!$G$31-Topraklar!$G$25)+Ayarlar!$B$6*IF(Bitkiler!$H$31=Topraklar!$H$25,0,1))/Ayarlar!$B$7)+IF(Topraklar!$K$25=Bitkiler!$C$31,0.002,IF(Topraklar!$L$25="Evet",0.001,0)))</f>
        <v/>
      </c>
      <c r="Z32" s="16">
        <f>IF(OR(Topraklar!$J$26="Evet",AND(Topraklar!$L$26&lt;&gt;"Evet",Topraklar!$K$26&lt;&gt;Bitkiler!$C$31)),0,MAX(0,1-(Ayarlar!$B$2*ABS(Bitkiler!$D$31-Topraklar!$D$26)+Ayarlar!$B$3*ABS(Bitkiler!$E$31-Topraklar!$E$26)+Ayarlar!$B$4*ABS(Bitkiler!$F$31-Topraklar!$F$26)+Ayarlar!$B$5*ABS(Bitkiler!$G$31-Topraklar!$G$26)+Ayarlar!$B$6*IF(Bitkiler!$H$31=Topraklar!$H$26,0,1))/Ayarlar!$B$7)+IF(Topraklar!$K$26=Bitkiler!$C$31,0.002,IF(Topraklar!$L$26="Evet",0.001,0)))</f>
        <v/>
      </c>
      <c r="AA32" s="16">
        <f>IF(OR(Topraklar!$J$27="Evet",AND(Topraklar!$L$27&lt;&gt;"Evet",Topraklar!$K$27&lt;&gt;Bitkiler!$C$31)),0,MAX(0,1-(Ayarlar!$B$2*ABS(Bitkiler!$D$31-Topraklar!$D$27)+Ayarlar!$B$3*ABS(Bitkiler!$E$31-Topraklar!$E$27)+Ayarlar!$B$4*ABS(Bitkiler!$F$31-Topraklar!$F$27)+Ayarlar!$B$5*ABS(Bitkiler!$G$31-Topraklar!$G$27)+Ayarlar!$B$6*IF(Bitkiler!$H$31=Topraklar!$H$27,0,1))/Ayarlar!$B$7)+IF(Topraklar!$K$27=Bitkiler!$C$31,0.002,IF(Topraklar!$L$27="Evet",0.001,0)))</f>
        <v/>
      </c>
      <c r="AB32" s="16">
        <f>IF(OR(Topraklar!$J$28="Evet",AND(Topraklar!$L$28&lt;&gt;"Evet",Topraklar!$K$28&lt;&gt;Bitkiler!$C$31)),0,MAX(0,1-(Ayarlar!$B$2*ABS(Bitkiler!$D$31-Topraklar!$D$28)+Ayarlar!$B$3*ABS(Bitkiler!$E$31-Topraklar!$E$28)+Ayarlar!$B$4*ABS(Bitkiler!$F$31-Topraklar!$F$28)+Ayarlar!$B$5*ABS(Bitkiler!$G$31-Topraklar!$G$28)+Ayarlar!$B$6*IF(Bitkiler!$H$31=Topraklar!$H$28,0,1))/Ayarlar!$B$7)+IF(Topraklar!$K$28=Bitkiler!$C$31,0.002,IF(Topraklar!$L$28="Evet",0.001,0)))</f>
        <v/>
      </c>
      <c r="AC32" s="16">
        <f>IF(OR(Topraklar!$J$29="Evet",AND(Topraklar!$L$29&lt;&gt;"Evet",Topraklar!$K$29&lt;&gt;Bitkiler!$C$31)),0,MAX(0,1-(Ayarlar!$B$2*ABS(Bitkiler!$D$31-Topraklar!$D$29)+Ayarlar!$B$3*ABS(Bitkiler!$E$31-Topraklar!$E$29)+Ayarlar!$B$4*ABS(Bitkiler!$F$31-Topraklar!$F$29)+Ayarlar!$B$5*ABS(Bitkiler!$G$31-Topraklar!$G$29)+Ayarlar!$B$6*IF(Bitkiler!$H$31=Topraklar!$H$29,0,1))/Ayarlar!$B$7)+IF(Topraklar!$K$29=Bitkiler!$C$31,0.002,IF(Topraklar!$L$29="Evet",0.001,0)))</f>
        <v/>
      </c>
      <c r="AD32" s="16">
        <f>IF(OR(Topraklar!$J$30="Evet",AND(Topraklar!$L$30&lt;&gt;"Evet",Topraklar!$K$30&lt;&gt;Bitkiler!$C$31)),0,MAX(0,1-(Ayarlar!$B$2*ABS(Bitkiler!$D$31-Topraklar!$D$30)+Ayarlar!$B$3*ABS(Bitkiler!$E$31-Topraklar!$E$30)+Ayarlar!$B$4*ABS(Bitkiler!$F$31-Topraklar!$F$30)+Ayarlar!$B$5*ABS(Bitkiler!$G$31-Topraklar!$G$30)+Ayarlar!$B$6*IF(Bitkiler!$H$31=Topraklar!$H$30,0,1))/Ayarlar!$B$7)+IF(Topraklar!$K$30=Bitkiler!$C$31,0.002,IF(Topraklar!$L$30="Evet",0.001,0)))</f>
        <v/>
      </c>
      <c r="AE32" s="16">
        <f>IF(OR(Topraklar!$J$31="Evet",AND(Topraklar!$L$31&lt;&gt;"Evet",Topraklar!$K$31&lt;&gt;Bitkiler!$C$31)),0,MAX(0,1-(Ayarlar!$B$2*ABS(Bitkiler!$D$31-Topraklar!$D$31)+Ayarlar!$B$3*ABS(Bitkiler!$E$31-Topraklar!$E$31)+Ayarlar!$B$4*ABS(Bitkiler!$F$31-Topraklar!$F$31)+Ayarlar!$B$5*ABS(Bitkiler!$G$31-Topraklar!$G$31)+Ayarlar!$B$6*IF(Bitkiler!$H$31=Topraklar!$H$31,0,1))/Ayarlar!$B$7)+IF(Topraklar!$K$31=Bitkiler!$C$31,0.002,IF(Topraklar!$L$31="Evet",0.001,0)))</f>
        <v/>
      </c>
      <c r="AF32" s="16">
        <f>IF(OR(Topraklar!$J$32="Evet",AND(Topraklar!$L$32&lt;&gt;"Evet",Topraklar!$K$32&lt;&gt;Bitkiler!$C$31)),0,MAX(0,1-(Ayarlar!$B$2*ABS(Bitkiler!$D$31-Topraklar!$D$32)+Ayarlar!$B$3*ABS(Bitkiler!$E$31-Topraklar!$E$32)+Ayarlar!$B$4*ABS(Bitkiler!$F$31-Topraklar!$F$32)+Ayarlar!$B$5*ABS(Bitkiler!$G$31-Topraklar!$G$32)+Ayarlar!$B$6*IF(Bitkiler!$H$31=Topraklar!$H$32,0,1))/Ayarlar!$B$7)+IF(Topraklar!$K$32=Bitkiler!$C$31,0.002,IF(Topraklar!$L$32="Evet",0.001,0)))</f>
        <v/>
      </c>
      <c r="AG32" s="16">
        <f>IF(OR(Topraklar!$J$33="Evet",AND(Topraklar!$L$33&lt;&gt;"Evet",Topraklar!$K$33&lt;&gt;Bitkiler!$C$31)),0,MAX(0,1-(Ayarlar!$B$2*ABS(Bitkiler!$D$31-Topraklar!$D$33)+Ayarlar!$B$3*ABS(Bitkiler!$E$31-Topraklar!$E$33)+Ayarlar!$B$4*ABS(Bitkiler!$F$31-Topraklar!$F$33)+Ayarlar!$B$5*ABS(Bitkiler!$G$31-Topraklar!$G$33)+Ayarlar!$B$6*IF(Bitkiler!$H$31=Topraklar!$H$33,0,1))/Ayarlar!$B$7)+IF(Topraklar!$K$33=Bitkiler!$C$31,0.002,IF(Topraklar!$L$33="Evet",0.001,0)))</f>
        <v/>
      </c>
      <c r="AH32" s="16">
        <f>IF(OR(Topraklar!$J$34="Evet",AND(Topraklar!$L$34&lt;&gt;"Evet",Topraklar!$K$34&lt;&gt;Bitkiler!$C$31)),0,MAX(0,1-(Ayarlar!$B$2*ABS(Bitkiler!$D$31-Topraklar!$D$34)+Ayarlar!$B$3*ABS(Bitkiler!$E$31-Topraklar!$E$34)+Ayarlar!$B$4*ABS(Bitkiler!$F$31-Topraklar!$F$34)+Ayarlar!$B$5*ABS(Bitkiler!$G$31-Topraklar!$G$34)+Ayarlar!$B$6*IF(Bitkiler!$H$31=Topraklar!$H$34,0,1))/Ayarlar!$B$7)+IF(Topraklar!$K$34=Bitkiler!$C$31,0.002,IF(Topraklar!$L$34="Evet",0.001,0)))</f>
        <v/>
      </c>
      <c r="AI32" s="16">
        <f>IF(OR(Topraklar!$J$35="Evet",AND(Topraklar!$L$35&lt;&gt;"Evet",Topraklar!$K$35&lt;&gt;Bitkiler!$C$31)),0,MAX(0,1-(Ayarlar!$B$2*ABS(Bitkiler!$D$31-Topraklar!$D$35)+Ayarlar!$B$3*ABS(Bitkiler!$E$31-Topraklar!$E$35)+Ayarlar!$B$4*ABS(Bitkiler!$F$31-Topraklar!$F$35)+Ayarlar!$B$5*ABS(Bitkiler!$G$31-Topraklar!$G$35)+Ayarlar!$B$6*IF(Bitkiler!$H$31=Topraklar!$H$35,0,1))/Ayarlar!$B$7)+IF(Topraklar!$K$35=Bitkiler!$C$31,0.002,IF(Topraklar!$L$35="Evet",0.001,0)))</f>
        <v/>
      </c>
      <c r="AJ32" s="16">
        <f>IF(OR(Topraklar!$J$36="Evet",AND(Topraklar!$L$36&lt;&gt;"Evet",Topraklar!$K$36&lt;&gt;Bitkiler!$C$31)),0,MAX(0,1-(Ayarlar!$B$2*ABS(Bitkiler!$D$31-Topraklar!$D$36)+Ayarlar!$B$3*ABS(Bitkiler!$E$31-Topraklar!$E$36)+Ayarlar!$B$4*ABS(Bitkiler!$F$31-Topraklar!$F$36)+Ayarlar!$B$5*ABS(Bitkiler!$G$31-Topraklar!$G$36)+Ayarlar!$B$6*IF(Bitkiler!$H$31=Topraklar!$H$36,0,1))/Ayarlar!$B$7)+IF(Topraklar!$K$36=Bitkiler!$C$31,0.002,IF(Topraklar!$L$36="Evet",0.001,0)))</f>
        <v/>
      </c>
      <c r="AK32" s="16">
        <f>IF(OR(Topraklar!$J$37="Evet",AND(Topraklar!$L$37&lt;&gt;"Evet",Topraklar!$K$37&lt;&gt;Bitkiler!$C$31)),0,MAX(0,1-(Ayarlar!$B$2*ABS(Bitkiler!$D$31-Topraklar!$D$37)+Ayarlar!$B$3*ABS(Bitkiler!$E$31-Topraklar!$E$37)+Ayarlar!$B$4*ABS(Bitkiler!$F$31-Topraklar!$F$37)+Ayarlar!$B$5*ABS(Bitkiler!$G$31-Topraklar!$G$37)+Ayarlar!$B$6*IF(Bitkiler!$H$31=Topraklar!$H$37,0,1))/Ayarlar!$B$7)+IF(Topraklar!$K$37=Bitkiler!$C$31,0.002,IF(Topraklar!$L$37="Evet",0.001,0)))</f>
        <v/>
      </c>
      <c r="AL32" s="16">
        <f>IF(OR(Topraklar!$J$38="Evet",AND(Topraklar!$L$38&lt;&gt;"Evet",Topraklar!$K$38&lt;&gt;Bitkiler!$C$31)),0,MAX(0,1-(Ayarlar!$B$2*ABS(Bitkiler!$D$31-Topraklar!$D$38)+Ayarlar!$B$3*ABS(Bitkiler!$E$31-Topraklar!$E$38)+Ayarlar!$B$4*ABS(Bitkiler!$F$31-Topraklar!$F$38)+Ayarlar!$B$5*ABS(Bitkiler!$G$31-Topraklar!$G$38)+Ayarlar!$B$6*IF(Bitkiler!$H$31=Topraklar!$H$38,0,1))/Ayarlar!$B$7)+IF(Topraklar!$K$38=Bitkiler!$C$31,0.002,IF(Topraklar!$L$38="Evet",0.001,0)))</f>
        <v/>
      </c>
      <c r="AM32" s="16">
        <f>IF(OR(Topraklar!$J$39="Evet",AND(Topraklar!$L$39&lt;&gt;"Evet",Topraklar!$K$39&lt;&gt;Bitkiler!$C$31)),0,MAX(0,1-(Ayarlar!$B$2*ABS(Bitkiler!$D$31-Topraklar!$D$39)+Ayarlar!$B$3*ABS(Bitkiler!$E$31-Topraklar!$E$39)+Ayarlar!$B$4*ABS(Bitkiler!$F$31-Topraklar!$F$39)+Ayarlar!$B$5*ABS(Bitkiler!$G$31-Topraklar!$G$39)+Ayarlar!$B$6*IF(Bitkiler!$H$31=Topraklar!$H$39,0,1))/Ayarlar!$B$7)+IF(Topraklar!$K$39=Bitkiler!$C$31,0.002,IF(Topraklar!$L$39="Evet",0.001,0)))</f>
        <v/>
      </c>
      <c r="AN32" s="16">
        <f>IF(OR(Topraklar!$J$40="Evet",AND(Topraklar!$L$40&lt;&gt;"Evet",Topraklar!$K$40&lt;&gt;Bitkiler!$C$31)),0,MAX(0,1-(Ayarlar!$B$2*ABS(Bitkiler!$D$31-Topraklar!$D$40)+Ayarlar!$B$3*ABS(Bitkiler!$E$31-Topraklar!$E$40)+Ayarlar!$B$4*ABS(Bitkiler!$F$31-Topraklar!$F$40)+Ayarlar!$B$5*ABS(Bitkiler!$G$31-Topraklar!$G$40)+Ayarlar!$B$6*IF(Bitkiler!$H$31=Topraklar!$H$40,0,1))/Ayarlar!$B$7)+IF(Topraklar!$K$40=Bitkiler!$C$31,0.002,IF(Topraklar!$L$40="Evet",0.001,0)))</f>
        <v/>
      </c>
      <c r="AO32" s="16">
        <f>IF(OR(Topraklar!$J$41="Evet",AND(Topraklar!$L$41&lt;&gt;"Evet",Topraklar!$K$41&lt;&gt;Bitkiler!$C$31)),0,MAX(0,1-(Ayarlar!$B$2*ABS(Bitkiler!$D$31-Topraklar!$D$41)+Ayarlar!$B$3*ABS(Bitkiler!$E$31-Topraklar!$E$41)+Ayarlar!$B$4*ABS(Bitkiler!$F$31-Topraklar!$F$41)+Ayarlar!$B$5*ABS(Bitkiler!$G$31-Topraklar!$G$41)+Ayarlar!$B$6*IF(Bitkiler!$H$31=Topraklar!$H$41,0,1))/Ayarlar!$B$7)+IF(Topraklar!$K$41=Bitkiler!$C$31,0.002,IF(Topraklar!$L$41="Evet",0.001,0)))</f>
        <v/>
      </c>
      <c r="AP32" s="16">
        <f>IF(OR(Topraklar!$J$42="Evet",AND(Topraklar!$L$42&lt;&gt;"Evet",Topraklar!$K$42&lt;&gt;Bitkiler!$C$31)),0,MAX(0,1-(Ayarlar!$B$2*ABS(Bitkiler!$D$31-Topraklar!$D$42)+Ayarlar!$B$3*ABS(Bitkiler!$E$31-Topraklar!$E$42)+Ayarlar!$B$4*ABS(Bitkiler!$F$31-Topraklar!$F$42)+Ayarlar!$B$5*ABS(Bitkiler!$G$31-Topraklar!$G$42)+Ayarlar!$B$6*IF(Bitkiler!$H$31=Topraklar!$H$42,0,1))/Ayarlar!$B$7)+IF(Topraklar!$K$42=Bitkiler!$C$31,0.002,IF(Topraklar!$L$42="Evet",0.001,0)))</f>
        <v/>
      </c>
      <c r="AQ32" s="16">
        <f>IF(OR(Topraklar!$J$43="Evet",AND(Topraklar!$L$43&lt;&gt;"Evet",Topraklar!$K$43&lt;&gt;Bitkiler!$C$31)),0,MAX(0,1-(Ayarlar!$B$2*ABS(Bitkiler!$D$31-Topraklar!$D$43)+Ayarlar!$B$3*ABS(Bitkiler!$E$31-Topraklar!$E$43)+Ayarlar!$B$4*ABS(Bitkiler!$F$31-Topraklar!$F$43)+Ayarlar!$B$5*ABS(Bitkiler!$G$31-Topraklar!$G$43)+Ayarlar!$B$6*IF(Bitkiler!$H$31=Topraklar!$H$43,0,1))/Ayarlar!$B$7)+IF(Topraklar!$K$43=Bitkiler!$C$31,0.002,IF(Topraklar!$L$43="Evet",0.001,0)))</f>
        <v/>
      </c>
      <c r="AR32" s="16">
        <f>IF(OR(Topraklar!$J$44="Evet",AND(Topraklar!$L$44&lt;&gt;"Evet",Topraklar!$K$44&lt;&gt;Bitkiler!$C$31)),0,MAX(0,1-(Ayarlar!$B$2*ABS(Bitkiler!$D$31-Topraklar!$D$44)+Ayarlar!$B$3*ABS(Bitkiler!$E$31-Topraklar!$E$44)+Ayarlar!$B$4*ABS(Bitkiler!$F$31-Topraklar!$F$44)+Ayarlar!$B$5*ABS(Bitkiler!$G$31-Topraklar!$G$44)+Ayarlar!$B$6*IF(Bitkiler!$H$31=Topraklar!$H$44,0,1))/Ayarlar!$B$7)+IF(Topraklar!$K$44=Bitkiler!$C$31,0.002,IF(Topraklar!$L$44="Evet",0.001,0)))</f>
        <v/>
      </c>
      <c r="AS32" s="16">
        <f>IF(OR(Topraklar!$J$45="Evet",AND(Topraklar!$L$45&lt;&gt;"Evet",Topraklar!$K$45&lt;&gt;Bitkiler!$C$31)),0,MAX(0,1-(Ayarlar!$B$2*ABS(Bitkiler!$D$31-Topraklar!$D$45)+Ayarlar!$B$3*ABS(Bitkiler!$E$31-Topraklar!$E$45)+Ayarlar!$B$4*ABS(Bitkiler!$F$31-Topraklar!$F$45)+Ayarlar!$B$5*ABS(Bitkiler!$G$31-Topraklar!$G$45)+Ayarlar!$B$6*IF(Bitkiler!$H$31=Topraklar!$H$45,0,1))/Ayarlar!$B$7)+IF(Topraklar!$K$45=Bitkiler!$C$31,0.002,IF(Topraklar!$L$45="Evet",0.001,0)))</f>
        <v/>
      </c>
      <c r="AT32" s="16">
        <f>IF(OR(Topraklar!$J$46="Evet",AND(Topraklar!$L$46&lt;&gt;"Evet",Topraklar!$K$46&lt;&gt;Bitkiler!$C$31)),0,MAX(0,1-(Ayarlar!$B$2*ABS(Bitkiler!$D$31-Topraklar!$D$46)+Ayarlar!$B$3*ABS(Bitkiler!$E$31-Topraklar!$E$46)+Ayarlar!$B$4*ABS(Bitkiler!$F$31-Topraklar!$F$46)+Ayarlar!$B$5*ABS(Bitkiler!$G$31-Topraklar!$G$46)+Ayarlar!$B$6*IF(Bitkiler!$H$31=Topraklar!$H$46,0,1))/Ayarlar!$B$7)+IF(Topraklar!$K$46=Bitkiler!$C$31,0.002,IF(Topraklar!$L$46="Evet",0.001,0)))</f>
        <v/>
      </c>
      <c r="AU32" s="16">
        <f>IF(OR(Topraklar!$J$47="Evet",AND(Topraklar!$L$47&lt;&gt;"Evet",Topraklar!$K$47&lt;&gt;Bitkiler!$C$31)),0,MAX(0,1-(Ayarlar!$B$2*ABS(Bitkiler!$D$31-Topraklar!$D$47)+Ayarlar!$B$3*ABS(Bitkiler!$E$31-Topraklar!$E$47)+Ayarlar!$B$4*ABS(Bitkiler!$F$31-Topraklar!$F$47)+Ayarlar!$B$5*ABS(Bitkiler!$G$31-Topraklar!$G$47)+Ayarlar!$B$6*IF(Bitkiler!$H$31=Topraklar!$H$47,0,1))/Ayarlar!$B$7)+IF(Topraklar!$K$47=Bitkiler!$C$31,0.002,IF(Topraklar!$L$47="Evet",0.001,0)))</f>
        <v/>
      </c>
      <c r="AV32" s="16">
        <f>IF(OR(Topraklar!$J$48="Evet",AND(Topraklar!$L$48&lt;&gt;"Evet",Topraklar!$K$48&lt;&gt;Bitkiler!$C$31)),0,MAX(0,1-(Ayarlar!$B$2*ABS(Bitkiler!$D$31-Topraklar!$D$48)+Ayarlar!$B$3*ABS(Bitkiler!$E$31-Topraklar!$E$48)+Ayarlar!$B$4*ABS(Bitkiler!$F$31-Topraklar!$F$48)+Ayarlar!$B$5*ABS(Bitkiler!$G$31-Topraklar!$G$48)+Ayarlar!$B$6*IF(Bitkiler!$H$31=Topraklar!$H$48,0,1))/Ayarlar!$B$7)+IF(Topraklar!$K$48=Bitkiler!$C$31,0.002,IF(Topraklar!$L$48="Evet",0.001,0)))</f>
        <v/>
      </c>
      <c r="AW32" s="16">
        <f>IF(OR(Topraklar!$J$49="Evet",AND(Topraklar!$L$49&lt;&gt;"Evet",Topraklar!$K$49&lt;&gt;Bitkiler!$C$31)),0,MAX(0,1-(Ayarlar!$B$2*ABS(Bitkiler!$D$31-Topraklar!$D$49)+Ayarlar!$B$3*ABS(Bitkiler!$E$31-Topraklar!$E$49)+Ayarlar!$B$4*ABS(Bitkiler!$F$31-Topraklar!$F$49)+Ayarlar!$B$5*ABS(Bitkiler!$G$31-Topraklar!$G$49)+Ayarlar!$B$6*IF(Bitkiler!$H$31=Topraklar!$H$49,0,1))/Ayarlar!$B$7)+IF(Topraklar!$K$49=Bitkiler!$C$31,0.002,IF(Topraklar!$L$49="Evet",0.001,0)))</f>
        <v/>
      </c>
      <c r="AX32" s="16">
        <f>IF(OR(Topraklar!$J$50="Evet",AND(Topraklar!$L$50&lt;&gt;"Evet",Topraklar!$K$50&lt;&gt;Bitkiler!$C$31)),0,MAX(0,1-(Ayarlar!$B$2*ABS(Bitkiler!$D$31-Topraklar!$D$50)+Ayarlar!$B$3*ABS(Bitkiler!$E$31-Topraklar!$E$50)+Ayarlar!$B$4*ABS(Bitkiler!$F$31-Topraklar!$F$50)+Ayarlar!$B$5*ABS(Bitkiler!$G$31-Topraklar!$G$50)+Ayarlar!$B$6*IF(Bitkiler!$H$31=Topraklar!$H$50,0,1))/Ayarlar!$B$7)+IF(Topraklar!$K$50=Bitkiler!$C$31,0.002,IF(Topraklar!$L$50="Evet",0.001,0)))</f>
        <v/>
      </c>
      <c r="AY32" s="16">
        <f>IF(OR(Topraklar!$J$51="Evet",AND(Topraklar!$L$51&lt;&gt;"Evet",Topraklar!$K$51&lt;&gt;Bitkiler!$C$31)),0,MAX(0,1-(Ayarlar!$B$2*ABS(Bitkiler!$D$31-Topraklar!$D$51)+Ayarlar!$B$3*ABS(Bitkiler!$E$31-Topraklar!$E$51)+Ayarlar!$B$4*ABS(Bitkiler!$F$31-Topraklar!$F$51)+Ayarlar!$B$5*ABS(Bitkiler!$G$31-Topraklar!$G$51)+Ayarlar!$B$6*IF(Bitkiler!$H$31=Topraklar!$H$51,0,1))/Ayarlar!$B$7)+IF(Topraklar!$K$51=Bitkiler!$C$31,0.002,IF(Topraklar!$L$51="Evet",0.001,0)))</f>
        <v/>
      </c>
    </row>
    <row r="33">
      <c r="A33" s="15">
        <f>Bitkiler!A32</f>
        <v/>
      </c>
      <c r="B33" s="16">
        <f>IF(OR(Topraklar!$J$2="Evet",AND(Topraklar!$L$2&lt;&gt;"Evet",Topraklar!$K$2&lt;&gt;Bitkiler!$C$32)),0,MAX(0,1-(Ayarlar!$B$2*ABS(Bitkiler!$D$32-Topraklar!$D$2)+Ayarlar!$B$3*ABS(Bitkiler!$E$32-Topraklar!$E$2)+Ayarlar!$B$4*ABS(Bitkiler!$F$32-Topraklar!$F$2)+Ayarlar!$B$5*ABS(Bitkiler!$G$32-Topraklar!$G$2)+Ayarlar!$B$6*IF(Bitkiler!$H$32=Topraklar!$H$2,0,1))/Ayarlar!$B$7)+IF(Topraklar!$K$2=Bitkiler!$C$32,0.002,IF(Topraklar!$L$2="Evet",0.001,0)))</f>
        <v/>
      </c>
      <c r="C33" s="16">
        <f>IF(OR(Topraklar!$J$3="Evet",AND(Topraklar!$L$3&lt;&gt;"Evet",Topraklar!$K$3&lt;&gt;Bitkiler!$C$32)),0,MAX(0,1-(Ayarlar!$B$2*ABS(Bitkiler!$D$32-Topraklar!$D$3)+Ayarlar!$B$3*ABS(Bitkiler!$E$32-Topraklar!$E$3)+Ayarlar!$B$4*ABS(Bitkiler!$F$32-Topraklar!$F$3)+Ayarlar!$B$5*ABS(Bitkiler!$G$32-Topraklar!$G$3)+Ayarlar!$B$6*IF(Bitkiler!$H$32=Topraklar!$H$3,0,1))/Ayarlar!$B$7)+IF(Topraklar!$K$3=Bitkiler!$C$32,0.002,IF(Topraklar!$L$3="Evet",0.001,0)))</f>
        <v/>
      </c>
      <c r="D33" s="16">
        <f>IF(OR(Topraklar!$J$4="Evet",AND(Topraklar!$L$4&lt;&gt;"Evet",Topraklar!$K$4&lt;&gt;Bitkiler!$C$32)),0,MAX(0,1-(Ayarlar!$B$2*ABS(Bitkiler!$D$32-Topraklar!$D$4)+Ayarlar!$B$3*ABS(Bitkiler!$E$32-Topraklar!$E$4)+Ayarlar!$B$4*ABS(Bitkiler!$F$32-Topraklar!$F$4)+Ayarlar!$B$5*ABS(Bitkiler!$G$32-Topraklar!$G$4)+Ayarlar!$B$6*IF(Bitkiler!$H$32=Topraklar!$H$4,0,1))/Ayarlar!$B$7)+IF(Topraklar!$K$4=Bitkiler!$C$32,0.002,IF(Topraklar!$L$4="Evet",0.001,0)))</f>
        <v/>
      </c>
      <c r="E33" s="16">
        <f>IF(OR(Topraklar!$J$5="Evet",AND(Topraklar!$L$5&lt;&gt;"Evet",Topraklar!$K$5&lt;&gt;Bitkiler!$C$32)),0,MAX(0,1-(Ayarlar!$B$2*ABS(Bitkiler!$D$32-Topraklar!$D$5)+Ayarlar!$B$3*ABS(Bitkiler!$E$32-Topraklar!$E$5)+Ayarlar!$B$4*ABS(Bitkiler!$F$32-Topraklar!$F$5)+Ayarlar!$B$5*ABS(Bitkiler!$G$32-Topraklar!$G$5)+Ayarlar!$B$6*IF(Bitkiler!$H$32=Topraklar!$H$5,0,1))/Ayarlar!$B$7)+IF(Topraklar!$K$5=Bitkiler!$C$32,0.002,IF(Topraklar!$L$5="Evet",0.001,0)))</f>
        <v/>
      </c>
      <c r="F33" s="16">
        <f>IF(OR(Topraklar!$J$6="Evet",AND(Topraklar!$L$6&lt;&gt;"Evet",Topraklar!$K$6&lt;&gt;Bitkiler!$C$32)),0,MAX(0,1-(Ayarlar!$B$2*ABS(Bitkiler!$D$32-Topraklar!$D$6)+Ayarlar!$B$3*ABS(Bitkiler!$E$32-Topraklar!$E$6)+Ayarlar!$B$4*ABS(Bitkiler!$F$32-Topraklar!$F$6)+Ayarlar!$B$5*ABS(Bitkiler!$G$32-Topraklar!$G$6)+Ayarlar!$B$6*IF(Bitkiler!$H$32=Topraklar!$H$6,0,1))/Ayarlar!$B$7)+IF(Topraklar!$K$6=Bitkiler!$C$32,0.002,IF(Topraklar!$L$6="Evet",0.001,0)))</f>
        <v/>
      </c>
      <c r="G33" s="16">
        <f>IF(OR(Topraklar!$J$7="Evet",AND(Topraklar!$L$7&lt;&gt;"Evet",Topraklar!$K$7&lt;&gt;Bitkiler!$C$32)),0,MAX(0,1-(Ayarlar!$B$2*ABS(Bitkiler!$D$32-Topraklar!$D$7)+Ayarlar!$B$3*ABS(Bitkiler!$E$32-Topraklar!$E$7)+Ayarlar!$B$4*ABS(Bitkiler!$F$32-Topraklar!$F$7)+Ayarlar!$B$5*ABS(Bitkiler!$G$32-Topraklar!$G$7)+Ayarlar!$B$6*IF(Bitkiler!$H$32=Topraklar!$H$7,0,1))/Ayarlar!$B$7)+IF(Topraklar!$K$7=Bitkiler!$C$32,0.002,IF(Topraklar!$L$7="Evet",0.001,0)))</f>
        <v/>
      </c>
      <c r="H33" s="16">
        <f>IF(OR(Topraklar!$J$8="Evet",AND(Topraklar!$L$8&lt;&gt;"Evet",Topraklar!$K$8&lt;&gt;Bitkiler!$C$32)),0,MAX(0,1-(Ayarlar!$B$2*ABS(Bitkiler!$D$32-Topraklar!$D$8)+Ayarlar!$B$3*ABS(Bitkiler!$E$32-Topraklar!$E$8)+Ayarlar!$B$4*ABS(Bitkiler!$F$32-Topraklar!$F$8)+Ayarlar!$B$5*ABS(Bitkiler!$G$32-Topraklar!$G$8)+Ayarlar!$B$6*IF(Bitkiler!$H$32=Topraklar!$H$8,0,1))/Ayarlar!$B$7)+IF(Topraklar!$K$8=Bitkiler!$C$32,0.002,IF(Topraklar!$L$8="Evet",0.001,0)))</f>
        <v/>
      </c>
      <c r="I33" s="16">
        <f>IF(OR(Topraklar!$J$9="Evet",AND(Topraklar!$L$9&lt;&gt;"Evet",Topraklar!$K$9&lt;&gt;Bitkiler!$C$32)),0,MAX(0,1-(Ayarlar!$B$2*ABS(Bitkiler!$D$32-Topraklar!$D$9)+Ayarlar!$B$3*ABS(Bitkiler!$E$32-Topraklar!$E$9)+Ayarlar!$B$4*ABS(Bitkiler!$F$32-Topraklar!$F$9)+Ayarlar!$B$5*ABS(Bitkiler!$G$32-Topraklar!$G$9)+Ayarlar!$B$6*IF(Bitkiler!$H$32=Topraklar!$H$9,0,1))/Ayarlar!$B$7)+IF(Topraklar!$K$9=Bitkiler!$C$32,0.002,IF(Topraklar!$L$9="Evet",0.001,0)))</f>
        <v/>
      </c>
      <c r="J33" s="16">
        <f>IF(OR(Topraklar!$J$10="Evet",AND(Topraklar!$L$10&lt;&gt;"Evet",Topraklar!$K$10&lt;&gt;Bitkiler!$C$32)),0,MAX(0,1-(Ayarlar!$B$2*ABS(Bitkiler!$D$32-Topraklar!$D$10)+Ayarlar!$B$3*ABS(Bitkiler!$E$32-Topraklar!$E$10)+Ayarlar!$B$4*ABS(Bitkiler!$F$32-Topraklar!$F$10)+Ayarlar!$B$5*ABS(Bitkiler!$G$32-Topraklar!$G$10)+Ayarlar!$B$6*IF(Bitkiler!$H$32=Topraklar!$H$10,0,1))/Ayarlar!$B$7)+IF(Topraklar!$K$10=Bitkiler!$C$32,0.002,IF(Topraklar!$L$10="Evet",0.001,0)))</f>
        <v/>
      </c>
      <c r="K33" s="16">
        <f>IF(OR(Topraklar!$J$11="Evet",AND(Topraklar!$L$11&lt;&gt;"Evet",Topraklar!$K$11&lt;&gt;Bitkiler!$C$32)),0,MAX(0,1-(Ayarlar!$B$2*ABS(Bitkiler!$D$32-Topraklar!$D$11)+Ayarlar!$B$3*ABS(Bitkiler!$E$32-Topraklar!$E$11)+Ayarlar!$B$4*ABS(Bitkiler!$F$32-Topraklar!$F$11)+Ayarlar!$B$5*ABS(Bitkiler!$G$32-Topraklar!$G$11)+Ayarlar!$B$6*IF(Bitkiler!$H$32=Topraklar!$H$11,0,1))/Ayarlar!$B$7)+IF(Topraklar!$K$11=Bitkiler!$C$32,0.002,IF(Topraklar!$L$11="Evet",0.001,0)))</f>
        <v/>
      </c>
      <c r="L33" s="16">
        <f>IF(OR(Topraklar!$J$12="Evet",AND(Topraklar!$L$12&lt;&gt;"Evet",Topraklar!$K$12&lt;&gt;Bitkiler!$C$32)),0,MAX(0,1-(Ayarlar!$B$2*ABS(Bitkiler!$D$32-Topraklar!$D$12)+Ayarlar!$B$3*ABS(Bitkiler!$E$32-Topraklar!$E$12)+Ayarlar!$B$4*ABS(Bitkiler!$F$32-Topraklar!$F$12)+Ayarlar!$B$5*ABS(Bitkiler!$G$32-Topraklar!$G$12)+Ayarlar!$B$6*IF(Bitkiler!$H$32=Topraklar!$H$12,0,1))/Ayarlar!$B$7)+IF(Topraklar!$K$12=Bitkiler!$C$32,0.002,IF(Topraklar!$L$12="Evet",0.001,0)))</f>
        <v/>
      </c>
      <c r="M33" s="16">
        <f>IF(OR(Topraklar!$J$13="Evet",AND(Topraklar!$L$13&lt;&gt;"Evet",Topraklar!$K$13&lt;&gt;Bitkiler!$C$32)),0,MAX(0,1-(Ayarlar!$B$2*ABS(Bitkiler!$D$32-Topraklar!$D$13)+Ayarlar!$B$3*ABS(Bitkiler!$E$32-Topraklar!$E$13)+Ayarlar!$B$4*ABS(Bitkiler!$F$32-Topraklar!$F$13)+Ayarlar!$B$5*ABS(Bitkiler!$G$32-Topraklar!$G$13)+Ayarlar!$B$6*IF(Bitkiler!$H$32=Topraklar!$H$13,0,1))/Ayarlar!$B$7)+IF(Topraklar!$K$13=Bitkiler!$C$32,0.002,IF(Topraklar!$L$13="Evet",0.001,0)))</f>
        <v/>
      </c>
      <c r="N33" s="16">
        <f>IF(OR(Topraklar!$J$14="Evet",AND(Topraklar!$L$14&lt;&gt;"Evet",Topraklar!$K$14&lt;&gt;Bitkiler!$C$32)),0,MAX(0,1-(Ayarlar!$B$2*ABS(Bitkiler!$D$32-Topraklar!$D$14)+Ayarlar!$B$3*ABS(Bitkiler!$E$32-Topraklar!$E$14)+Ayarlar!$B$4*ABS(Bitkiler!$F$32-Topraklar!$F$14)+Ayarlar!$B$5*ABS(Bitkiler!$G$32-Topraklar!$G$14)+Ayarlar!$B$6*IF(Bitkiler!$H$32=Topraklar!$H$14,0,1))/Ayarlar!$B$7)+IF(Topraklar!$K$14=Bitkiler!$C$32,0.002,IF(Topraklar!$L$14="Evet",0.001,0)))</f>
        <v/>
      </c>
      <c r="O33" s="16">
        <f>IF(OR(Topraklar!$J$15="Evet",AND(Topraklar!$L$15&lt;&gt;"Evet",Topraklar!$K$15&lt;&gt;Bitkiler!$C$32)),0,MAX(0,1-(Ayarlar!$B$2*ABS(Bitkiler!$D$32-Topraklar!$D$15)+Ayarlar!$B$3*ABS(Bitkiler!$E$32-Topraklar!$E$15)+Ayarlar!$B$4*ABS(Bitkiler!$F$32-Topraklar!$F$15)+Ayarlar!$B$5*ABS(Bitkiler!$G$32-Topraklar!$G$15)+Ayarlar!$B$6*IF(Bitkiler!$H$32=Topraklar!$H$15,0,1))/Ayarlar!$B$7)+IF(Topraklar!$K$15=Bitkiler!$C$32,0.002,IF(Topraklar!$L$15="Evet",0.001,0)))</f>
        <v/>
      </c>
      <c r="P33" s="16">
        <f>IF(OR(Topraklar!$J$16="Evet",AND(Topraklar!$L$16&lt;&gt;"Evet",Topraklar!$K$16&lt;&gt;Bitkiler!$C$32)),0,MAX(0,1-(Ayarlar!$B$2*ABS(Bitkiler!$D$32-Topraklar!$D$16)+Ayarlar!$B$3*ABS(Bitkiler!$E$32-Topraklar!$E$16)+Ayarlar!$B$4*ABS(Bitkiler!$F$32-Topraklar!$F$16)+Ayarlar!$B$5*ABS(Bitkiler!$G$32-Topraklar!$G$16)+Ayarlar!$B$6*IF(Bitkiler!$H$32=Topraklar!$H$16,0,1))/Ayarlar!$B$7)+IF(Topraklar!$K$16=Bitkiler!$C$32,0.002,IF(Topraklar!$L$16="Evet",0.001,0)))</f>
        <v/>
      </c>
      <c r="Q33" s="16">
        <f>IF(OR(Topraklar!$J$17="Evet",AND(Topraklar!$L$17&lt;&gt;"Evet",Topraklar!$K$17&lt;&gt;Bitkiler!$C$32)),0,MAX(0,1-(Ayarlar!$B$2*ABS(Bitkiler!$D$32-Topraklar!$D$17)+Ayarlar!$B$3*ABS(Bitkiler!$E$32-Topraklar!$E$17)+Ayarlar!$B$4*ABS(Bitkiler!$F$32-Topraklar!$F$17)+Ayarlar!$B$5*ABS(Bitkiler!$G$32-Topraklar!$G$17)+Ayarlar!$B$6*IF(Bitkiler!$H$32=Topraklar!$H$17,0,1))/Ayarlar!$B$7)+IF(Topraklar!$K$17=Bitkiler!$C$32,0.002,IF(Topraklar!$L$17="Evet",0.001,0)))</f>
        <v/>
      </c>
      <c r="R33" s="16">
        <f>IF(OR(Topraklar!$J$18="Evet",AND(Topraklar!$L$18&lt;&gt;"Evet",Topraklar!$K$18&lt;&gt;Bitkiler!$C$32)),0,MAX(0,1-(Ayarlar!$B$2*ABS(Bitkiler!$D$32-Topraklar!$D$18)+Ayarlar!$B$3*ABS(Bitkiler!$E$32-Topraklar!$E$18)+Ayarlar!$B$4*ABS(Bitkiler!$F$32-Topraklar!$F$18)+Ayarlar!$B$5*ABS(Bitkiler!$G$32-Topraklar!$G$18)+Ayarlar!$B$6*IF(Bitkiler!$H$32=Topraklar!$H$18,0,1))/Ayarlar!$B$7)+IF(Topraklar!$K$18=Bitkiler!$C$32,0.002,IF(Topraklar!$L$18="Evet",0.001,0)))</f>
        <v/>
      </c>
      <c r="S33" s="16">
        <f>IF(OR(Topraklar!$J$19="Evet",AND(Topraklar!$L$19&lt;&gt;"Evet",Topraklar!$K$19&lt;&gt;Bitkiler!$C$32)),0,MAX(0,1-(Ayarlar!$B$2*ABS(Bitkiler!$D$32-Topraklar!$D$19)+Ayarlar!$B$3*ABS(Bitkiler!$E$32-Topraklar!$E$19)+Ayarlar!$B$4*ABS(Bitkiler!$F$32-Topraklar!$F$19)+Ayarlar!$B$5*ABS(Bitkiler!$G$32-Topraklar!$G$19)+Ayarlar!$B$6*IF(Bitkiler!$H$32=Topraklar!$H$19,0,1))/Ayarlar!$B$7)+IF(Topraklar!$K$19=Bitkiler!$C$32,0.002,IF(Topraklar!$L$19="Evet",0.001,0)))</f>
        <v/>
      </c>
      <c r="T33" s="16">
        <f>IF(OR(Topraklar!$J$20="Evet",AND(Topraklar!$L$20&lt;&gt;"Evet",Topraklar!$K$20&lt;&gt;Bitkiler!$C$32)),0,MAX(0,1-(Ayarlar!$B$2*ABS(Bitkiler!$D$32-Topraklar!$D$20)+Ayarlar!$B$3*ABS(Bitkiler!$E$32-Topraklar!$E$20)+Ayarlar!$B$4*ABS(Bitkiler!$F$32-Topraklar!$F$20)+Ayarlar!$B$5*ABS(Bitkiler!$G$32-Topraklar!$G$20)+Ayarlar!$B$6*IF(Bitkiler!$H$32=Topraklar!$H$20,0,1))/Ayarlar!$B$7)+IF(Topraklar!$K$20=Bitkiler!$C$32,0.002,IF(Topraklar!$L$20="Evet",0.001,0)))</f>
        <v/>
      </c>
      <c r="U33" s="16">
        <f>IF(OR(Topraklar!$J$21="Evet",AND(Topraklar!$L$21&lt;&gt;"Evet",Topraklar!$K$21&lt;&gt;Bitkiler!$C$32)),0,MAX(0,1-(Ayarlar!$B$2*ABS(Bitkiler!$D$32-Topraklar!$D$21)+Ayarlar!$B$3*ABS(Bitkiler!$E$32-Topraklar!$E$21)+Ayarlar!$B$4*ABS(Bitkiler!$F$32-Topraklar!$F$21)+Ayarlar!$B$5*ABS(Bitkiler!$G$32-Topraklar!$G$21)+Ayarlar!$B$6*IF(Bitkiler!$H$32=Topraklar!$H$21,0,1))/Ayarlar!$B$7)+IF(Topraklar!$K$21=Bitkiler!$C$32,0.002,IF(Topraklar!$L$21="Evet",0.001,0)))</f>
        <v/>
      </c>
      <c r="V33" s="16">
        <f>IF(OR(Topraklar!$J$22="Evet",AND(Topraklar!$L$22&lt;&gt;"Evet",Topraklar!$K$22&lt;&gt;Bitkiler!$C$32)),0,MAX(0,1-(Ayarlar!$B$2*ABS(Bitkiler!$D$32-Topraklar!$D$22)+Ayarlar!$B$3*ABS(Bitkiler!$E$32-Topraklar!$E$22)+Ayarlar!$B$4*ABS(Bitkiler!$F$32-Topraklar!$F$22)+Ayarlar!$B$5*ABS(Bitkiler!$G$32-Topraklar!$G$22)+Ayarlar!$B$6*IF(Bitkiler!$H$32=Topraklar!$H$22,0,1))/Ayarlar!$B$7)+IF(Topraklar!$K$22=Bitkiler!$C$32,0.002,IF(Topraklar!$L$22="Evet",0.001,0)))</f>
        <v/>
      </c>
      <c r="W33" s="16">
        <f>IF(OR(Topraklar!$J$23="Evet",AND(Topraklar!$L$23&lt;&gt;"Evet",Topraklar!$K$23&lt;&gt;Bitkiler!$C$32)),0,MAX(0,1-(Ayarlar!$B$2*ABS(Bitkiler!$D$32-Topraklar!$D$23)+Ayarlar!$B$3*ABS(Bitkiler!$E$32-Topraklar!$E$23)+Ayarlar!$B$4*ABS(Bitkiler!$F$32-Topraklar!$F$23)+Ayarlar!$B$5*ABS(Bitkiler!$G$32-Topraklar!$G$23)+Ayarlar!$B$6*IF(Bitkiler!$H$32=Topraklar!$H$23,0,1))/Ayarlar!$B$7)+IF(Topraklar!$K$23=Bitkiler!$C$32,0.002,IF(Topraklar!$L$23="Evet",0.001,0)))</f>
        <v/>
      </c>
      <c r="X33" s="16">
        <f>IF(OR(Topraklar!$J$24="Evet",AND(Topraklar!$L$24&lt;&gt;"Evet",Topraklar!$K$24&lt;&gt;Bitkiler!$C$32)),0,MAX(0,1-(Ayarlar!$B$2*ABS(Bitkiler!$D$32-Topraklar!$D$24)+Ayarlar!$B$3*ABS(Bitkiler!$E$32-Topraklar!$E$24)+Ayarlar!$B$4*ABS(Bitkiler!$F$32-Topraklar!$F$24)+Ayarlar!$B$5*ABS(Bitkiler!$G$32-Topraklar!$G$24)+Ayarlar!$B$6*IF(Bitkiler!$H$32=Topraklar!$H$24,0,1))/Ayarlar!$B$7)+IF(Topraklar!$K$24=Bitkiler!$C$32,0.002,IF(Topraklar!$L$24="Evet",0.001,0)))</f>
        <v/>
      </c>
      <c r="Y33" s="16">
        <f>IF(OR(Topraklar!$J$25="Evet",AND(Topraklar!$L$25&lt;&gt;"Evet",Topraklar!$K$25&lt;&gt;Bitkiler!$C$32)),0,MAX(0,1-(Ayarlar!$B$2*ABS(Bitkiler!$D$32-Topraklar!$D$25)+Ayarlar!$B$3*ABS(Bitkiler!$E$32-Topraklar!$E$25)+Ayarlar!$B$4*ABS(Bitkiler!$F$32-Topraklar!$F$25)+Ayarlar!$B$5*ABS(Bitkiler!$G$32-Topraklar!$G$25)+Ayarlar!$B$6*IF(Bitkiler!$H$32=Topraklar!$H$25,0,1))/Ayarlar!$B$7)+IF(Topraklar!$K$25=Bitkiler!$C$32,0.002,IF(Topraklar!$L$25="Evet",0.001,0)))</f>
        <v/>
      </c>
      <c r="Z33" s="16">
        <f>IF(OR(Topraklar!$J$26="Evet",AND(Topraklar!$L$26&lt;&gt;"Evet",Topraklar!$K$26&lt;&gt;Bitkiler!$C$32)),0,MAX(0,1-(Ayarlar!$B$2*ABS(Bitkiler!$D$32-Topraklar!$D$26)+Ayarlar!$B$3*ABS(Bitkiler!$E$32-Topraklar!$E$26)+Ayarlar!$B$4*ABS(Bitkiler!$F$32-Topraklar!$F$26)+Ayarlar!$B$5*ABS(Bitkiler!$G$32-Topraklar!$G$26)+Ayarlar!$B$6*IF(Bitkiler!$H$32=Topraklar!$H$26,0,1))/Ayarlar!$B$7)+IF(Topraklar!$K$26=Bitkiler!$C$32,0.002,IF(Topraklar!$L$26="Evet",0.001,0)))</f>
        <v/>
      </c>
      <c r="AA33" s="16">
        <f>IF(OR(Topraklar!$J$27="Evet",AND(Topraklar!$L$27&lt;&gt;"Evet",Topraklar!$K$27&lt;&gt;Bitkiler!$C$32)),0,MAX(0,1-(Ayarlar!$B$2*ABS(Bitkiler!$D$32-Topraklar!$D$27)+Ayarlar!$B$3*ABS(Bitkiler!$E$32-Topraklar!$E$27)+Ayarlar!$B$4*ABS(Bitkiler!$F$32-Topraklar!$F$27)+Ayarlar!$B$5*ABS(Bitkiler!$G$32-Topraklar!$G$27)+Ayarlar!$B$6*IF(Bitkiler!$H$32=Topraklar!$H$27,0,1))/Ayarlar!$B$7)+IF(Topraklar!$K$27=Bitkiler!$C$32,0.002,IF(Topraklar!$L$27="Evet",0.001,0)))</f>
        <v/>
      </c>
      <c r="AB33" s="16">
        <f>IF(OR(Topraklar!$J$28="Evet",AND(Topraklar!$L$28&lt;&gt;"Evet",Topraklar!$K$28&lt;&gt;Bitkiler!$C$32)),0,MAX(0,1-(Ayarlar!$B$2*ABS(Bitkiler!$D$32-Topraklar!$D$28)+Ayarlar!$B$3*ABS(Bitkiler!$E$32-Topraklar!$E$28)+Ayarlar!$B$4*ABS(Bitkiler!$F$32-Topraklar!$F$28)+Ayarlar!$B$5*ABS(Bitkiler!$G$32-Topraklar!$G$28)+Ayarlar!$B$6*IF(Bitkiler!$H$32=Topraklar!$H$28,0,1))/Ayarlar!$B$7)+IF(Topraklar!$K$28=Bitkiler!$C$32,0.002,IF(Topraklar!$L$28="Evet",0.001,0)))</f>
        <v/>
      </c>
      <c r="AC33" s="16">
        <f>IF(OR(Topraklar!$J$29="Evet",AND(Topraklar!$L$29&lt;&gt;"Evet",Topraklar!$K$29&lt;&gt;Bitkiler!$C$32)),0,MAX(0,1-(Ayarlar!$B$2*ABS(Bitkiler!$D$32-Topraklar!$D$29)+Ayarlar!$B$3*ABS(Bitkiler!$E$32-Topraklar!$E$29)+Ayarlar!$B$4*ABS(Bitkiler!$F$32-Topraklar!$F$29)+Ayarlar!$B$5*ABS(Bitkiler!$G$32-Topraklar!$G$29)+Ayarlar!$B$6*IF(Bitkiler!$H$32=Topraklar!$H$29,0,1))/Ayarlar!$B$7)+IF(Topraklar!$K$29=Bitkiler!$C$32,0.002,IF(Topraklar!$L$29="Evet",0.001,0)))</f>
        <v/>
      </c>
      <c r="AD33" s="16">
        <f>IF(OR(Topraklar!$J$30="Evet",AND(Topraklar!$L$30&lt;&gt;"Evet",Topraklar!$K$30&lt;&gt;Bitkiler!$C$32)),0,MAX(0,1-(Ayarlar!$B$2*ABS(Bitkiler!$D$32-Topraklar!$D$30)+Ayarlar!$B$3*ABS(Bitkiler!$E$32-Topraklar!$E$30)+Ayarlar!$B$4*ABS(Bitkiler!$F$32-Topraklar!$F$30)+Ayarlar!$B$5*ABS(Bitkiler!$G$32-Topraklar!$G$30)+Ayarlar!$B$6*IF(Bitkiler!$H$32=Topraklar!$H$30,0,1))/Ayarlar!$B$7)+IF(Topraklar!$K$30=Bitkiler!$C$32,0.002,IF(Topraklar!$L$30="Evet",0.001,0)))</f>
        <v/>
      </c>
      <c r="AE33" s="16">
        <f>IF(OR(Topraklar!$J$31="Evet",AND(Topraklar!$L$31&lt;&gt;"Evet",Topraklar!$K$31&lt;&gt;Bitkiler!$C$32)),0,MAX(0,1-(Ayarlar!$B$2*ABS(Bitkiler!$D$32-Topraklar!$D$31)+Ayarlar!$B$3*ABS(Bitkiler!$E$32-Topraklar!$E$31)+Ayarlar!$B$4*ABS(Bitkiler!$F$32-Topraklar!$F$31)+Ayarlar!$B$5*ABS(Bitkiler!$G$32-Topraklar!$G$31)+Ayarlar!$B$6*IF(Bitkiler!$H$32=Topraklar!$H$31,0,1))/Ayarlar!$B$7)+IF(Topraklar!$K$31=Bitkiler!$C$32,0.002,IF(Topraklar!$L$31="Evet",0.001,0)))</f>
        <v/>
      </c>
      <c r="AF33" s="16">
        <f>IF(OR(Topraklar!$J$32="Evet",AND(Topraklar!$L$32&lt;&gt;"Evet",Topraklar!$K$32&lt;&gt;Bitkiler!$C$32)),0,MAX(0,1-(Ayarlar!$B$2*ABS(Bitkiler!$D$32-Topraklar!$D$32)+Ayarlar!$B$3*ABS(Bitkiler!$E$32-Topraklar!$E$32)+Ayarlar!$B$4*ABS(Bitkiler!$F$32-Topraklar!$F$32)+Ayarlar!$B$5*ABS(Bitkiler!$G$32-Topraklar!$G$32)+Ayarlar!$B$6*IF(Bitkiler!$H$32=Topraklar!$H$32,0,1))/Ayarlar!$B$7)+IF(Topraklar!$K$32=Bitkiler!$C$32,0.002,IF(Topraklar!$L$32="Evet",0.001,0)))</f>
        <v/>
      </c>
      <c r="AG33" s="16">
        <f>IF(OR(Topraklar!$J$33="Evet",AND(Topraklar!$L$33&lt;&gt;"Evet",Topraklar!$K$33&lt;&gt;Bitkiler!$C$32)),0,MAX(0,1-(Ayarlar!$B$2*ABS(Bitkiler!$D$32-Topraklar!$D$33)+Ayarlar!$B$3*ABS(Bitkiler!$E$32-Topraklar!$E$33)+Ayarlar!$B$4*ABS(Bitkiler!$F$32-Topraklar!$F$33)+Ayarlar!$B$5*ABS(Bitkiler!$G$32-Topraklar!$G$33)+Ayarlar!$B$6*IF(Bitkiler!$H$32=Topraklar!$H$33,0,1))/Ayarlar!$B$7)+IF(Topraklar!$K$33=Bitkiler!$C$32,0.002,IF(Topraklar!$L$33="Evet",0.001,0)))</f>
        <v/>
      </c>
      <c r="AH33" s="16">
        <f>IF(OR(Topraklar!$J$34="Evet",AND(Topraklar!$L$34&lt;&gt;"Evet",Topraklar!$K$34&lt;&gt;Bitkiler!$C$32)),0,MAX(0,1-(Ayarlar!$B$2*ABS(Bitkiler!$D$32-Topraklar!$D$34)+Ayarlar!$B$3*ABS(Bitkiler!$E$32-Topraklar!$E$34)+Ayarlar!$B$4*ABS(Bitkiler!$F$32-Topraklar!$F$34)+Ayarlar!$B$5*ABS(Bitkiler!$G$32-Topraklar!$G$34)+Ayarlar!$B$6*IF(Bitkiler!$H$32=Topraklar!$H$34,0,1))/Ayarlar!$B$7)+IF(Topraklar!$K$34=Bitkiler!$C$32,0.002,IF(Topraklar!$L$34="Evet",0.001,0)))</f>
        <v/>
      </c>
      <c r="AI33" s="16">
        <f>IF(OR(Topraklar!$J$35="Evet",AND(Topraklar!$L$35&lt;&gt;"Evet",Topraklar!$K$35&lt;&gt;Bitkiler!$C$32)),0,MAX(0,1-(Ayarlar!$B$2*ABS(Bitkiler!$D$32-Topraklar!$D$35)+Ayarlar!$B$3*ABS(Bitkiler!$E$32-Topraklar!$E$35)+Ayarlar!$B$4*ABS(Bitkiler!$F$32-Topraklar!$F$35)+Ayarlar!$B$5*ABS(Bitkiler!$G$32-Topraklar!$G$35)+Ayarlar!$B$6*IF(Bitkiler!$H$32=Topraklar!$H$35,0,1))/Ayarlar!$B$7)+IF(Topraklar!$K$35=Bitkiler!$C$32,0.002,IF(Topraklar!$L$35="Evet",0.001,0)))</f>
        <v/>
      </c>
      <c r="AJ33" s="16">
        <f>IF(OR(Topraklar!$J$36="Evet",AND(Topraklar!$L$36&lt;&gt;"Evet",Topraklar!$K$36&lt;&gt;Bitkiler!$C$32)),0,MAX(0,1-(Ayarlar!$B$2*ABS(Bitkiler!$D$32-Topraklar!$D$36)+Ayarlar!$B$3*ABS(Bitkiler!$E$32-Topraklar!$E$36)+Ayarlar!$B$4*ABS(Bitkiler!$F$32-Topraklar!$F$36)+Ayarlar!$B$5*ABS(Bitkiler!$G$32-Topraklar!$G$36)+Ayarlar!$B$6*IF(Bitkiler!$H$32=Topraklar!$H$36,0,1))/Ayarlar!$B$7)+IF(Topraklar!$K$36=Bitkiler!$C$32,0.002,IF(Topraklar!$L$36="Evet",0.001,0)))</f>
        <v/>
      </c>
      <c r="AK33" s="16">
        <f>IF(OR(Topraklar!$J$37="Evet",AND(Topraklar!$L$37&lt;&gt;"Evet",Topraklar!$K$37&lt;&gt;Bitkiler!$C$32)),0,MAX(0,1-(Ayarlar!$B$2*ABS(Bitkiler!$D$32-Topraklar!$D$37)+Ayarlar!$B$3*ABS(Bitkiler!$E$32-Topraklar!$E$37)+Ayarlar!$B$4*ABS(Bitkiler!$F$32-Topraklar!$F$37)+Ayarlar!$B$5*ABS(Bitkiler!$G$32-Topraklar!$G$37)+Ayarlar!$B$6*IF(Bitkiler!$H$32=Topraklar!$H$37,0,1))/Ayarlar!$B$7)+IF(Topraklar!$K$37=Bitkiler!$C$32,0.002,IF(Topraklar!$L$37="Evet",0.001,0)))</f>
        <v/>
      </c>
      <c r="AL33" s="16">
        <f>IF(OR(Topraklar!$J$38="Evet",AND(Topraklar!$L$38&lt;&gt;"Evet",Topraklar!$K$38&lt;&gt;Bitkiler!$C$32)),0,MAX(0,1-(Ayarlar!$B$2*ABS(Bitkiler!$D$32-Topraklar!$D$38)+Ayarlar!$B$3*ABS(Bitkiler!$E$32-Topraklar!$E$38)+Ayarlar!$B$4*ABS(Bitkiler!$F$32-Topraklar!$F$38)+Ayarlar!$B$5*ABS(Bitkiler!$G$32-Topraklar!$G$38)+Ayarlar!$B$6*IF(Bitkiler!$H$32=Topraklar!$H$38,0,1))/Ayarlar!$B$7)+IF(Topraklar!$K$38=Bitkiler!$C$32,0.002,IF(Topraklar!$L$38="Evet",0.001,0)))</f>
        <v/>
      </c>
      <c r="AM33" s="16">
        <f>IF(OR(Topraklar!$J$39="Evet",AND(Topraklar!$L$39&lt;&gt;"Evet",Topraklar!$K$39&lt;&gt;Bitkiler!$C$32)),0,MAX(0,1-(Ayarlar!$B$2*ABS(Bitkiler!$D$32-Topraklar!$D$39)+Ayarlar!$B$3*ABS(Bitkiler!$E$32-Topraklar!$E$39)+Ayarlar!$B$4*ABS(Bitkiler!$F$32-Topraklar!$F$39)+Ayarlar!$B$5*ABS(Bitkiler!$G$32-Topraklar!$G$39)+Ayarlar!$B$6*IF(Bitkiler!$H$32=Topraklar!$H$39,0,1))/Ayarlar!$B$7)+IF(Topraklar!$K$39=Bitkiler!$C$32,0.002,IF(Topraklar!$L$39="Evet",0.001,0)))</f>
        <v/>
      </c>
      <c r="AN33" s="16">
        <f>IF(OR(Topraklar!$J$40="Evet",AND(Topraklar!$L$40&lt;&gt;"Evet",Topraklar!$K$40&lt;&gt;Bitkiler!$C$32)),0,MAX(0,1-(Ayarlar!$B$2*ABS(Bitkiler!$D$32-Topraklar!$D$40)+Ayarlar!$B$3*ABS(Bitkiler!$E$32-Topraklar!$E$40)+Ayarlar!$B$4*ABS(Bitkiler!$F$32-Topraklar!$F$40)+Ayarlar!$B$5*ABS(Bitkiler!$G$32-Topraklar!$G$40)+Ayarlar!$B$6*IF(Bitkiler!$H$32=Topraklar!$H$40,0,1))/Ayarlar!$B$7)+IF(Topraklar!$K$40=Bitkiler!$C$32,0.002,IF(Topraklar!$L$40="Evet",0.001,0)))</f>
        <v/>
      </c>
      <c r="AO33" s="16">
        <f>IF(OR(Topraklar!$J$41="Evet",AND(Topraklar!$L$41&lt;&gt;"Evet",Topraklar!$K$41&lt;&gt;Bitkiler!$C$32)),0,MAX(0,1-(Ayarlar!$B$2*ABS(Bitkiler!$D$32-Topraklar!$D$41)+Ayarlar!$B$3*ABS(Bitkiler!$E$32-Topraklar!$E$41)+Ayarlar!$B$4*ABS(Bitkiler!$F$32-Topraklar!$F$41)+Ayarlar!$B$5*ABS(Bitkiler!$G$32-Topraklar!$G$41)+Ayarlar!$B$6*IF(Bitkiler!$H$32=Topraklar!$H$41,0,1))/Ayarlar!$B$7)+IF(Topraklar!$K$41=Bitkiler!$C$32,0.002,IF(Topraklar!$L$41="Evet",0.001,0)))</f>
        <v/>
      </c>
      <c r="AP33" s="16">
        <f>IF(OR(Topraklar!$J$42="Evet",AND(Topraklar!$L$42&lt;&gt;"Evet",Topraklar!$K$42&lt;&gt;Bitkiler!$C$32)),0,MAX(0,1-(Ayarlar!$B$2*ABS(Bitkiler!$D$32-Topraklar!$D$42)+Ayarlar!$B$3*ABS(Bitkiler!$E$32-Topraklar!$E$42)+Ayarlar!$B$4*ABS(Bitkiler!$F$32-Topraklar!$F$42)+Ayarlar!$B$5*ABS(Bitkiler!$G$32-Topraklar!$G$42)+Ayarlar!$B$6*IF(Bitkiler!$H$32=Topraklar!$H$42,0,1))/Ayarlar!$B$7)+IF(Topraklar!$K$42=Bitkiler!$C$32,0.002,IF(Topraklar!$L$42="Evet",0.001,0)))</f>
        <v/>
      </c>
      <c r="AQ33" s="16">
        <f>IF(OR(Topraklar!$J$43="Evet",AND(Topraklar!$L$43&lt;&gt;"Evet",Topraklar!$K$43&lt;&gt;Bitkiler!$C$32)),0,MAX(0,1-(Ayarlar!$B$2*ABS(Bitkiler!$D$32-Topraklar!$D$43)+Ayarlar!$B$3*ABS(Bitkiler!$E$32-Topraklar!$E$43)+Ayarlar!$B$4*ABS(Bitkiler!$F$32-Topraklar!$F$43)+Ayarlar!$B$5*ABS(Bitkiler!$G$32-Topraklar!$G$43)+Ayarlar!$B$6*IF(Bitkiler!$H$32=Topraklar!$H$43,0,1))/Ayarlar!$B$7)+IF(Topraklar!$K$43=Bitkiler!$C$32,0.002,IF(Topraklar!$L$43="Evet",0.001,0)))</f>
        <v/>
      </c>
      <c r="AR33" s="16">
        <f>IF(OR(Topraklar!$J$44="Evet",AND(Topraklar!$L$44&lt;&gt;"Evet",Topraklar!$K$44&lt;&gt;Bitkiler!$C$32)),0,MAX(0,1-(Ayarlar!$B$2*ABS(Bitkiler!$D$32-Topraklar!$D$44)+Ayarlar!$B$3*ABS(Bitkiler!$E$32-Topraklar!$E$44)+Ayarlar!$B$4*ABS(Bitkiler!$F$32-Topraklar!$F$44)+Ayarlar!$B$5*ABS(Bitkiler!$G$32-Topraklar!$G$44)+Ayarlar!$B$6*IF(Bitkiler!$H$32=Topraklar!$H$44,0,1))/Ayarlar!$B$7)+IF(Topraklar!$K$44=Bitkiler!$C$32,0.002,IF(Topraklar!$L$44="Evet",0.001,0)))</f>
        <v/>
      </c>
      <c r="AS33" s="16">
        <f>IF(OR(Topraklar!$J$45="Evet",AND(Topraklar!$L$45&lt;&gt;"Evet",Topraklar!$K$45&lt;&gt;Bitkiler!$C$32)),0,MAX(0,1-(Ayarlar!$B$2*ABS(Bitkiler!$D$32-Topraklar!$D$45)+Ayarlar!$B$3*ABS(Bitkiler!$E$32-Topraklar!$E$45)+Ayarlar!$B$4*ABS(Bitkiler!$F$32-Topraklar!$F$45)+Ayarlar!$B$5*ABS(Bitkiler!$G$32-Topraklar!$G$45)+Ayarlar!$B$6*IF(Bitkiler!$H$32=Topraklar!$H$45,0,1))/Ayarlar!$B$7)+IF(Topraklar!$K$45=Bitkiler!$C$32,0.002,IF(Topraklar!$L$45="Evet",0.001,0)))</f>
        <v/>
      </c>
      <c r="AT33" s="16">
        <f>IF(OR(Topraklar!$J$46="Evet",AND(Topraklar!$L$46&lt;&gt;"Evet",Topraklar!$K$46&lt;&gt;Bitkiler!$C$32)),0,MAX(0,1-(Ayarlar!$B$2*ABS(Bitkiler!$D$32-Topraklar!$D$46)+Ayarlar!$B$3*ABS(Bitkiler!$E$32-Topraklar!$E$46)+Ayarlar!$B$4*ABS(Bitkiler!$F$32-Topraklar!$F$46)+Ayarlar!$B$5*ABS(Bitkiler!$G$32-Topraklar!$G$46)+Ayarlar!$B$6*IF(Bitkiler!$H$32=Topraklar!$H$46,0,1))/Ayarlar!$B$7)+IF(Topraklar!$K$46=Bitkiler!$C$32,0.002,IF(Topraklar!$L$46="Evet",0.001,0)))</f>
        <v/>
      </c>
      <c r="AU33" s="16">
        <f>IF(OR(Topraklar!$J$47="Evet",AND(Topraklar!$L$47&lt;&gt;"Evet",Topraklar!$K$47&lt;&gt;Bitkiler!$C$32)),0,MAX(0,1-(Ayarlar!$B$2*ABS(Bitkiler!$D$32-Topraklar!$D$47)+Ayarlar!$B$3*ABS(Bitkiler!$E$32-Topraklar!$E$47)+Ayarlar!$B$4*ABS(Bitkiler!$F$32-Topraklar!$F$47)+Ayarlar!$B$5*ABS(Bitkiler!$G$32-Topraklar!$G$47)+Ayarlar!$B$6*IF(Bitkiler!$H$32=Topraklar!$H$47,0,1))/Ayarlar!$B$7)+IF(Topraklar!$K$47=Bitkiler!$C$32,0.002,IF(Topraklar!$L$47="Evet",0.001,0)))</f>
        <v/>
      </c>
      <c r="AV33" s="16">
        <f>IF(OR(Topraklar!$J$48="Evet",AND(Topraklar!$L$48&lt;&gt;"Evet",Topraklar!$K$48&lt;&gt;Bitkiler!$C$32)),0,MAX(0,1-(Ayarlar!$B$2*ABS(Bitkiler!$D$32-Topraklar!$D$48)+Ayarlar!$B$3*ABS(Bitkiler!$E$32-Topraklar!$E$48)+Ayarlar!$B$4*ABS(Bitkiler!$F$32-Topraklar!$F$48)+Ayarlar!$B$5*ABS(Bitkiler!$G$32-Topraklar!$G$48)+Ayarlar!$B$6*IF(Bitkiler!$H$32=Topraklar!$H$48,0,1))/Ayarlar!$B$7)+IF(Topraklar!$K$48=Bitkiler!$C$32,0.002,IF(Topraklar!$L$48="Evet",0.001,0)))</f>
        <v/>
      </c>
      <c r="AW33" s="16">
        <f>IF(OR(Topraklar!$J$49="Evet",AND(Topraklar!$L$49&lt;&gt;"Evet",Topraklar!$K$49&lt;&gt;Bitkiler!$C$32)),0,MAX(0,1-(Ayarlar!$B$2*ABS(Bitkiler!$D$32-Topraklar!$D$49)+Ayarlar!$B$3*ABS(Bitkiler!$E$32-Topraklar!$E$49)+Ayarlar!$B$4*ABS(Bitkiler!$F$32-Topraklar!$F$49)+Ayarlar!$B$5*ABS(Bitkiler!$G$32-Topraklar!$G$49)+Ayarlar!$B$6*IF(Bitkiler!$H$32=Topraklar!$H$49,0,1))/Ayarlar!$B$7)+IF(Topraklar!$K$49=Bitkiler!$C$32,0.002,IF(Topraklar!$L$49="Evet",0.001,0)))</f>
        <v/>
      </c>
      <c r="AX33" s="16">
        <f>IF(OR(Topraklar!$J$50="Evet",AND(Topraklar!$L$50&lt;&gt;"Evet",Topraklar!$K$50&lt;&gt;Bitkiler!$C$32)),0,MAX(0,1-(Ayarlar!$B$2*ABS(Bitkiler!$D$32-Topraklar!$D$50)+Ayarlar!$B$3*ABS(Bitkiler!$E$32-Topraklar!$E$50)+Ayarlar!$B$4*ABS(Bitkiler!$F$32-Topraklar!$F$50)+Ayarlar!$B$5*ABS(Bitkiler!$G$32-Topraklar!$G$50)+Ayarlar!$B$6*IF(Bitkiler!$H$32=Topraklar!$H$50,0,1))/Ayarlar!$B$7)+IF(Topraklar!$K$50=Bitkiler!$C$32,0.002,IF(Topraklar!$L$50="Evet",0.001,0)))</f>
        <v/>
      </c>
      <c r="AY33" s="16">
        <f>IF(OR(Topraklar!$J$51="Evet",AND(Topraklar!$L$51&lt;&gt;"Evet",Topraklar!$K$51&lt;&gt;Bitkiler!$C$32)),0,MAX(0,1-(Ayarlar!$B$2*ABS(Bitkiler!$D$32-Topraklar!$D$51)+Ayarlar!$B$3*ABS(Bitkiler!$E$32-Topraklar!$E$51)+Ayarlar!$B$4*ABS(Bitkiler!$F$32-Topraklar!$F$51)+Ayarlar!$B$5*ABS(Bitkiler!$G$32-Topraklar!$G$51)+Ayarlar!$B$6*IF(Bitkiler!$H$32=Topraklar!$H$51,0,1))/Ayarlar!$B$7)+IF(Topraklar!$K$51=Bitkiler!$C$32,0.002,IF(Topraklar!$L$51="Evet",0.001,0)))</f>
        <v/>
      </c>
    </row>
    <row r="34">
      <c r="A34" s="15">
        <f>Bitkiler!A33</f>
        <v/>
      </c>
      <c r="B34" s="16">
        <f>IF(OR(Topraklar!$J$2="Evet",AND(Topraklar!$L$2&lt;&gt;"Evet",Topraklar!$K$2&lt;&gt;Bitkiler!$C$33)),0,MAX(0,1-(Ayarlar!$B$2*ABS(Bitkiler!$D$33-Topraklar!$D$2)+Ayarlar!$B$3*ABS(Bitkiler!$E$33-Topraklar!$E$2)+Ayarlar!$B$4*ABS(Bitkiler!$F$33-Topraklar!$F$2)+Ayarlar!$B$5*ABS(Bitkiler!$G$33-Topraklar!$G$2)+Ayarlar!$B$6*IF(Bitkiler!$H$33=Topraklar!$H$2,0,1))/Ayarlar!$B$7)+IF(Topraklar!$K$2=Bitkiler!$C$33,0.002,IF(Topraklar!$L$2="Evet",0.001,0)))</f>
        <v/>
      </c>
      <c r="C34" s="16">
        <f>IF(OR(Topraklar!$J$3="Evet",AND(Topraklar!$L$3&lt;&gt;"Evet",Topraklar!$K$3&lt;&gt;Bitkiler!$C$33)),0,MAX(0,1-(Ayarlar!$B$2*ABS(Bitkiler!$D$33-Topraklar!$D$3)+Ayarlar!$B$3*ABS(Bitkiler!$E$33-Topraklar!$E$3)+Ayarlar!$B$4*ABS(Bitkiler!$F$33-Topraklar!$F$3)+Ayarlar!$B$5*ABS(Bitkiler!$G$33-Topraklar!$G$3)+Ayarlar!$B$6*IF(Bitkiler!$H$33=Topraklar!$H$3,0,1))/Ayarlar!$B$7)+IF(Topraklar!$K$3=Bitkiler!$C$33,0.002,IF(Topraklar!$L$3="Evet",0.001,0)))</f>
        <v/>
      </c>
      <c r="D34" s="16">
        <f>IF(OR(Topraklar!$J$4="Evet",AND(Topraklar!$L$4&lt;&gt;"Evet",Topraklar!$K$4&lt;&gt;Bitkiler!$C$33)),0,MAX(0,1-(Ayarlar!$B$2*ABS(Bitkiler!$D$33-Topraklar!$D$4)+Ayarlar!$B$3*ABS(Bitkiler!$E$33-Topraklar!$E$4)+Ayarlar!$B$4*ABS(Bitkiler!$F$33-Topraklar!$F$4)+Ayarlar!$B$5*ABS(Bitkiler!$G$33-Topraklar!$G$4)+Ayarlar!$B$6*IF(Bitkiler!$H$33=Topraklar!$H$4,0,1))/Ayarlar!$B$7)+IF(Topraklar!$K$4=Bitkiler!$C$33,0.002,IF(Topraklar!$L$4="Evet",0.001,0)))</f>
        <v/>
      </c>
      <c r="E34" s="16">
        <f>IF(OR(Topraklar!$J$5="Evet",AND(Topraklar!$L$5&lt;&gt;"Evet",Topraklar!$K$5&lt;&gt;Bitkiler!$C$33)),0,MAX(0,1-(Ayarlar!$B$2*ABS(Bitkiler!$D$33-Topraklar!$D$5)+Ayarlar!$B$3*ABS(Bitkiler!$E$33-Topraklar!$E$5)+Ayarlar!$B$4*ABS(Bitkiler!$F$33-Topraklar!$F$5)+Ayarlar!$B$5*ABS(Bitkiler!$G$33-Topraklar!$G$5)+Ayarlar!$B$6*IF(Bitkiler!$H$33=Topraklar!$H$5,0,1))/Ayarlar!$B$7)+IF(Topraklar!$K$5=Bitkiler!$C$33,0.002,IF(Topraklar!$L$5="Evet",0.001,0)))</f>
        <v/>
      </c>
      <c r="F34" s="16">
        <f>IF(OR(Topraklar!$J$6="Evet",AND(Topraklar!$L$6&lt;&gt;"Evet",Topraklar!$K$6&lt;&gt;Bitkiler!$C$33)),0,MAX(0,1-(Ayarlar!$B$2*ABS(Bitkiler!$D$33-Topraklar!$D$6)+Ayarlar!$B$3*ABS(Bitkiler!$E$33-Topraklar!$E$6)+Ayarlar!$B$4*ABS(Bitkiler!$F$33-Topraklar!$F$6)+Ayarlar!$B$5*ABS(Bitkiler!$G$33-Topraklar!$G$6)+Ayarlar!$B$6*IF(Bitkiler!$H$33=Topraklar!$H$6,0,1))/Ayarlar!$B$7)+IF(Topraklar!$K$6=Bitkiler!$C$33,0.002,IF(Topraklar!$L$6="Evet",0.001,0)))</f>
        <v/>
      </c>
      <c r="G34" s="16">
        <f>IF(OR(Topraklar!$J$7="Evet",AND(Topraklar!$L$7&lt;&gt;"Evet",Topraklar!$K$7&lt;&gt;Bitkiler!$C$33)),0,MAX(0,1-(Ayarlar!$B$2*ABS(Bitkiler!$D$33-Topraklar!$D$7)+Ayarlar!$B$3*ABS(Bitkiler!$E$33-Topraklar!$E$7)+Ayarlar!$B$4*ABS(Bitkiler!$F$33-Topraklar!$F$7)+Ayarlar!$B$5*ABS(Bitkiler!$G$33-Topraklar!$G$7)+Ayarlar!$B$6*IF(Bitkiler!$H$33=Topraklar!$H$7,0,1))/Ayarlar!$B$7)+IF(Topraklar!$K$7=Bitkiler!$C$33,0.002,IF(Topraklar!$L$7="Evet",0.001,0)))</f>
        <v/>
      </c>
      <c r="H34" s="16">
        <f>IF(OR(Topraklar!$J$8="Evet",AND(Topraklar!$L$8&lt;&gt;"Evet",Topraklar!$K$8&lt;&gt;Bitkiler!$C$33)),0,MAX(0,1-(Ayarlar!$B$2*ABS(Bitkiler!$D$33-Topraklar!$D$8)+Ayarlar!$B$3*ABS(Bitkiler!$E$33-Topraklar!$E$8)+Ayarlar!$B$4*ABS(Bitkiler!$F$33-Topraklar!$F$8)+Ayarlar!$B$5*ABS(Bitkiler!$G$33-Topraklar!$G$8)+Ayarlar!$B$6*IF(Bitkiler!$H$33=Topraklar!$H$8,0,1))/Ayarlar!$B$7)+IF(Topraklar!$K$8=Bitkiler!$C$33,0.002,IF(Topraklar!$L$8="Evet",0.001,0)))</f>
        <v/>
      </c>
      <c r="I34" s="16">
        <f>IF(OR(Topraklar!$J$9="Evet",AND(Topraklar!$L$9&lt;&gt;"Evet",Topraklar!$K$9&lt;&gt;Bitkiler!$C$33)),0,MAX(0,1-(Ayarlar!$B$2*ABS(Bitkiler!$D$33-Topraklar!$D$9)+Ayarlar!$B$3*ABS(Bitkiler!$E$33-Topraklar!$E$9)+Ayarlar!$B$4*ABS(Bitkiler!$F$33-Topraklar!$F$9)+Ayarlar!$B$5*ABS(Bitkiler!$G$33-Topraklar!$G$9)+Ayarlar!$B$6*IF(Bitkiler!$H$33=Topraklar!$H$9,0,1))/Ayarlar!$B$7)+IF(Topraklar!$K$9=Bitkiler!$C$33,0.002,IF(Topraklar!$L$9="Evet",0.001,0)))</f>
        <v/>
      </c>
      <c r="J34" s="16">
        <f>IF(OR(Topraklar!$J$10="Evet",AND(Topraklar!$L$10&lt;&gt;"Evet",Topraklar!$K$10&lt;&gt;Bitkiler!$C$33)),0,MAX(0,1-(Ayarlar!$B$2*ABS(Bitkiler!$D$33-Topraklar!$D$10)+Ayarlar!$B$3*ABS(Bitkiler!$E$33-Topraklar!$E$10)+Ayarlar!$B$4*ABS(Bitkiler!$F$33-Topraklar!$F$10)+Ayarlar!$B$5*ABS(Bitkiler!$G$33-Topraklar!$G$10)+Ayarlar!$B$6*IF(Bitkiler!$H$33=Topraklar!$H$10,0,1))/Ayarlar!$B$7)+IF(Topraklar!$K$10=Bitkiler!$C$33,0.002,IF(Topraklar!$L$10="Evet",0.001,0)))</f>
        <v/>
      </c>
      <c r="K34" s="16">
        <f>IF(OR(Topraklar!$J$11="Evet",AND(Topraklar!$L$11&lt;&gt;"Evet",Topraklar!$K$11&lt;&gt;Bitkiler!$C$33)),0,MAX(0,1-(Ayarlar!$B$2*ABS(Bitkiler!$D$33-Topraklar!$D$11)+Ayarlar!$B$3*ABS(Bitkiler!$E$33-Topraklar!$E$11)+Ayarlar!$B$4*ABS(Bitkiler!$F$33-Topraklar!$F$11)+Ayarlar!$B$5*ABS(Bitkiler!$G$33-Topraklar!$G$11)+Ayarlar!$B$6*IF(Bitkiler!$H$33=Topraklar!$H$11,0,1))/Ayarlar!$B$7)+IF(Topraklar!$K$11=Bitkiler!$C$33,0.002,IF(Topraklar!$L$11="Evet",0.001,0)))</f>
        <v/>
      </c>
      <c r="L34" s="16">
        <f>IF(OR(Topraklar!$J$12="Evet",AND(Topraklar!$L$12&lt;&gt;"Evet",Topraklar!$K$12&lt;&gt;Bitkiler!$C$33)),0,MAX(0,1-(Ayarlar!$B$2*ABS(Bitkiler!$D$33-Topraklar!$D$12)+Ayarlar!$B$3*ABS(Bitkiler!$E$33-Topraklar!$E$12)+Ayarlar!$B$4*ABS(Bitkiler!$F$33-Topraklar!$F$12)+Ayarlar!$B$5*ABS(Bitkiler!$G$33-Topraklar!$G$12)+Ayarlar!$B$6*IF(Bitkiler!$H$33=Topraklar!$H$12,0,1))/Ayarlar!$B$7)+IF(Topraklar!$K$12=Bitkiler!$C$33,0.002,IF(Topraklar!$L$12="Evet",0.001,0)))</f>
        <v/>
      </c>
      <c r="M34" s="16">
        <f>IF(OR(Topraklar!$J$13="Evet",AND(Topraklar!$L$13&lt;&gt;"Evet",Topraklar!$K$13&lt;&gt;Bitkiler!$C$33)),0,MAX(0,1-(Ayarlar!$B$2*ABS(Bitkiler!$D$33-Topraklar!$D$13)+Ayarlar!$B$3*ABS(Bitkiler!$E$33-Topraklar!$E$13)+Ayarlar!$B$4*ABS(Bitkiler!$F$33-Topraklar!$F$13)+Ayarlar!$B$5*ABS(Bitkiler!$G$33-Topraklar!$G$13)+Ayarlar!$B$6*IF(Bitkiler!$H$33=Topraklar!$H$13,0,1))/Ayarlar!$B$7)+IF(Topraklar!$K$13=Bitkiler!$C$33,0.002,IF(Topraklar!$L$13="Evet",0.001,0)))</f>
        <v/>
      </c>
      <c r="N34" s="16">
        <f>IF(OR(Topraklar!$J$14="Evet",AND(Topraklar!$L$14&lt;&gt;"Evet",Topraklar!$K$14&lt;&gt;Bitkiler!$C$33)),0,MAX(0,1-(Ayarlar!$B$2*ABS(Bitkiler!$D$33-Topraklar!$D$14)+Ayarlar!$B$3*ABS(Bitkiler!$E$33-Topraklar!$E$14)+Ayarlar!$B$4*ABS(Bitkiler!$F$33-Topraklar!$F$14)+Ayarlar!$B$5*ABS(Bitkiler!$G$33-Topraklar!$G$14)+Ayarlar!$B$6*IF(Bitkiler!$H$33=Topraklar!$H$14,0,1))/Ayarlar!$B$7)+IF(Topraklar!$K$14=Bitkiler!$C$33,0.002,IF(Topraklar!$L$14="Evet",0.001,0)))</f>
        <v/>
      </c>
      <c r="O34" s="16">
        <f>IF(OR(Topraklar!$J$15="Evet",AND(Topraklar!$L$15&lt;&gt;"Evet",Topraklar!$K$15&lt;&gt;Bitkiler!$C$33)),0,MAX(0,1-(Ayarlar!$B$2*ABS(Bitkiler!$D$33-Topraklar!$D$15)+Ayarlar!$B$3*ABS(Bitkiler!$E$33-Topraklar!$E$15)+Ayarlar!$B$4*ABS(Bitkiler!$F$33-Topraklar!$F$15)+Ayarlar!$B$5*ABS(Bitkiler!$G$33-Topraklar!$G$15)+Ayarlar!$B$6*IF(Bitkiler!$H$33=Topraklar!$H$15,0,1))/Ayarlar!$B$7)+IF(Topraklar!$K$15=Bitkiler!$C$33,0.002,IF(Topraklar!$L$15="Evet",0.001,0)))</f>
        <v/>
      </c>
      <c r="P34" s="16">
        <f>IF(OR(Topraklar!$J$16="Evet",AND(Topraklar!$L$16&lt;&gt;"Evet",Topraklar!$K$16&lt;&gt;Bitkiler!$C$33)),0,MAX(0,1-(Ayarlar!$B$2*ABS(Bitkiler!$D$33-Topraklar!$D$16)+Ayarlar!$B$3*ABS(Bitkiler!$E$33-Topraklar!$E$16)+Ayarlar!$B$4*ABS(Bitkiler!$F$33-Topraklar!$F$16)+Ayarlar!$B$5*ABS(Bitkiler!$G$33-Topraklar!$G$16)+Ayarlar!$B$6*IF(Bitkiler!$H$33=Topraklar!$H$16,0,1))/Ayarlar!$B$7)+IF(Topraklar!$K$16=Bitkiler!$C$33,0.002,IF(Topraklar!$L$16="Evet",0.001,0)))</f>
        <v/>
      </c>
      <c r="Q34" s="16">
        <f>IF(OR(Topraklar!$J$17="Evet",AND(Topraklar!$L$17&lt;&gt;"Evet",Topraklar!$K$17&lt;&gt;Bitkiler!$C$33)),0,MAX(0,1-(Ayarlar!$B$2*ABS(Bitkiler!$D$33-Topraklar!$D$17)+Ayarlar!$B$3*ABS(Bitkiler!$E$33-Topraklar!$E$17)+Ayarlar!$B$4*ABS(Bitkiler!$F$33-Topraklar!$F$17)+Ayarlar!$B$5*ABS(Bitkiler!$G$33-Topraklar!$G$17)+Ayarlar!$B$6*IF(Bitkiler!$H$33=Topraklar!$H$17,0,1))/Ayarlar!$B$7)+IF(Topraklar!$K$17=Bitkiler!$C$33,0.002,IF(Topraklar!$L$17="Evet",0.001,0)))</f>
        <v/>
      </c>
      <c r="R34" s="16">
        <f>IF(OR(Topraklar!$J$18="Evet",AND(Topraklar!$L$18&lt;&gt;"Evet",Topraklar!$K$18&lt;&gt;Bitkiler!$C$33)),0,MAX(0,1-(Ayarlar!$B$2*ABS(Bitkiler!$D$33-Topraklar!$D$18)+Ayarlar!$B$3*ABS(Bitkiler!$E$33-Topraklar!$E$18)+Ayarlar!$B$4*ABS(Bitkiler!$F$33-Topraklar!$F$18)+Ayarlar!$B$5*ABS(Bitkiler!$G$33-Topraklar!$G$18)+Ayarlar!$B$6*IF(Bitkiler!$H$33=Topraklar!$H$18,0,1))/Ayarlar!$B$7)+IF(Topraklar!$K$18=Bitkiler!$C$33,0.002,IF(Topraklar!$L$18="Evet",0.001,0)))</f>
        <v/>
      </c>
      <c r="S34" s="16">
        <f>IF(OR(Topraklar!$J$19="Evet",AND(Topraklar!$L$19&lt;&gt;"Evet",Topraklar!$K$19&lt;&gt;Bitkiler!$C$33)),0,MAX(0,1-(Ayarlar!$B$2*ABS(Bitkiler!$D$33-Topraklar!$D$19)+Ayarlar!$B$3*ABS(Bitkiler!$E$33-Topraklar!$E$19)+Ayarlar!$B$4*ABS(Bitkiler!$F$33-Topraklar!$F$19)+Ayarlar!$B$5*ABS(Bitkiler!$G$33-Topraklar!$G$19)+Ayarlar!$B$6*IF(Bitkiler!$H$33=Topraklar!$H$19,0,1))/Ayarlar!$B$7)+IF(Topraklar!$K$19=Bitkiler!$C$33,0.002,IF(Topraklar!$L$19="Evet",0.001,0)))</f>
        <v/>
      </c>
      <c r="T34" s="16">
        <f>IF(OR(Topraklar!$J$20="Evet",AND(Topraklar!$L$20&lt;&gt;"Evet",Topraklar!$K$20&lt;&gt;Bitkiler!$C$33)),0,MAX(0,1-(Ayarlar!$B$2*ABS(Bitkiler!$D$33-Topraklar!$D$20)+Ayarlar!$B$3*ABS(Bitkiler!$E$33-Topraklar!$E$20)+Ayarlar!$B$4*ABS(Bitkiler!$F$33-Topraklar!$F$20)+Ayarlar!$B$5*ABS(Bitkiler!$G$33-Topraklar!$G$20)+Ayarlar!$B$6*IF(Bitkiler!$H$33=Topraklar!$H$20,0,1))/Ayarlar!$B$7)+IF(Topraklar!$K$20=Bitkiler!$C$33,0.002,IF(Topraklar!$L$20="Evet",0.001,0)))</f>
        <v/>
      </c>
      <c r="U34" s="16">
        <f>IF(OR(Topraklar!$J$21="Evet",AND(Topraklar!$L$21&lt;&gt;"Evet",Topraklar!$K$21&lt;&gt;Bitkiler!$C$33)),0,MAX(0,1-(Ayarlar!$B$2*ABS(Bitkiler!$D$33-Topraklar!$D$21)+Ayarlar!$B$3*ABS(Bitkiler!$E$33-Topraklar!$E$21)+Ayarlar!$B$4*ABS(Bitkiler!$F$33-Topraklar!$F$21)+Ayarlar!$B$5*ABS(Bitkiler!$G$33-Topraklar!$G$21)+Ayarlar!$B$6*IF(Bitkiler!$H$33=Topraklar!$H$21,0,1))/Ayarlar!$B$7)+IF(Topraklar!$K$21=Bitkiler!$C$33,0.002,IF(Topraklar!$L$21="Evet",0.001,0)))</f>
        <v/>
      </c>
      <c r="V34" s="16">
        <f>IF(OR(Topraklar!$J$22="Evet",AND(Topraklar!$L$22&lt;&gt;"Evet",Topraklar!$K$22&lt;&gt;Bitkiler!$C$33)),0,MAX(0,1-(Ayarlar!$B$2*ABS(Bitkiler!$D$33-Topraklar!$D$22)+Ayarlar!$B$3*ABS(Bitkiler!$E$33-Topraklar!$E$22)+Ayarlar!$B$4*ABS(Bitkiler!$F$33-Topraklar!$F$22)+Ayarlar!$B$5*ABS(Bitkiler!$G$33-Topraklar!$G$22)+Ayarlar!$B$6*IF(Bitkiler!$H$33=Topraklar!$H$22,0,1))/Ayarlar!$B$7)+IF(Topraklar!$K$22=Bitkiler!$C$33,0.002,IF(Topraklar!$L$22="Evet",0.001,0)))</f>
        <v/>
      </c>
      <c r="W34" s="16">
        <f>IF(OR(Topraklar!$J$23="Evet",AND(Topraklar!$L$23&lt;&gt;"Evet",Topraklar!$K$23&lt;&gt;Bitkiler!$C$33)),0,MAX(0,1-(Ayarlar!$B$2*ABS(Bitkiler!$D$33-Topraklar!$D$23)+Ayarlar!$B$3*ABS(Bitkiler!$E$33-Topraklar!$E$23)+Ayarlar!$B$4*ABS(Bitkiler!$F$33-Topraklar!$F$23)+Ayarlar!$B$5*ABS(Bitkiler!$G$33-Topraklar!$G$23)+Ayarlar!$B$6*IF(Bitkiler!$H$33=Topraklar!$H$23,0,1))/Ayarlar!$B$7)+IF(Topraklar!$K$23=Bitkiler!$C$33,0.002,IF(Topraklar!$L$23="Evet",0.001,0)))</f>
        <v/>
      </c>
      <c r="X34" s="16">
        <f>IF(OR(Topraklar!$J$24="Evet",AND(Topraklar!$L$24&lt;&gt;"Evet",Topraklar!$K$24&lt;&gt;Bitkiler!$C$33)),0,MAX(0,1-(Ayarlar!$B$2*ABS(Bitkiler!$D$33-Topraklar!$D$24)+Ayarlar!$B$3*ABS(Bitkiler!$E$33-Topraklar!$E$24)+Ayarlar!$B$4*ABS(Bitkiler!$F$33-Topraklar!$F$24)+Ayarlar!$B$5*ABS(Bitkiler!$G$33-Topraklar!$G$24)+Ayarlar!$B$6*IF(Bitkiler!$H$33=Topraklar!$H$24,0,1))/Ayarlar!$B$7)+IF(Topraklar!$K$24=Bitkiler!$C$33,0.002,IF(Topraklar!$L$24="Evet",0.001,0)))</f>
        <v/>
      </c>
      <c r="Y34" s="16">
        <f>IF(OR(Topraklar!$J$25="Evet",AND(Topraklar!$L$25&lt;&gt;"Evet",Topraklar!$K$25&lt;&gt;Bitkiler!$C$33)),0,MAX(0,1-(Ayarlar!$B$2*ABS(Bitkiler!$D$33-Topraklar!$D$25)+Ayarlar!$B$3*ABS(Bitkiler!$E$33-Topraklar!$E$25)+Ayarlar!$B$4*ABS(Bitkiler!$F$33-Topraklar!$F$25)+Ayarlar!$B$5*ABS(Bitkiler!$G$33-Topraklar!$G$25)+Ayarlar!$B$6*IF(Bitkiler!$H$33=Topraklar!$H$25,0,1))/Ayarlar!$B$7)+IF(Topraklar!$K$25=Bitkiler!$C$33,0.002,IF(Topraklar!$L$25="Evet",0.001,0)))</f>
        <v/>
      </c>
      <c r="Z34" s="16">
        <f>IF(OR(Topraklar!$J$26="Evet",AND(Topraklar!$L$26&lt;&gt;"Evet",Topraklar!$K$26&lt;&gt;Bitkiler!$C$33)),0,MAX(0,1-(Ayarlar!$B$2*ABS(Bitkiler!$D$33-Topraklar!$D$26)+Ayarlar!$B$3*ABS(Bitkiler!$E$33-Topraklar!$E$26)+Ayarlar!$B$4*ABS(Bitkiler!$F$33-Topraklar!$F$26)+Ayarlar!$B$5*ABS(Bitkiler!$G$33-Topraklar!$G$26)+Ayarlar!$B$6*IF(Bitkiler!$H$33=Topraklar!$H$26,0,1))/Ayarlar!$B$7)+IF(Topraklar!$K$26=Bitkiler!$C$33,0.002,IF(Topraklar!$L$26="Evet",0.001,0)))</f>
        <v/>
      </c>
      <c r="AA34" s="16">
        <f>IF(OR(Topraklar!$J$27="Evet",AND(Topraklar!$L$27&lt;&gt;"Evet",Topraklar!$K$27&lt;&gt;Bitkiler!$C$33)),0,MAX(0,1-(Ayarlar!$B$2*ABS(Bitkiler!$D$33-Topraklar!$D$27)+Ayarlar!$B$3*ABS(Bitkiler!$E$33-Topraklar!$E$27)+Ayarlar!$B$4*ABS(Bitkiler!$F$33-Topraklar!$F$27)+Ayarlar!$B$5*ABS(Bitkiler!$G$33-Topraklar!$G$27)+Ayarlar!$B$6*IF(Bitkiler!$H$33=Topraklar!$H$27,0,1))/Ayarlar!$B$7)+IF(Topraklar!$K$27=Bitkiler!$C$33,0.002,IF(Topraklar!$L$27="Evet",0.001,0)))</f>
        <v/>
      </c>
      <c r="AB34" s="16">
        <f>IF(OR(Topraklar!$J$28="Evet",AND(Topraklar!$L$28&lt;&gt;"Evet",Topraklar!$K$28&lt;&gt;Bitkiler!$C$33)),0,MAX(0,1-(Ayarlar!$B$2*ABS(Bitkiler!$D$33-Topraklar!$D$28)+Ayarlar!$B$3*ABS(Bitkiler!$E$33-Topraklar!$E$28)+Ayarlar!$B$4*ABS(Bitkiler!$F$33-Topraklar!$F$28)+Ayarlar!$B$5*ABS(Bitkiler!$G$33-Topraklar!$G$28)+Ayarlar!$B$6*IF(Bitkiler!$H$33=Topraklar!$H$28,0,1))/Ayarlar!$B$7)+IF(Topraklar!$K$28=Bitkiler!$C$33,0.002,IF(Topraklar!$L$28="Evet",0.001,0)))</f>
        <v/>
      </c>
      <c r="AC34" s="16">
        <f>IF(OR(Topraklar!$J$29="Evet",AND(Topraklar!$L$29&lt;&gt;"Evet",Topraklar!$K$29&lt;&gt;Bitkiler!$C$33)),0,MAX(0,1-(Ayarlar!$B$2*ABS(Bitkiler!$D$33-Topraklar!$D$29)+Ayarlar!$B$3*ABS(Bitkiler!$E$33-Topraklar!$E$29)+Ayarlar!$B$4*ABS(Bitkiler!$F$33-Topraklar!$F$29)+Ayarlar!$B$5*ABS(Bitkiler!$G$33-Topraklar!$G$29)+Ayarlar!$B$6*IF(Bitkiler!$H$33=Topraklar!$H$29,0,1))/Ayarlar!$B$7)+IF(Topraklar!$K$29=Bitkiler!$C$33,0.002,IF(Topraklar!$L$29="Evet",0.001,0)))</f>
        <v/>
      </c>
      <c r="AD34" s="16">
        <f>IF(OR(Topraklar!$J$30="Evet",AND(Topraklar!$L$30&lt;&gt;"Evet",Topraklar!$K$30&lt;&gt;Bitkiler!$C$33)),0,MAX(0,1-(Ayarlar!$B$2*ABS(Bitkiler!$D$33-Topraklar!$D$30)+Ayarlar!$B$3*ABS(Bitkiler!$E$33-Topraklar!$E$30)+Ayarlar!$B$4*ABS(Bitkiler!$F$33-Topraklar!$F$30)+Ayarlar!$B$5*ABS(Bitkiler!$G$33-Topraklar!$G$30)+Ayarlar!$B$6*IF(Bitkiler!$H$33=Topraklar!$H$30,0,1))/Ayarlar!$B$7)+IF(Topraklar!$K$30=Bitkiler!$C$33,0.002,IF(Topraklar!$L$30="Evet",0.001,0)))</f>
        <v/>
      </c>
      <c r="AE34" s="16">
        <f>IF(OR(Topraklar!$J$31="Evet",AND(Topraklar!$L$31&lt;&gt;"Evet",Topraklar!$K$31&lt;&gt;Bitkiler!$C$33)),0,MAX(0,1-(Ayarlar!$B$2*ABS(Bitkiler!$D$33-Topraklar!$D$31)+Ayarlar!$B$3*ABS(Bitkiler!$E$33-Topraklar!$E$31)+Ayarlar!$B$4*ABS(Bitkiler!$F$33-Topraklar!$F$31)+Ayarlar!$B$5*ABS(Bitkiler!$G$33-Topraklar!$G$31)+Ayarlar!$B$6*IF(Bitkiler!$H$33=Topraklar!$H$31,0,1))/Ayarlar!$B$7)+IF(Topraklar!$K$31=Bitkiler!$C$33,0.002,IF(Topraklar!$L$31="Evet",0.001,0)))</f>
        <v/>
      </c>
      <c r="AF34" s="16">
        <f>IF(OR(Topraklar!$J$32="Evet",AND(Topraklar!$L$32&lt;&gt;"Evet",Topraklar!$K$32&lt;&gt;Bitkiler!$C$33)),0,MAX(0,1-(Ayarlar!$B$2*ABS(Bitkiler!$D$33-Topraklar!$D$32)+Ayarlar!$B$3*ABS(Bitkiler!$E$33-Topraklar!$E$32)+Ayarlar!$B$4*ABS(Bitkiler!$F$33-Topraklar!$F$32)+Ayarlar!$B$5*ABS(Bitkiler!$G$33-Topraklar!$G$32)+Ayarlar!$B$6*IF(Bitkiler!$H$33=Topraklar!$H$32,0,1))/Ayarlar!$B$7)+IF(Topraklar!$K$32=Bitkiler!$C$33,0.002,IF(Topraklar!$L$32="Evet",0.001,0)))</f>
        <v/>
      </c>
      <c r="AG34" s="16">
        <f>IF(OR(Topraklar!$J$33="Evet",AND(Topraklar!$L$33&lt;&gt;"Evet",Topraklar!$K$33&lt;&gt;Bitkiler!$C$33)),0,MAX(0,1-(Ayarlar!$B$2*ABS(Bitkiler!$D$33-Topraklar!$D$33)+Ayarlar!$B$3*ABS(Bitkiler!$E$33-Topraklar!$E$33)+Ayarlar!$B$4*ABS(Bitkiler!$F$33-Topraklar!$F$33)+Ayarlar!$B$5*ABS(Bitkiler!$G$33-Topraklar!$G$33)+Ayarlar!$B$6*IF(Bitkiler!$H$33=Topraklar!$H$33,0,1))/Ayarlar!$B$7)+IF(Topraklar!$K$33=Bitkiler!$C$33,0.002,IF(Topraklar!$L$33="Evet",0.001,0)))</f>
        <v/>
      </c>
      <c r="AH34" s="16">
        <f>IF(OR(Topraklar!$J$34="Evet",AND(Topraklar!$L$34&lt;&gt;"Evet",Topraklar!$K$34&lt;&gt;Bitkiler!$C$33)),0,MAX(0,1-(Ayarlar!$B$2*ABS(Bitkiler!$D$33-Topraklar!$D$34)+Ayarlar!$B$3*ABS(Bitkiler!$E$33-Topraklar!$E$34)+Ayarlar!$B$4*ABS(Bitkiler!$F$33-Topraklar!$F$34)+Ayarlar!$B$5*ABS(Bitkiler!$G$33-Topraklar!$G$34)+Ayarlar!$B$6*IF(Bitkiler!$H$33=Topraklar!$H$34,0,1))/Ayarlar!$B$7)+IF(Topraklar!$K$34=Bitkiler!$C$33,0.002,IF(Topraklar!$L$34="Evet",0.001,0)))</f>
        <v/>
      </c>
      <c r="AI34" s="16">
        <f>IF(OR(Topraklar!$J$35="Evet",AND(Topraklar!$L$35&lt;&gt;"Evet",Topraklar!$K$35&lt;&gt;Bitkiler!$C$33)),0,MAX(0,1-(Ayarlar!$B$2*ABS(Bitkiler!$D$33-Topraklar!$D$35)+Ayarlar!$B$3*ABS(Bitkiler!$E$33-Topraklar!$E$35)+Ayarlar!$B$4*ABS(Bitkiler!$F$33-Topraklar!$F$35)+Ayarlar!$B$5*ABS(Bitkiler!$G$33-Topraklar!$G$35)+Ayarlar!$B$6*IF(Bitkiler!$H$33=Topraklar!$H$35,0,1))/Ayarlar!$B$7)+IF(Topraklar!$K$35=Bitkiler!$C$33,0.002,IF(Topraklar!$L$35="Evet",0.001,0)))</f>
        <v/>
      </c>
      <c r="AJ34" s="16">
        <f>IF(OR(Topraklar!$J$36="Evet",AND(Topraklar!$L$36&lt;&gt;"Evet",Topraklar!$K$36&lt;&gt;Bitkiler!$C$33)),0,MAX(0,1-(Ayarlar!$B$2*ABS(Bitkiler!$D$33-Topraklar!$D$36)+Ayarlar!$B$3*ABS(Bitkiler!$E$33-Topraklar!$E$36)+Ayarlar!$B$4*ABS(Bitkiler!$F$33-Topraklar!$F$36)+Ayarlar!$B$5*ABS(Bitkiler!$G$33-Topraklar!$G$36)+Ayarlar!$B$6*IF(Bitkiler!$H$33=Topraklar!$H$36,0,1))/Ayarlar!$B$7)+IF(Topraklar!$K$36=Bitkiler!$C$33,0.002,IF(Topraklar!$L$36="Evet",0.001,0)))</f>
        <v/>
      </c>
      <c r="AK34" s="16">
        <f>IF(OR(Topraklar!$J$37="Evet",AND(Topraklar!$L$37&lt;&gt;"Evet",Topraklar!$K$37&lt;&gt;Bitkiler!$C$33)),0,MAX(0,1-(Ayarlar!$B$2*ABS(Bitkiler!$D$33-Topraklar!$D$37)+Ayarlar!$B$3*ABS(Bitkiler!$E$33-Topraklar!$E$37)+Ayarlar!$B$4*ABS(Bitkiler!$F$33-Topraklar!$F$37)+Ayarlar!$B$5*ABS(Bitkiler!$G$33-Topraklar!$G$37)+Ayarlar!$B$6*IF(Bitkiler!$H$33=Topraklar!$H$37,0,1))/Ayarlar!$B$7)+IF(Topraklar!$K$37=Bitkiler!$C$33,0.002,IF(Topraklar!$L$37="Evet",0.001,0)))</f>
        <v/>
      </c>
      <c r="AL34" s="16">
        <f>IF(OR(Topraklar!$J$38="Evet",AND(Topraklar!$L$38&lt;&gt;"Evet",Topraklar!$K$38&lt;&gt;Bitkiler!$C$33)),0,MAX(0,1-(Ayarlar!$B$2*ABS(Bitkiler!$D$33-Topraklar!$D$38)+Ayarlar!$B$3*ABS(Bitkiler!$E$33-Topraklar!$E$38)+Ayarlar!$B$4*ABS(Bitkiler!$F$33-Topraklar!$F$38)+Ayarlar!$B$5*ABS(Bitkiler!$G$33-Topraklar!$G$38)+Ayarlar!$B$6*IF(Bitkiler!$H$33=Topraklar!$H$38,0,1))/Ayarlar!$B$7)+IF(Topraklar!$K$38=Bitkiler!$C$33,0.002,IF(Topraklar!$L$38="Evet",0.001,0)))</f>
        <v/>
      </c>
      <c r="AM34" s="16">
        <f>IF(OR(Topraklar!$J$39="Evet",AND(Topraklar!$L$39&lt;&gt;"Evet",Topraklar!$K$39&lt;&gt;Bitkiler!$C$33)),0,MAX(0,1-(Ayarlar!$B$2*ABS(Bitkiler!$D$33-Topraklar!$D$39)+Ayarlar!$B$3*ABS(Bitkiler!$E$33-Topraklar!$E$39)+Ayarlar!$B$4*ABS(Bitkiler!$F$33-Topraklar!$F$39)+Ayarlar!$B$5*ABS(Bitkiler!$G$33-Topraklar!$G$39)+Ayarlar!$B$6*IF(Bitkiler!$H$33=Topraklar!$H$39,0,1))/Ayarlar!$B$7)+IF(Topraklar!$K$39=Bitkiler!$C$33,0.002,IF(Topraklar!$L$39="Evet",0.001,0)))</f>
        <v/>
      </c>
      <c r="AN34" s="16">
        <f>IF(OR(Topraklar!$J$40="Evet",AND(Topraklar!$L$40&lt;&gt;"Evet",Topraklar!$K$40&lt;&gt;Bitkiler!$C$33)),0,MAX(0,1-(Ayarlar!$B$2*ABS(Bitkiler!$D$33-Topraklar!$D$40)+Ayarlar!$B$3*ABS(Bitkiler!$E$33-Topraklar!$E$40)+Ayarlar!$B$4*ABS(Bitkiler!$F$33-Topraklar!$F$40)+Ayarlar!$B$5*ABS(Bitkiler!$G$33-Topraklar!$G$40)+Ayarlar!$B$6*IF(Bitkiler!$H$33=Topraklar!$H$40,0,1))/Ayarlar!$B$7)+IF(Topraklar!$K$40=Bitkiler!$C$33,0.002,IF(Topraklar!$L$40="Evet",0.001,0)))</f>
        <v/>
      </c>
      <c r="AO34" s="16">
        <f>IF(OR(Topraklar!$J$41="Evet",AND(Topraklar!$L$41&lt;&gt;"Evet",Topraklar!$K$41&lt;&gt;Bitkiler!$C$33)),0,MAX(0,1-(Ayarlar!$B$2*ABS(Bitkiler!$D$33-Topraklar!$D$41)+Ayarlar!$B$3*ABS(Bitkiler!$E$33-Topraklar!$E$41)+Ayarlar!$B$4*ABS(Bitkiler!$F$33-Topraklar!$F$41)+Ayarlar!$B$5*ABS(Bitkiler!$G$33-Topraklar!$G$41)+Ayarlar!$B$6*IF(Bitkiler!$H$33=Topraklar!$H$41,0,1))/Ayarlar!$B$7)+IF(Topraklar!$K$41=Bitkiler!$C$33,0.002,IF(Topraklar!$L$41="Evet",0.001,0)))</f>
        <v/>
      </c>
      <c r="AP34" s="16">
        <f>IF(OR(Topraklar!$J$42="Evet",AND(Topraklar!$L$42&lt;&gt;"Evet",Topraklar!$K$42&lt;&gt;Bitkiler!$C$33)),0,MAX(0,1-(Ayarlar!$B$2*ABS(Bitkiler!$D$33-Topraklar!$D$42)+Ayarlar!$B$3*ABS(Bitkiler!$E$33-Topraklar!$E$42)+Ayarlar!$B$4*ABS(Bitkiler!$F$33-Topraklar!$F$42)+Ayarlar!$B$5*ABS(Bitkiler!$G$33-Topraklar!$G$42)+Ayarlar!$B$6*IF(Bitkiler!$H$33=Topraklar!$H$42,0,1))/Ayarlar!$B$7)+IF(Topraklar!$K$42=Bitkiler!$C$33,0.002,IF(Topraklar!$L$42="Evet",0.001,0)))</f>
        <v/>
      </c>
      <c r="AQ34" s="16">
        <f>IF(OR(Topraklar!$J$43="Evet",AND(Topraklar!$L$43&lt;&gt;"Evet",Topraklar!$K$43&lt;&gt;Bitkiler!$C$33)),0,MAX(0,1-(Ayarlar!$B$2*ABS(Bitkiler!$D$33-Topraklar!$D$43)+Ayarlar!$B$3*ABS(Bitkiler!$E$33-Topraklar!$E$43)+Ayarlar!$B$4*ABS(Bitkiler!$F$33-Topraklar!$F$43)+Ayarlar!$B$5*ABS(Bitkiler!$G$33-Topraklar!$G$43)+Ayarlar!$B$6*IF(Bitkiler!$H$33=Topraklar!$H$43,0,1))/Ayarlar!$B$7)+IF(Topraklar!$K$43=Bitkiler!$C$33,0.002,IF(Topraklar!$L$43="Evet",0.001,0)))</f>
        <v/>
      </c>
      <c r="AR34" s="16">
        <f>IF(OR(Topraklar!$J$44="Evet",AND(Topraklar!$L$44&lt;&gt;"Evet",Topraklar!$K$44&lt;&gt;Bitkiler!$C$33)),0,MAX(0,1-(Ayarlar!$B$2*ABS(Bitkiler!$D$33-Topraklar!$D$44)+Ayarlar!$B$3*ABS(Bitkiler!$E$33-Topraklar!$E$44)+Ayarlar!$B$4*ABS(Bitkiler!$F$33-Topraklar!$F$44)+Ayarlar!$B$5*ABS(Bitkiler!$G$33-Topraklar!$G$44)+Ayarlar!$B$6*IF(Bitkiler!$H$33=Topraklar!$H$44,0,1))/Ayarlar!$B$7)+IF(Topraklar!$K$44=Bitkiler!$C$33,0.002,IF(Topraklar!$L$44="Evet",0.001,0)))</f>
        <v/>
      </c>
      <c r="AS34" s="16">
        <f>IF(OR(Topraklar!$J$45="Evet",AND(Topraklar!$L$45&lt;&gt;"Evet",Topraklar!$K$45&lt;&gt;Bitkiler!$C$33)),0,MAX(0,1-(Ayarlar!$B$2*ABS(Bitkiler!$D$33-Topraklar!$D$45)+Ayarlar!$B$3*ABS(Bitkiler!$E$33-Topraklar!$E$45)+Ayarlar!$B$4*ABS(Bitkiler!$F$33-Topraklar!$F$45)+Ayarlar!$B$5*ABS(Bitkiler!$G$33-Topraklar!$G$45)+Ayarlar!$B$6*IF(Bitkiler!$H$33=Topraklar!$H$45,0,1))/Ayarlar!$B$7)+IF(Topraklar!$K$45=Bitkiler!$C$33,0.002,IF(Topraklar!$L$45="Evet",0.001,0)))</f>
        <v/>
      </c>
      <c r="AT34" s="16">
        <f>IF(OR(Topraklar!$J$46="Evet",AND(Topraklar!$L$46&lt;&gt;"Evet",Topraklar!$K$46&lt;&gt;Bitkiler!$C$33)),0,MAX(0,1-(Ayarlar!$B$2*ABS(Bitkiler!$D$33-Topraklar!$D$46)+Ayarlar!$B$3*ABS(Bitkiler!$E$33-Topraklar!$E$46)+Ayarlar!$B$4*ABS(Bitkiler!$F$33-Topraklar!$F$46)+Ayarlar!$B$5*ABS(Bitkiler!$G$33-Topraklar!$G$46)+Ayarlar!$B$6*IF(Bitkiler!$H$33=Topraklar!$H$46,0,1))/Ayarlar!$B$7)+IF(Topraklar!$K$46=Bitkiler!$C$33,0.002,IF(Topraklar!$L$46="Evet",0.001,0)))</f>
        <v/>
      </c>
      <c r="AU34" s="16">
        <f>IF(OR(Topraklar!$J$47="Evet",AND(Topraklar!$L$47&lt;&gt;"Evet",Topraklar!$K$47&lt;&gt;Bitkiler!$C$33)),0,MAX(0,1-(Ayarlar!$B$2*ABS(Bitkiler!$D$33-Topraklar!$D$47)+Ayarlar!$B$3*ABS(Bitkiler!$E$33-Topraklar!$E$47)+Ayarlar!$B$4*ABS(Bitkiler!$F$33-Topraklar!$F$47)+Ayarlar!$B$5*ABS(Bitkiler!$G$33-Topraklar!$G$47)+Ayarlar!$B$6*IF(Bitkiler!$H$33=Topraklar!$H$47,0,1))/Ayarlar!$B$7)+IF(Topraklar!$K$47=Bitkiler!$C$33,0.002,IF(Topraklar!$L$47="Evet",0.001,0)))</f>
        <v/>
      </c>
      <c r="AV34" s="16">
        <f>IF(OR(Topraklar!$J$48="Evet",AND(Topraklar!$L$48&lt;&gt;"Evet",Topraklar!$K$48&lt;&gt;Bitkiler!$C$33)),0,MAX(0,1-(Ayarlar!$B$2*ABS(Bitkiler!$D$33-Topraklar!$D$48)+Ayarlar!$B$3*ABS(Bitkiler!$E$33-Topraklar!$E$48)+Ayarlar!$B$4*ABS(Bitkiler!$F$33-Topraklar!$F$48)+Ayarlar!$B$5*ABS(Bitkiler!$G$33-Topraklar!$G$48)+Ayarlar!$B$6*IF(Bitkiler!$H$33=Topraklar!$H$48,0,1))/Ayarlar!$B$7)+IF(Topraklar!$K$48=Bitkiler!$C$33,0.002,IF(Topraklar!$L$48="Evet",0.001,0)))</f>
        <v/>
      </c>
      <c r="AW34" s="16">
        <f>IF(OR(Topraklar!$J$49="Evet",AND(Topraklar!$L$49&lt;&gt;"Evet",Topraklar!$K$49&lt;&gt;Bitkiler!$C$33)),0,MAX(0,1-(Ayarlar!$B$2*ABS(Bitkiler!$D$33-Topraklar!$D$49)+Ayarlar!$B$3*ABS(Bitkiler!$E$33-Topraklar!$E$49)+Ayarlar!$B$4*ABS(Bitkiler!$F$33-Topraklar!$F$49)+Ayarlar!$B$5*ABS(Bitkiler!$G$33-Topraklar!$G$49)+Ayarlar!$B$6*IF(Bitkiler!$H$33=Topraklar!$H$49,0,1))/Ayarlar!$B$7)+IF(Topraklar!$K$49=Bitkiler!$C$33,0.002,IF(Topraklar!$L$49="Evet",0.001,0)))</f>
        <v/>
      </c>
      <c r="AX34" s="16">
        <f>IF(OR(Topraklar!$J$50="Evet",AND(Topraklar!$L$50&lt;&gt;"Evet",Topraklar!$K$50&lt;&gt;Bitkiler!$C$33)),0,MAX(0,1-(Ayarlar!$B$2*ABS(Bitkiler!$D$33-Topraklar!$D$50)+Ayarlar!$B$3*ABS(Bitkiler!$E$33-Topraklar!$E$50)+Ayarlar!$B$4*ABS(Bitkiler!$F$33-Topraklar!$F$50)+Ayarlar!$B$5*ABS(Bitkiler!$G$33-Topraklar!$G$50)+Ayarlar!$B$6*IF(Bitkiler!$H$33=Topraklar!$H$50,0,1))/Ayarlar!$B$7)+IF(Topraklar!$K$50=Bitkiler!$C$33,0.002,IF(Topraklar!$L$50="Evet",0.001,0)))</f>
        <v/>
      </c>
      <c r="AY34" s="16">
        <f>IF(OR(Topraklar!$J$51="Evet",AND(Topraklar!$L$51&lt;&gt;"Evet",Topraklar!$K$51&lt;&gt;Bitkiler!$C$33)),0,MAX(0,1-(Ayarlar!$B$2*ABS(Bitkiler!$D$33-Topraklar!$D$51)+Ayarlar!$B$3*ABS(Bitkiler!$E$33-Topraklar!$E$51)+Ayarlar!$B$4*ABS(Bitkiler!$F$33-Topraklar!$F$51)+Ayarlar!$B$5*ABS(Bitkiler!$G$33-Topraklar!$G$51)+Ayarlar!$B$6*IF(Bitkiler!$H$33=Topraklar!$H$51,0,1))/Ayarlar!$B$7)+IF(Topraklar!$K$51=Bitkiler!$C$33,0.002,IF(Topraklar!$L$51="Evet",0.001,0)))</f>
        <v/>
      </c>
    </row>
    <row r="35">
      <c r="A35" s="15">
        <f>Bitkiler!A34</f>
        <v/>
      </c>
      <c r="B35" s="16">
        <f>IF(OR(Topraklar!$J$2="Evet",AND(Topraklar!$L$2&lt;&gt;"Evet",Topraklar!$K$2&lt;&gt;Bitkiler!$C$34)),0,MAX(0,1-(Ayarlar!$B$2*ABS(Bitkiler!$D$34-Topraklar!$D$2)+Ayarlar!$B$3*ABS(Bitkiler!$E$34-Topraklar!$E$2)+Ayarlar!$B$4*ABS(Bitkiler!$F$34-Topraklar!$F$2)+Ayarlar!$B$5*ABS(Bitkiler!$G$34-Topraklar!$G$2)+Ayarlar!$B$6*IF(Bitkiler!$H$34=Topraklar!$H$2,0,1))/Ayarlar!$B$7)+IF(Topraklar!$K$2=Bitkiler!$C$34,0.002,IF(Topraklar!$L$2="Evet",0.001,0)))</f>
        <v/>
      </c>
      <c r="C35" s="16">
        <f>IF(OR(Topraklar!$J$3="Evet",AND(Topraklar!$L$3&lt;&gt;"Evet",Topraklar!$K$3&lt;&gt;Bitkiler!$C$34)),0,MAX(0,1-(Ayarlar!$B$2*ABS(Bitkiler!$D$34-Topraklar!$D$3)+Ayarlar!$B$3*ABS(Bitkiler!$E$34-Topraklar!$E$3)+Ayarlar!$B$4*ABS(Bitkiler!$F$34-Topraklar!$F$3)+Ayarlar!$B$5*ABS(Bitkiler!$G$34-Topraklar!$G$3)+Ayarlar!$B$6*IF(Bitkiler!$H$34=Topraklar!$H$3,0,1))/Ayarlar!$B$7)+IF(Topraklar!$K$3=Bitkiler!$C$34,0.002,IF(Topraklar!$L$3="Evet",0.001,0)))</f>
        <v/>
      </c>
      <c r="D35" s="16">
        <f>IF(OR(Topraklar!$J$4="Evet",AND(Topraklar!$L$4&lt;&gt;"Evet",Topraklar!$K$4&lt;&gt;Bitkiler!$C$34)),0,MAX(0,1-(Ayarlar!$B$2*ABS(Bitkiler!$D$34-Topraklar!$D$4)+Ayarlar!$B$3*ABS(Bitkiler!$E$34-Topraklar!$E$4)+Ayarlar!$B$4*ABS(Bitkiler!$F$34-Topraklar!$F$4)+Ayarlar!$B$5*ABS(Bitkiler!$G$34-Topraklar!$G$4)+Ayarlar!$B$6*IF(Bitkiler!$H$34=Topraklar!$H$4,0,1))/Ayarlar!$B$7)+IF(Topraklar!$K$4=Bitkiler!$C$34,0.002,IF(Topraklar!$L$4="Evet",0.001,0)))</f>
        <v/>
      </c>
      <c r="E35" s="16">
        <f>IF(OR(Topraklar!$J$5="Evet",AND(Topraklar!$L$5&lt;&gt;"Evet",Topraklar!$K$5&lt;&gt;Bitkiler!$C$34)),0,MAX(0,1-(Ayarlar!$B$2*ABS(Bitkiler!$D$34-Topraklar!$D$5)+Ayarlar!$B$3*ABS(Bitkiler!$E$34-Topraklar!$E$5)+Ayarlar!$B$4*ABS(Bitkiler!$F$34-Topraklar!$F$5)+Ayarlar!$B$5*ABS(Bitkiler!$G$34-Topraklar!$G$5)+Ayarlar!$B$6*IF(Bitkiler!$H$34=Topraklar!$H$5,0,1))/Ayarlar!$B$7)+IF(Topraklar!$K$5=Bitkiler!$C$34,0.002,IF(Topraklar!$L$5="Evet",0.001,0)))</f>
        <v/>
      </c>
      <c r="F35" s="16">
        <f>IF(OR(Topraklar!$J$6="Evet",AND(Topraklar!$L$6&lt;&gt;"Evet",Topraklar!$K$6&lt;&gt;Bitkiler!$C$34)),0,MAX(0,1-(Ayarlar!$B$2*ABS(Bitkiler!$D$34-Topraklar!$D$6)+Ayarlar!$B$3*ABS(Bitkiler!$E$34-Topraklar!$E$6)+Ayarlar!$B$4*ABS(Bitkiler!$F$34-Topraklar!$F$6)+Ayarlar!$B$5*ABS(Bitkiler!$G$34-Topraklar!$G$6)+Ayarlar!$B$6*IF(Bitkiler!$H$34=Topraklar!$H$6,0,1))/Ayarlar!$B$7)+IF(Topraklar!$K$6=Bitkiler!$C$34,0.002,IF(Topraklar!$L$6="Evet",0.001,0)))</f>
        <v/>
      </c>
      <c r="G35" s="16">
        <f>IF(OR(Topraklar!$J$7="Evet",AND(Topraklar!$L$7&lt;&gt;"Evet",Topraklar!$K$7&lt;&gt;Bitkiler!$C$34)),0,MAX(0,1-(Ayarlar!$B$2*ABS(Bitkiler!$D$34-Topraklar!$D$7)+Ayarlar!$B$3*ABS(Bitkiler!$E$34-Topraklar!$E$7)+Ayarlar!$B$4*ABS(Bitkiler!$F$34-Topraklar!$F$7)+Ayarlar!$B$5*ABS(Bitkiler!$G$34-Topraklar!$G$7)+Ayarlar!$B$6*IF(Bitkiler!$H$34=Topraklar!$H$7,0,1))/Ayarlar!$B$7)+IF(Topraklar!$K$7=Bitkiler!$C$34,0.002,IF(Topraklar!$L$7="Evet",0.001,0)))</f>
        <v/>
      </c>
      <c r="H35" s="16">
        <f>IF(OR(Topraklar!$J$8="Evet",AND(Topraklar!$L$8&lt;&gt;"Evet",Topraklar!$K$8&lt;&gt;Bitkiler!$C$34)),0,MAX(0,1-(Ayarlar!$B$2*ABS(Bitkiler!$D$34-Topraklar!$D$8)+Ayarlar!$B$3*ABS(Bitkiler!$E$34-Topraklar!$E$8)+Ayarlar!$B$4*ABS(Bitkiler!$F$34-Topraklar!$F$8)+Ayarlar!$B$5*ABS(Bitkiler!$G$34-Topraklar!$G$8)+Ayarlar!$B$6*IF(Bitkiler!$H$34=Topraklar!$H$8,0,1))/Ayarlar!$B$7)+IF(Topraklar!$K$8=Bitkiler!$C$34,0.002,IF(Topraklar!$L$8="Evet",0.001,0)))</f>
        <v/>
      </c>
      <c r="I35" s="16">
        <f>IF(OR(Topraklar!$J$9="Evet",AND(Topraklar!$L$9&lt;&gt;"Evet",Topraklar!$K$9&lt;&gt;Bitkiler!$C$34)),0,MAX(0,1-(Ayarlar!$B$2*ABS(Bitkiler!$D$34-Topraklar!$D$9)+Ayarlar!$B$3*ABS(Bitkiler!$E$34-Topraklar!$E$9)+Ayarlar!$B$4*ABS(Bitkiler!$F$34-Topraklar!$F$9)+Ayarlar!$B$5*ABS(Bitkiler!$G$34-Topraklar!$G$9)+Ayarlar!$B$6*IF(Bitkiler!$H$34=Topraklar!$H$9,0,1))/Ayarlar!$B$7)+IF(Topraklar!$K$9=Bitkiler!$C$34,0.002,IF(Topraklar!$L$9="Evet",0.001,0)))</f>
        <v/>
      </c>
      <c r="J35" s="16">
        <f>IF(OR(Topraklar!$J$10="Evet",AND(Topraklar!$L$10&lt;&gt;"Evet",Topraklar!$K$10&lt;&gt;Bitkiler!$C$34)),0,MAX(0,1-(Ayarlar!$B$2*ABS(Bitkiler!$D$34-Topraklar!$D$10)+Ayarlar!$B$3*ABS(Bitkiler!$E$34-Topraklar!$E$10)+Ayarlar!$B$4*ABS(Bitkiler!$F$34-Topraklar!$F$10)+Ayarlar!$B$5*ABS(Bitkiler!$G$34-Topraklar!$G$10)+Ayarlar!$B$6*IF(Bitkiler!$H$34=Topraklar!$H$10,0,1))/Ayarlar!$B$7)+IF(Topraklar!$K$10=Bitkiler!$C$34,0.002,IF(Topraklar!$L$10="Evet",0.001,0)))</f>
        <v/>
      </c>
      <c r="K35" s="16">
        <f>IF(OR(Topraklar!$J$11="Evet",AND(Topraklar!$L$11&lt;&gt;"Evet",Topraklar!$K$11&lt;&gt;Bitkiler!$C$34)),0,MAX(0,1-(Ayarlar!$B$2*ABS(Bitkiler!$D$34-Topraklar!$D$11)+Ayarlar!$B$3*ABS(Bitkiler!$E$34-Topraklar!$E$11)+Ayarlar!$B$4*ABS(Bitkiler!$F$34-Topraklar!$F$11)+Ayarlar!$B$5*ABS(Bitkiler!$G$34-Topraklar!$G$11)+Ayarlar!$B$6*IF(Bitkiler!$H$34=Topraklar!$H$11,0,1))/Ayarlar!$B$7)+IF(Topraklar!$K$11=Bitkiler!$C$34,0.002,IF(Topraklar!$L$11="Evet",0.001,0)))</f>
        <v/>
      </c>
      <c r="L35" s="16">
        <f>IF(OR(Topraklar!$J$12="Evet",AND(Topraklar!$L$12&lt;&gt;"Evet",Topraklar!$K$12&lt;&gt;Bitkiler!$C$34)),0,MAX(0,1-(Ayarlar!$B$2*ABS(Bitkiler!$D$34-Topraklar!$D$12)+Ayarlar!$B$3*ABS(Bitkiler!$E$34-Topraklar!$E$12)+Ayarlar!$B$4*ABS(Bitkiler!$F$34-Topraklar!$F$12)+Ayarlar!$B$5*ABS(Bitkiler!$G$34-Topraklar!$G$12)+Ayarlar!$B$6*IF(Bitkiler!$H$34=Topraklar!$H$12,0,1))/Ayarlar!$B$7)+IF(Topraklar!$K$12=Bitkiler!$C$34,0.002,IF(Topraklar!$L$12="Evet",0.001,0)))</f>
        <v/>
      </c>
      <c r="M35" s="16">
        <f>IF(OR(Topraklar!$J$13="Evet",AND(Topraklar!$L$13&lt;&gt;"Evet",Topraklar!$K$13&lt;&gt;Bitkiler!$C$34)),0,MAX(0,1-(Ayarlar!$B$2*ABS(Bitkiler!$D$34-Topraklar!$D$13)+Ayarlar!$B$3*ABS(Bitkiler!$E$34-Topraklar!$E$13)+Ayarlar!$B$4*ABS(Bitkiler!$F$34-Topraklar!$F$13)+Ayarlar!$B$5*ABS(Bitkiler!$G$34-Topraklar!$G$13)+Ayarlar!$B$6*IF(Bitkiler!$H$34=Topraklar!$H$13,0,1))/Ayarlar!$B$7)+IF(Topraklar!$K$13=Bitkiler!$C$34,0.002,IF(Topraklar!$L$13="Evet",0.001,0)))</f>
        <v/>
      </c>
      <c r="N35" s="16">
        <f>IF(OR(Topraklar!$J$14="Evet",AND(Topraklar!$L$14&lt;&gt;"Evet",Topraklar!$K$14&lt;&gt;Bitkiler!$C$34)),0,MAX(0,1-(Ayarlar!$B$2*ABS(Bitkiler!$D$34-Topraklar!$D$14)+Ayarlar!$B$3*ABS(Bitkiler!$E$34-Topraklar!$E$14)+Ayarlar!$B$4*ABS(Bitkiler!$F$34-Topraklar!$F$14)+Ayarlar!$B$5*ABS(Bitkiler!$G$34-Topraklar!$G$14)+Ayarlar!$B$6*IF(Bitkiler!$H$34=Topraklar!$H$14,0,1))/Ayarlar!$B$7)+IF(Topraklar!$K$14=Bitkiler!$C$34,0.002,IF(Topraklar!$L$14="Evet",0.001,0)))</f>
        <v/>
      </c>
      <c r="O35" s="16">
        <f>IF(OR(Topraklar!$J$15="Evet",AND(Topraklar!$L$15&lt;&gt;"Evet",Topraklar!$K$15&lt;&gt;Bitkiler!$C$34)),0,MAX(0,1-(Ayarlar!$B$2*ABS(Bitkiler!$D$34-Topraklar!$D$15)+Ayarlar!$B$3*ABS(Bitkiler!$E$34-Topraklar!$E$15)+Ayarlar!$B$4*ABS(Bitkiler!$F$34-Topraklar!$F$15)+Ayarlar!$B$5*ABS(Bitkiler!$G$34-Topraklar!$G$15)+Ayarlar!$B$6*IF(Bitkiler!$H$34=Topraklar!$H$15,0,1))/Ayarlar!$B$7)+IF(Topraklar!$K$15=Bitkiler!$C$34,0.002,IF(Topraklar!$L$15="Evet",0.001,0)))</f>
        <v/>
      </c>
      <c r="P35" s="16">
        <f>IF(OR(Topraklar!$J$16="Evet",AND(Topraklar!$L$16&lt;&gt;"Evet",Topraklar!$K$16&lt;&gt;Bitkiler!$C$34)),0,MAX(0,1-(Ayarlar!$B$2*ABS(Bitkiler!$D$34-Topraklar!$D$16)+Ayarlar!$B$3*ABS(Bitkiler!$E$34-Topraklar!$E$16)+Ayarlar!$B$4*ABS(Bitkiler!$F$34-Topraklar!$F$16)+Ayarlar!$B$5*ABS(Bitkiler!$G$34-Topraklar!$G$16)+Ayarlar!$B$6*IF(Bitkiler!$H$34=Topraklar!$H$16,0,1))/Ayarlar!$B$7)+IF(Topraklar!$K$16=Bitkiler!$C$34,0.002,IF(Topraklar!$L$16="Evet",0.001,0)))</f>
        <v/>
      </c>
      <c r="Q35" s="16">
        <f>IF(OR(Topraklar!$J$17="Evet",AND(Topraklar!$L$17&lt;&gt;"Evet",Topraklar!$K$17&lt;&gt;Bitkiler!$C$34)),0,MAX(0,1-(Ayarlar!$B$2*ABS(Bitkiler!$D$34-Topraklar!$D$17)+Ayarlar!$B$3*ABS(Bitkiler!$E$34-Topraklar!$E$17)+Ayarlar!$B$4*ABS(Bitkiler!$F$34-Topraklar!$F$17)+Ayarlar!$B$5*ABS(Bitkiler!$G$34-Topraklar!$G$17)+Ayarlar!$B$6*IF(Bitkiler!$H$34=Topraklar!$H$17,0,1))/Ayarlar!$B$7)+IF(Topraklar!$K$17=Bitkiler!$C$34,0.002,IF(Topraklar!$L$17="Evet",0.001,0)))</f>
        <v/>
      </c>
      <c r="R35" s="16">
        <f>IF(OR(Topraklar!$J$18="Evet",AND(Topraklar!$L$18&lt;&gt;"Evet",Topraklar!$K$18&lt;&gt;Bitkiler!$C$34)),0,MAX(0,1-(Ayarlar!$B$2*ABS(Bitkiler!$D$34-Topraklar!$D$18)+Ayarlar!$B$3*ABS(Bitkiler!$E$34-Topraklar!$E$18)+Ayarlar!$B$4*ABS(Bitkiler!$F$34-Topraklar!$F$18)+Ayarlar!$B$5*ABS(Bitkiler!$G$34-Topraklar!$G$18)+Ayarlar!$B$6*IF(Bitkiler!$H$34=Topraklar!$H$18,0,1))/Ayarlar!$B$7)+IF(Topraklar!$K$18=Bitkiler!$C$34,0.002,IF(Topraklar!$L$18="Evet",0.001,0)))</f>
        <v/>
      </c>
      <c r="S35" s="16">
        <f>IF(OR(Topraklar!$J$19="Evet",AND(Topraklar!$L$19&lt;&gt;"Evet",Topraklar!$K$19&lt;&gt;Bitkiler!$C$34)),0,MAX(0,1-(Ayarlar!$B$2*ABS(Bitkiler!$D$34-Topraklar!$D$19)+Ayarlar!$B$3*ABS(Bitkiler!$E$34-Topraklar!$E$19)+Ayarlar!$B$4*ABS(Bitkiler!$F$34-Topraklar!$F$19)+Ayarlar!$B$5*ABS(Bitkiler!$G$34-Topraklar!$G$19)+Ayarlar!$B$6*IF(Bitkiler!$H$34=Topraklar!$H$19,0,1))/Ayarlar!$B$7)+IF(Topraklar!$K$19=Bitkiler!$C$34,0.002,IF(Topraklar!$L$19="Evet",0.001,0)))</f>
        <v/>
      </c>
      <c r="T35" s="16">
        <f>IF(OR(Topraklar!$J$20="Evet",AND(Topraklar!$L$20&lt;&gt;"Evet",Topraklar!$K$20&lt;&gt;Bitkiler!$C$34)),0,MAX(0,1-(Ayarlar!$B$2*ABS(Bitkiler!$D$34-Topraklar!$D$20)+Ayarlar!$B$3*ABS(Bitkiler!$E$34-Topraklar!$E$20)+Ayarlar!$B$4*ABS(Bitkiler!$F$34-Topraklar!$F$20)+Ayarlar!$B$5*ABS(Bitkiler!$G$34-Topraklar!$G$20)+Ayarlar!$B$6*IF(Bitkiler!$H$34=Topraklar!$H$20,0,1))/Ayarlar!$B$7)+IF(Topraklar!$K$20=Bitkiler!$C$34,0.002,IF(Topraklar!$L$20="Evet",0.001,0)))</f>
        <v/>
      </c>
      <c r="U35" s="16">
        <f>IF(OR(Topraklar!$J$21="Evet",AND(Topraklar!$L$21&lt;&gt;"Evet",Topraklar!$K$21&lt;&gt;Bitkiler!$C$34)),0,MAX(0,1-(Ayarlar!$B$2*ABS(Bitkiler!$D$34-Topraklar!$D$21)+Ayarlar!$B$3*ABS(Bitkiler!$E$34-Topraklar!$E$21)+Ayarlar!$B$4*ABS(Bitkiler!$F$34-Topraklar!$F$21)+Ayarlar!$B$5*ABS(Bitkiler!$G$34-Topraklar!$G$21)+Ayarlar!$B$6*IF(Bitkiler!$H$34=Topraklar!$H$21,0,1))/Ayarlar!$B$7)+IF(Topraklar!$K$21=Bitkiler!$C$34,0.002,IF(Topraklar!$L$21="Evet",0.001,0)))</f>
        <v/>
      </c>
      <c r="V35" s="16">
        <f>IF(OR(Topraklar!$J$22="Evet",AND(Topraklar!$L$22&lt;&gt;"Evet",Topraklar!$K$22&lt;&gt;Bitkiler!$C$34)),0,MAX(0,1-(Ayarlar!$B$2*ABS(Bitkiler!$D$34-Topraklar!$D$22)+Ayarlar!$B$3*ABS(Bitkiler!$E$34-Topraklar!$E$22)+Ayarlar!$B$4*ABS(Bitkiler!$F$34-Topraklar!$F$22)+Ayarlar!$B$5*ABS(Bitkiler!$G$34-Topraklar!$G$22)+Ayarlar!$B$6*IF(Bitkiler!$H$34=Topraklar!$H$22,0,1))/Ayarlar!$B$7)+IF(Topraklar!$K$22=Bitkiler!$C$34,0.002,IF(Topraklar!$L$22="Evet",0.001,0)))</f>
        <v/>
      </c>
      <c r="W35" s="16">
        <f>IF(OR(Topraklar!$J$23="Evet",AND(Topraklar!$L$23&lt;&gt;"Evet",Topraklar!$K$23&lt;&gt;Bitkiler!$C$34)),0,MAX(0,1-(Ayarlar!$B$2*ABS(Bitkiler!$D$34-Topraklar!$D$23)+Ayarlar!$B$3*ABS(Bitkiler!$E$34-Topraklar!$E$23)+Ayarlar!$B$4*ABS(Bitkiler!$F$34-Topraklar!$F$23)+Ayarlar!$B$5*ABS(Bitkiler!$G$34-Topraklar!$G$23)+Ayarlar!$B$6*IF(Bitkiler!$H$34=Topraklar!$H$23,0,1))/Ayarlar!$B$7)+IF(Topraklar!$K$23=Bitkiler!$C$34,0.002,IF(Topraklar!$L$23="Evet",0.001,0)))</f>
        <v/>
      </c>
      <c r="X35" s="16">
        <f>IF(OR(Topraklar!$J$24="Evet",AND(Topraklar!$L$24&lt;&gt;"Evet",Topraklar!$K$24&lt;&gt;Bitkiler!$C$34)),0,MAX(0,1-(Ayarlar!$B$2*ABS(Bitkiler!$D$34-Topraklar!$D$24)+Ayarlar!$B$3*ABS(Bitkiler!$E$34-Topraklar!$E$24)+Ayarlar!$B$4*ABS(Bitkiler!$F$34-Topraklar!$F$24)+Ayarlar!$B$5*ABS(Bitkiler!$G$34-Topraklar!$G$24)+Ayarlar!$B$6*IF(Bitkiler!$H$34=Topraklar!$H$24,0,1))/Ayarlar!$B$7)+IF(Topraklar!$K$24=Bitkiler!$C$34,0.002,IF(Topraklar!$L$24="Evet",0.001,0)))</f>
        <v/>
      </c>
      <c r="Y35" s="16">
        <f>IF(OR(Topraklar!$J$25="Evet",AND(Topraklar!$L$25&lt;&gt;"Evet",Topraklar!$K$25&lt;&gt;Bitkiler!$C$34)),0,MAX(0,1-(Ayarlar!$B$2*ABS(Bitkiler!$D$34-Topraklar!$D$25)+Ayarlar!$B$3*ABS(Bitkiler!$E$34-Topraklar!$E$25)+Ayarlar!$B$4*ABS(Bitkiler!$F$34-Topraklar!$F$25)+Ayarlar!$B$5*ABS(Bitkiler!$G$34-Topraklar!$G$25)+Ayarlar!$B$6*IF(Bitkiler!$H$34=Topraklar!$H$25,0,1))/Ayarlar!$B$7)+IF(Topraklar!$K$25=Bitkiler!$C$34,0.002,IF(Topraklar!$L$25="Evet",0.001,0)))</f>
        <v/>
      </c>
      <c r="Z35" s="16">
        <f>IF(OR(Topraklar!$J$26="Evet",AND(Topraklar!$L$26&lt;&gt;"Evet",Topraklar!$K$26&lt;&gt;Bitkiler!$C$34)),0,MAX(0,1-(Ayarlar!$B$2*ABS(Bitkiler!$D$34-Topraklar!$D$26)+Ayarlar!$B$3*ABS(Bitkiler!$E$34-Topraklar!$E$26)+Ayarlar!$B$4*ABS(Bitkiler!$F$34-Topraklar!$F$26)+Ayarlar!$B$5*ABS(Bitkiler!$G$34-Topraklar!$G$26)+Ayarlar!$B$6*IF(Bitkiler!$H$34=Topraklar!$H$26,0,1))/Ayarlar!$B$7)+IF(Topraklar!$K$26=Bitkiler!$C$34,0.002,IF(Topraklar!$L$26="Evet",0.001,0)))</f>
        <v/>
      </c>
      <c r="AA35" s="16">
        <f>IF(OR(Topraklar!$J$27="Evet",AND(Topraklar!$L$27&lt;&gt;"Evet",Topraklar!$K$27&lt;&gt;Bitkiler!$C$34)),0,MAX(0,1-(Ayarlar!$B$2*ABS(Bitkiler!$D$34-Topraklar!$D$27)+Ayarlar!$B$3*ABS(Bitkiler!$E$34-Topraklar!$E$27)+Ayarlar!$B$4*ABS(Bitkiler!$F$34-Topraklar!$F$27)+Ayarlar!$B$5*ABS(Bitkiler!$G$34-Topraklar!$G$27)+Ayarlar!$B$6*IF(Bitkiler!$H$34=Topraklar!$H$27,0,1))/Ayarlar!$B$7)+IF(Topraklar!$K$27=Bitkiler!$C$34,0.002,IF(Topraklar!$L$27="Evet",0.001,0)))</f>
        <v/>
      </c>
      <c r="AB35" s="16">
        <f>IF(OR(Topraklar!$J$28="Evet",AND(Topraklar!$L$28&lt;&gt;"Evet",Topraklar!$K$28&lt;&gt;Bitkiler!$C$34)),0,MAX(0,1-(Ayarlar!$B$2*ABS(Bitkiler!$D$34-Topraklar!$D$28)+Ayarlar!$B$3*ABS(Bitkiler!$E$34-Topraklar!$E$28)+Ayarlar!$B$4*ABS(Bitkiler!$F$34-Topraklar!$F$28)+Ayarlar!$B$5*ABS(Bitkiler!$G$34-Topraklar!$G$28)+Ayarlar!$B$6*IF(Bitkiler!$H$34=Topraklar!$H$28,0,1))/Ayarlar!$B$7)+IF(Topraklar!$K$28=Bitkiler!$C$34,0.002,IF(Topraklar!$L$28="Evet",0.001,0)))</f>
        <v/>
      </c>
      <c r="AC35" s="16">
        <f>IF(OR(Topraklar!$J$29="Evet",AND(Topraklar!$L$29&lt;&gt;"Evet",Topraklar!$K$29&lt;&gt;Bitkiler!$C$34)),0,MAX(0,1-(Ayarlar!$B$2*ABS(Bitkiler!$D$34-Topraklar!$D$29)+Ayarlar!$B$3*ABS(Bitkiler!$E$34-Topraklar!$E$29)+Ayarlar!$B$4*ABS(Bitkiler!$F$34-Topraklar!$F$29)+Ayarlar!$B$5*ABS(Bitkiler!$G$34-Topraklar!$G$29)+Ayarlar!$B$6*IF(Bitkiler!$H$34=Topraklar!$H$29,0,1))/Ayarlar!$B$7)+IF(Topraklar!$K$29=Bitkiler!$C$34,0.002,IF(Topraklar!$L$29="Evet",0.001,0)))</f>
        <v/>
      </c>
      <c r="AD35" s="16">
        <f>IF(OR(Topraklar!$J$30="Evet",AND(Topraklar!$L$30&lt;&gt;"Evet",Topraklar!$K$30&lt;&gt;Bitkiler!$C$34)),0,MAX(0,1-(Ayarlar!$B$2*ABS(Bitkiler!$D$34-Topraklar!$D$30)+Ayarlar!$B$3*ABS(Bitkiler!$E$34-Topraklar!$E$30)+Ayarlar!$B$4*ABS(Bitkiler!$F$34-Topraklar!$F$30)+Ayarlar!$B$5*ABS(Bitkiler!$G$34-Topraklar!$G$30)+Ayarlar!$B$6*IF(Bitkiler!$H$34=Topraklar!$H$30,0,1))/Ayarlar!$B$7)+IF(Topraklar!$K$30=Bitkiler!$C$34,0.002,IF(Topraklar!$L$30="Evet",0.001,0)))</f>
        <v/>
      </c>
      <c r="AE35" s="16">
        <f>IF(OR(Topraklar!$J$31="Evet",AND(Topraklar!$L$31&lt;&gt;"Evet",Topraklar!$K$31&lt;&gt;Bitkiler!$C$34)),0,MAX(0,1-(Ayarlar!$B$2*ABS(Bitkiler!$D$34-Topraklar!$D$31)+Ayarlar!$B$3*ABS(Bitkiler!$E$34-Topraklar!$E$31)+Ayarlar!$B$4*ABS(Bitkiler!$F$34-Topraklar!$F$31)+Ayarlar!$B$5*ABS(Bitkiler!$G$34-Topraklar!$G$31)+Ayarlar!$B$6*IF(Bitkiler!$H$34=Topraklar!$H$31,0,1))/Ayarlar!$B$7)+IF(Topraklar!$K$31=Bitkiler!$C$34,0.002,IF(Topraklar!$L$31="Evet",0.001,0)))</f>
        <v/>
      </c>
      <c r="AF35" s="16">
        <f>IF(OR(Topraklar!$J$32="Evet",AND(Topraklar!$L$32&lt;&gt;"Evet",Topraklar!$K$32&lt;&gt;Bitkiler!$C$34)),0,MAX(0,1-(Ayarlar!$B$2*ABS(Bitkiler!$D$34-Topraklar!$D$32)+Ayarlar!$B$3*ABS(Bitkiler!$E$34-Topraklar!$E$32)+Ayarlar!$B$4*ABS(Bitkiler!$F$34-Topraklar!$F$32)+Ayarlar!$B$5*ABS(Bitkiler!$G$34-Topraklar!$G$32)+Ayarlar!$B$6*IF(Bitkiler!$H$34=Topraklar!$H$32,0,1))/Ayarlar!$B$7)+IF(Topraklar!$K$32=Bitkiler!$C$34,0.002,IF(Topraklar!$L$32="Evet",0.001,0)))</f>
        <v/>
      </c>
      <c r="AG35" s="16">
        <f>IF(OR(Topraklar!$J$33="Evet",AND(Topraklar!$L$33&lt;&gt;"Evet",Topraklar!$K$33&lt;&gt;Bitkiler!$C$34)),0,MAX(0,1-(Ayarlar!$B$2*ABS(Bitkiler!$D$34-Topraklar!$D$33)+Ayarlar!$B$3*ABS(Bitkiler!$E$34-Topraklar!$E$33)+Ayarlar!$B$4*ABS(Bitkiler!$F$34-Topraklar!$F$33)+Ayarlar!$B$5*ABS(Bitkiler!$G$34-Topraklar!$G$33)+Ayarlar!$B$6*IF(Bitkiler!$H$34=Topraklar!$H$33,0,1))/Ayarlar!$B$7)+IF(Topraklar!$K$33=Bitkiler!$C$34,0.002,IF(Topraklar!$L$33="Evet",0.001,0)))</f>
        <v/>
      </c>
      <c r="AH35" s="16">
        <f>IF(OR(Topraklar!$J$34="Evet",AND(Topraklar!$L$34&lt;&gt;"Evet",Topraklar!$K$34&lt;&gt;Bitkiler!$C$34)),0,MAX(0,1-(Ayarlar!$B$2*ABS(Bitkiler!$D$34-Topraklar!$D$34)+Ayarlar!$B$3*ABS(Bitkiler!$E$34-Topraklar!$E$34)+Ayarlar!$B$4*ABS(Bitkiler!$F$34-Topraklar!$F$34)+Ayarlar!$B$5*ABS(Bitkiler!$G$34-Topraklar!$G$34)+Ayarlar!$B$6*IF(Bitkiler!$H$34=Topraklar!$H$34,0,1))/Ayarlar!$B$7)+IF(Topraklar!$K$34=Bitkiler!$C$34,0.002,IF(Topraklar!$L$34="Evet",0.001,0)))</f>
        <v/>
      </c>
      <c r="AI35" s="16">
        <f>IF(OR(Topraklar!$J$35="Evet",AND(Topraklar!$L$35&lt;&gt;"Evet",Topraklar!$K$35&lt;&gt;Bitkiler!$C$34)),0,MAX(0,1-(Ayarlar!$B$2*ABS(Bitkiler!$D$34-Topraklar!$D$35)+Ayarlar!$B$3*ABS(Bitkiler!$E$34-Topraklar!$E$35)+Ayarlar!$B$4*ABS(Bitkiler!$F$34-Topraklar!$F$35)+Ayarlar!$B$5*ABS(Bitkiler!$G$34-Topraklar!$G$35)+Ayarlar!$B$6*IF(Bitkiler!$H$34=Topraklar!$H$35,0,1))/Ayarlar!$B$7)+IF(Topraklar!$K$35=Bitkiler!$C$34,0.002,IF(Topraklar!$L$35="Evet",0.001,0)))</f>
        <v/>
      </c>
      <c r="AJ35" s="16">
        <f>IF(OR(Topraklar!$J$36="Evet",AND(Topraklar!$L$36&lt;&gt;"Evet",Topraklar!$K$36&lt;&gt;Bitkiler!$C$34)),0,MAX(0,1-(Ayarlar!$B$2*ABS(Bitkiler!$D$34-Topraklar!$D$36)+Ayarlar!$B$3*ABS(Bitkiler!$E$34-Topraklar!$E$36)+Ayarlar!$B$4*ABS(Bitkiler!$F$34-Topraklar!$F$36)+Ayarlar!$B$5*ABS(Bitkiler!$G$34-Topraklar!$G$36)+Ayarlar!$B$6*IF(Bitkiler!$H$34=Topraklar!$H$36,0,1))/Ayarlar!$B$7)+IF(Topraklar!$K$36=Bitkiler!$C$34,0.002,IF(Topraklar!$L$36="Evet",0.001,0)))</f>
        <v/>
      </c>
      <c r="AK35" s="16">
        <f>IF(OR(Topraklar!$J$37="Evet",AND(Topraklar!$L$37&lt;&gt;"Evet",Topraklar!$K$37&lt;&gt;Bitkiler!$C$34)),0,MAX(0,1-(Ayarlar!$B$2*ABS(Bitkiler!$D$34-Topraklar!$D$37)+Ayarlar!$B$3*ABS(Bitkiler!$E$34-Topraklar!$E$37)+Ayarlar!$B$4*ABS(Bitkiler!$F$34-Topraklar!$F$37)+Ayarlar!$B$5*ABS(Bitkiler!$G$34-Topraklar!$G$37)+Ayarlar!$B$6*IF(Bitkiler!$H$34=Topraklar!$H$37,0,1))/Ayarlar!$B$7)+IF(Topraklar!$K$37=Bitkiler!$C$34,0.002,IF(Topraklar!$L$37="Evet",0.001,0)))</f>
        <v/>
      </c>
      <c r="AL35" s="16">
        <f>IF(OR(Topraklar!$J$38="Evet",AND(Topraklar!$L$38&lt;&gt;"Evet",Topraklar!$K$38&lt;&gt;Bitkiler!$C$34)),0,MAX(0,1-(Ayarlar!$B$2*ABS(Bitkiler!$D$34-Topraklar!$D$38)+Ayarlar!$B$3*ABS(Bitkiler!$E$34-Topraklar!$E$38)+Ayarlar!$B$4*ABS(Bitkiler!$F$34-Topraklar!$F$38)+Ayarlar!$B$5*ABS(Bitkiler!$G$34-Topraklar!$G$38)+Ayarlar!$B$6*IF(Bitkiler!$H$34=Topraklar!$H$38,0,1))/Ayarlar!$B$7)+IF(Topraklar!$K$38=Bitkiler!$C$34,0.002,IF(Topraklar!$L$38="Evet",0.001,0)))</f>
        <v/>
      </c>
      <c r="AM35" s="16">
        <f>IF(OR(Topraklar!$J$39="Evet",AND(Topraklar!$L$39&lt;&gt;"Evet",Topraklar!$K$39&lt;&gt;Bitkiler!$C$34)),0,MAX(0,1-(Ayarlar!$B$2*ABS(Bitkiler!$D$34-Topraklar!$D$39)+Ayarlar!$B$3*ABS(Bitkiler!$E$34-Topraklar!$E$39)+Ayarlar!$B$4*ABS(Bitkiler!$F$34-Topraklar!$F$39)+Ayarlar!$B$5*ABS(Bitkiler!$G$34-Topraklar!$G$39)+Ayarlar!$B$6*IF(Bitkiler!$H$34=Topraklar!$H$39,0,1))/Ayarlar!$B$7)+IF(Topraklar!$K$39=Bitkiler!$C$34,0.002,IF(Topraklar!$L$39="Evet",0.001,0)))</f>
        <v/>
      </c>
      <c r="AN35" s="16">
        <f>IF(OR(Topraklar!$J$40="Evet",AND(Topraklar!$L$40&lt;&gt;"Evet",Topraklar!$K$40&lt;&gt;Bitkiler!$C$34)),0,MAX(0,1-(Ayarlar!$B$2*ABS(Bitkiler!$D$34-Topraklar!$D$40)+Ayarlar!$B$3*ABS(Bitkiler!$E$34-Topraklar!$E$40)+Ayarlar!$B$4*ABS(Bitkiler!$F$34-Topraklar!$F$40)+Ayarlar!$B$5*ABS(Bitkiler!$G$34-Topraklar!$G$40)+Ayarlar!$B$6*IF(Bitkiler!$H$34=Topraklar!$H$40,0,1))/Ayarlar!$B$7)+IF(Topraklar!$K$40=Bitkiler!$C$34,0.002,IF(Topraklar!$L$40="Evet",0.001,0)))</f>
        <v/>
      </c>
      <c r="AO35" s="16">
        <f>IF(OR(Topraklar!$J$41="Evet",AND(Topraklar!$L$41&lt;&gt;"Evet",Topraklar!$K$41&lt;&gt;Bitkiler!$C$34)),0,MAX(0,1-(Ayarlar!$B$2*ABS(Bitkiler!$D$34-Topraklar!$D$41)+Ayarlar!$B$3*ABS(Bitkiler!$E$34-Topraklar!$E$41)+Ayarlar!$B$4*ABS(Bitkiler!$F$34-Topraklar!$F$41)+Ayarlar!$B$5*ABS(Bitkiler!$G$34-Topraklar!$G$41)+Ayarlar!$B$6*IF(Bitkiler!$H$34=Topraklar!$H$41,0,1))/Ayarlar!$B$7)+IF(Topraklar!$K$41=Bitkiler!$C$34,0.002,IF(Topraklar!$L$41="Evet",0.001,0)))</f>
        <v/>
      </c>
      <c r="AP35" s="16">
        <f>IF(OR(Topraklar!$J$42="Evet",AND(Topraklar!$L$42&lt;&gt;"Evet",Topraklar!$K$42&lt;&gt;Bitkiler!$C$34)),0,MAX(0,1-(Ayarlar!$B$2*ABS(Bitkiler!$D$34-Topraklar!$D$42)+Ayarlar!$B$3*ABS(Bitkiler!$E$34-Topraklar!$E$42)+Ayarlar!$B$4*ABS(Bitkiler!$F$34-Topraklar!$F$42)+Ayarlar!$B$5*ABS(Bitkiler!$G$34-Topraklar!$G$42)+Ayarlar!$B$6*IF(Bitkiler!$H$34=Topraklar!$H$42,0,1))/Ayarlar!$B$7)+IF(Topraklar!$K$42=Bitkiler!$C$34,0.002,IF(Topraklar!$L$42="Evet",0.001,0)))</f>
        <v/>
      </c>
      <c r="AQ35" s="16">
        <f>IF(OR(Topraklar!$J$43="Evet",AND(Topraklar!$L$43&lt;&gt;"Evet",Topraklar!$K$43&lt;&gt;Bitkiler!$C$34)),0,MAX(0,1-(Ayarlar!$B$2*ABS(Bitkiler!$D$34-Topraklar!$D$43)+Ayarlar!$B$3*ABS(Bitkiler!$E$34-Topraklar!$E$43)+Ayarlar!$B$4*ABS(Bitkiler!$F$34-Topraklar!$F$43)+Ayarlar!$B$5*ABS(Bitkiler!$G$34-Topraklar!$G$43)+Ayarlar!$B$6*IF(Bitkiler!$H$34=Topraklar!$H$43,0,1))/Ayarlar!$B$7)+IF(Topraklar!$K$43=Bitkiler!$C$34,0.002,IF(Topraklar!$L$43="Evet",0.001,0)))</f>
        <v/>
      </c>
      <c r="AR35" s="16">
        <f>IF(OR(Topraklar!$J$44="Evet",AND(Topraklar!$L$44&lt;&gt;"Evet",Topraklar!$K$44&lt;&gt;Bitkiler!$C$34)),0,MAX(0,1-(Ayarlar!$B$2*ABS(Bitkiler!$D$34-Topraklar!$D$44)+Ayarlar!$B$3*ABS(Bitkiler!$E$34-Topraklar!$E$44)+Ayarlar!$B$4*ABS(Bitkiler!$F$34-Topraklar!$F$44)+Ayarlar!$B$5*ABS(Bitkiler!$G$34-Topraklar!$G$44)+Ayarlar!$B$6*IF(Bitkiler!$H$34=Topraklar!$H$44,0,1))/Ayarlar!$B$7)+IF(Topraklar!$K$44=Bitkiler!$C$34,0.002,IF(Topraklar!$L$44="Evet",0.001,0)))</f>
        <v/>
      </c>
      <c r="AS35" s="16">
        <f>IF(OR(Topraklar!$J$45="Evet",AND(Topraklar!$L$45&lt;&gt;"Evet",Topraklar!$K$45&lt;&gt;Bitkiler!$C$34)),0,MAX(0,1-(Ayarlar!$B$2*ABS(Bitkiler!$D$34-Topraklar!$D$45)+Ayarlar!$B$3*ABS(Bitkiler!$E$34-Topraklar!$E$45)+Ayarlar!$B$4*ABS(Bitkiler!$F$34-Topraklar!$F$45)+Ayarlar!$B$5*ABS(Bitkiler!$G$34-Topraklar!$G$45)+Ayarlar!$B$6*IF(Bitkiler!$H$34=Topraklar!$H$45,0,1))/Ayarlar!$B$7)+IF(Topraklar!$K$45=Bitkiler!$C$34,0.002,IF(Topraklar!$L$45="Evet",0.001,0)))</f>
        <v/>
      </c>
      <c r="AT35" s="16">
        <f>IF(OR(Topraklar!$J$46="Evet",AND(Topraklar!$L$46&lt;&gt;"Evet",Topraklar!$K$46&lt;&gt;Bitkiler!$C$34)),0,MAX(0,1-(Ayarlar!$B$2*ABS(Bitkiler!$D$34-Topraklar!$D$46)+Ayarlar!$B$3*ABS(Bitkiler!$E$34-Topraklar!$E$46)+Ayarlar!$B$4*ABS(Bitkiler!$F$34-Topraklar!$F$46)+Ayarlar!$B$5*ABS(Bitkiler!$G$34-Topraklar!$G$46)+Ayarlar!$B$6*IF(Bitkiler!$H$34=Topraklar!$H$46,0,1))/Ayarlar!$B$7)+IF(Topraklar!$K$46=Bitkiler!$C$34,0.002,IF(Topraklar!$L$46="Evet",0.001,0)))</f>
        <v/>
      </c>
      <c r="AU35" s="16">
        <f>IF(OR(Topraklar!$J$47="Evet",AND(Topraklar!$L$47&lt;&gt;"Evet",Topraklar!$K$47&lt;&gt;Bitkiler!$C$34)),0,MAX(0,1-(Ayarlar!$B$2*ABS(Bitkiler!$D$34-Topraklar!$D$47)+Ayarlar!$B$3*ABS(Bitkiler!$E$34-Topraklar!$E$47)+Ayarlar!$B$4*ABS(Bitkiler!$F$34-Topraklar!$F$47)+Ayarlar!$B$5*ABS(Bitkiler!$G$34-Topraklar!$G$47)+Ayarlar!$B$6*IF(Bitkiler!$H$34=Topraklar!$H$47,0,1))/Ayarlar!$B$7)+IF(Topraklar!$K$47=Bitkiler!$C$34,0.002,IF(Topraklar!$L$47="Evet",0.001,0)))</f>
        <v/>
      </c>
      <c r="AV35" s="16">
        <f>IF(OR(Topraklar!$J$48="Evet",AND(Topraklar!$L$48&lt;&gt;"Evet",Topraklar!$K$48&lt;&gt;Bitkiler!$C$34)),0,MAX(0,1-(Ayarlar!$B$2*ABS(Bitkiler!$D$34-Topraklar!$D$48)+Ayarlar!$B$3*ABS(Bitkiler!$E$34-Topraklar!$E$48)+Ayarlar!$B$4*ABS(Bitkiler!$F$34-Topraklar!$F$48)+Ayarlar!$B$5*ABS(Bitkiler!$G$34-Topraklar!$G$48)+Ayarlar!$B$6*IF(Bitkiler!$H$34=Topraklar!$H$48,0,1))/Ayarlar!$B$7)+IF(Topraklar!$K$48=Bitkiler!$C$34,0.002,IF(Topraklar!$L$48="Evet",0.001,0)))</f>
        <v/>
      </c>
      <c r="AW35" s="16">
        <f>IF(OR(Topraklar!$J$49="Evet",AND(Topraklar!$L$49&lt;&gt;"Evet",Topraklar!$K$49&lt;&gt;Bitkiler!$C$34)),0,MAX(0,1-(Ayarlar!$B$2*ABS(Bitkiler!$D$34-Topraklar!$D$49)+Ayarlar!$B$3*ABS(Bitkiler!$E$34-Topraklar!$E$49)+Ayarlar!$B$4*ABS(Bitkiler!$F$34-Topraklar!$F$49)+Ayarlar!$B$5*ABS(Bitkiler!$G$34-Topraklar!$G$49)+Ayarlar!$B$6*IF(Bitkiler!$H$34=Topraklar!$H$49,0,1))/Ayarlar!$B$7)+IF(Topraklar!$K$49=Bitkiler!$C$34,0.002,IF(Topraklar!$L$49="Evet",0.001,0)))</f>
        <v/>
      </c>
      <c r="AX35" s="16">
        <f>IF(OR(Topraklar!$J$50="Evet",AND(Topraklar!$L$50&lt;&gt;"Evet",Topraklar!$K$50&lt;&gt;Bitkiler!$C$34)),0,MAX(0,1-(Ayarlar!$B$2*ABS(Bitkiler!$D$34-Topraklar!$D$50)+Ayarlar!$B$3*ABS(Bitkiler!$E$34-Topraklar!$E$50)+Ayarlar!$B$4*ABS(Bitkiler!$F$34-Topraklar!$F$50)+Ayarlar!$B$5*ABS(Bitkiler!$G$34-Topraklar!$G$50)+Ayarlar!$B$6*IF(Bitkiler!$H$34=Topraklar!$H$50,0,1))/Ayarlar!$B$7)+IF(Topraklar!$K$50=Bitkiler!$C$34,0.002,IF(Topraklar!$L$50="Evet",0.001,0)))</f>
        <v/>
      </c>
      <c r="AY35" s="16">
        <f>IF(OR(Topraklar!$J$51="Evet",AND(Topraklar!$L$51&lt;&gt;"Evet",Topraklar!$K$51&lt;&gt;Bitkiler!$C$34)),0,MAX(0,1-(Ayarlar!$B$2*ABS(Bitkiler!$D$34-Topraklar!$D$51)+Ayarlar!$B$3*ABS(Bitkiler!$E$34-Topraklar!$E$51)+Ayarlar!$B$4*ABS(Bitkiler!$F$34-Topraklar!$F$51)+Ayarlar!$B$5*ABS(Bitkiler!$G$34-Topraklar!$G$51)+Ayarlar!$B$6*IF(Bitkiler!$H$34=Topraklar!$H$51,0,1))/Ayarlar!$B$7)+IF(Topraklar!$K$51=Bitkiler!$C$34,0.002,IF(Topraklar!$L$51="Evet",0.001,0)))</f>
        <v/>
      </c>
    </row>
    <row r="36">
      <c r="A36" s="15">
        <f>Bitkiler!A35</f>
        <v/>
      </c>
      <c r="B36" s="16">
        <f>IF(OR(Topraklar!$J$2="Evet",AND(Topraklar!$L$2&lt;&gt;"Evet",Topraklar!$K$2&lt;&gt;Bitkiler!$C$35)),0,MAX(0,1-(Ayarlar!$B$2*ABS(Bitkiler!$D$35-Topraklar!$D$2)+Ayarlar!$B$3*ABS(Bitkiler!$E$35-Topraklar!$E$2)+Ayarlar!$B$4*ABS(Bitkiler!$F$35-Topraklar!$F$2)+Ayarlar!$B$5*ABS(Bitkiler!$G$35-Topraklar!$G$2)+Ayarlar!$B$6*IF(Bitkiler!$H$35=Topraklar!$H$2,0,1))/Ayarlar!$B$7)+IF(Topraklar!$K$2=Bitkiler!$C$35,0.002,IF(Topraklar!$L$2="Evet",0.001,0)))</f>
        <v/>
      </c>
      <c r="C36" s="16">
        <f>IF(OR(Topraklar!$J$3="Evet",AND(Topraklar!$L$3&lt;&gt;"Evet",Topraklar!$K$3&lt;&gt;Bitkiler!$C$35)),0,MAX(0,1-(Ayarlar!$B$2*ABS(Bitkiler!$D$35-Topraklar!$D$3)+Ayarlar!$B$3*ABS(Bitkiler!$E$35-Topraklar!$E$3)+Ayarlar!$B$4*ABS(Bitkiler!$F$35-Topraklar!$F$3)+Ayarlar!$B$5*ABS(Bitkiler!$G$35-Topraklar!$G$3)+Ayarlar!$B$6*IF(Bitkiler!$H$35=Topraklar!$H$3,0,1))/Ayarlar!$B$7)+IF(Topraklar!$K$3=Bitkiler!$C$35,0.002,IF(Topraklar!$L$3="Evet",0.001,0)))</f>
        <v/>
      </c>
      <c r="D36" s="16">
        <f>IF(OR(Topraklar!$J$4="Evet",AND(Topraklar!$L$4&lt;&gt;"Evet",Topraklar!$K$4&lt;&gt;Bitkiler!$C$35)),0,MAX(0,1-(Ayarlar!$B$2*ABS(Bitkiler!$D$35-Topraklar!$D$4)+Ayarlar!$B$3*ABS(Bitkiler!$E$35-Topraklar!$E$4)+Ayarlar!$B$4*ABS(Bitkiler!$F$35-Topraklar!$F$4)+Ayarlar!$B$5*ABS(Bitkiler!$G$35-Topraklar!$G$4)+Ayarlar!$B$6*IF(Bitkiler!$H$35=Topraklar!$H$4,0,1))/Ayarlar!$B$7)+IF(Topraklar!$K$4=Bitkiler!$C$35,0.002,IF(Topraklar!$L$4="Evet",0.001,0)))</f>
        <v/>
      </c>
      <c r="E36" s="16">
        <f>IF(OR(Topraklar!$J$5="Evet",AND(Topraklar!$L$5&lt;&gt;"Evet",Topraklar!$K$5&lt;&gt;Bitkiler!$C$35)),0,MAX(0,1-(Ayarlar!$B$2*ABS(Bitkiler!$D$35-Topraklar!$D$5)+Ayarlar!$B$3*ABS(Bitkiler!$E$35-Topraklar!$E$5)+Ayarlar!$B$4*ABS(Bitkiler!$F$35-Topraklar!$F$5)+Ayarlar!$B$5*ABS(Bitkiler!$G$35-Topraklar!$G$5)+Ayarlar!$B$6*IF(Bitkiler!$H$35=Topraklar!$H$5,0,1))/Ayarlar!$B$7)+IF(Topraklar!$K$5=Bitkiler!$C$35,0.002,IF(Topraklar!$L$5="Evet",0.001,0)))</f>
        <v/>
      </c>
      <c r="F36" s="16">
        <f>IF(OR(Topraklar!$J$6="Evet",AND(Topraklar!$L$6&lt;&gt;"Evet",Topraklar!$K$6&lt;&gt;Bitkiler!$C$35)),0,MAX(0,1-(Ayarlar!$B$2*ABS(Bitkiler!$D$35-Topraklar!$D$6)+Ayarlar!$B$3*ABS(Bitkiler!$E$35-Topraklar!$E$6)+Ayarlar!$B$4*ABS(Bitkiler!$F$35-Topraklar!$F$6)+Ayarlar!$B$5*ABS(Bitkiler!$G$35-Topraklar!$G$6)+Ayarlar!$B$6*IF(Bitkiler!$H$35=Topraklar!$H$6,0,1))/Ayarlar!$B$7)+IF(Topraklar!$K$6=Bitkiler!$C$35,0.002,IF(Topraklar!$L$6="Evet",0.001,0)))</f>
        <v/>
      </c>
      <c r="G36" s="16">
        <f>IF(OR(Topraklar!$J$7="Evet",AND(Topraklar!$L$7&lt;&gt;"Evet",Topraklar!$K$7&lt;&gt;Bitkiler!$C$35)),0,MAX(0,1-(Ayarlar!$B$2*ABS(Bitkiler!$D$35-Topraklar!$D$7)+Ayarlar!$B$3*ABS(Bitkiler!$E$35-Topraklar!$E$7)+Ayarlar!$B$4*ABS(Bitkiler!$F$35-Topraklar!$F$7)+Ayarlar!$B$5*ABS(Bitkiler!$G$35-Topraklar!$G$7)+Ayarlar!$B$6*IF(Bitkiler!$H$35=Topraklar!$H$7,0,1))/Ayarlar!$B$7)+IF(Topraklar!$K$7=Bitkiler!$C$35,0.002,IF(Topraklar!$L$7="Evet",0.001,0)))</f>
        <v/>
      </c>
      <c r="H36" s="16">
        <f>IF(OR(Topraklar!$J$8="Evet",AND(Topraklar!$L$8&lt;&gt;"Evet",Topraklar!$K$8&lt;&gt;Bitkiler!$C$35)),0,MAX(0,1-(Ayarlar!$B$2*ABS(Bitkiler!$D$35-Topraklar!$D$8)+Ayarlar!$B$3*ABS(Bitkiler!$E$35-Topraklar!$E$8)+Ayarlar!$B$4*ABS(Bitkiler!$F$35-Topraklar!$F$8)+Ayarlar!$B$5*ABS(Bitkiler!$G$35-Topraklar!$G$8)+Ayarlar!$B$6*IF(Bitkiler!$H$35=Topraklar!$H$8,0,1))/Ayarlar!$B$7)+IF(Topraklar!$K$8=Bitkiler!$C$35,0.002,IF(Topraklar!$L$8="Evet",0.001,0)))</f>
        <v/>
      </c>
      <c r="I36" s="16">
        <f>IF(OR(Topraklar!$J$9="Evet",AND(Topraklar!$L$9&lt;&gt;"Evet",Topraklar!$K$9&lt;&gt;Bitkiler!$C$35)),0,MAX(0,1-(Ayarlar!$B$2*ABS(Bitkiler!$D$35-Topraklar!$D$9)+Ayarlar!$B$3*ABS(Bitkiler!$E$35-Topraklar!$E$9)+Ayarlar!$B$4*ABS(Bitkiler!$F$35-Topraklar!$F$9)+Ayarlar!$B$5*ABS(Bitkiler!$G$35-Topraklar!$G$9)+Ayarlar!$B$6*IF(Bitkiler!$H$35=Topraklar!$H$9,0,1))/Ayarlar!$B$7)+IF(Topraklar!$K$9=Bitkiler!$C$35,0.002,IF(Topraklar!$L$9="Evet",0.001,0)))</f>
        <v/>
      </c>
      <c r="J36" s="16">
        <f>IF(OR(Topraklar!$J$10="Evet",AND(Topraklar!$L$10&lt;&gt;"Evet",Topraklar!$K$10&lt;&gt;Bitkiler!$C$35)),0,MAX(0,1-(Ayarlar!$B$2*ABS(Bitkiler!$D$35-Topraklar!$D$10)+Ayarlar!$B$3*ABS(Bitkiler!$E$35-Topraklar!$E$10)+Ayarlar!$B$4*ABS(Bitkiler!$F$35-Topraklar!$F$10)+Ayarlar!$B$5*ABS(Bitkiler!$G$35-Topraklar!$G$10)+Ayarlar!$B$6*IF(Bitkiler!$H$35=Topraklar!$H$10,0,1))/Ayarlar!$B$7)+IF(Topraklar!$K$10=Bitkiler!$C$35,0.002,IF(Topraklar!$L$10="Evet",0.001,0)))</f>
        <v/>
      </c>
      <c r="K36" s="16">
        <f>IF(OR(Topraklar!$J$11="Evet",AND(Topraklar!$L$11&lt;&gt;"Evet",Topraklar!$K$11&lt;&gt;Bitkiler!$C$35)),0,MAX(0,1-(Ayarlar!$B$2*ABS(Bitkiler!$D$35-Topraklar!$D$11)+Ayarlar!$B$3*ABS(Bitkiler!$E$35-Topraklar!$E$11)+Ayarlar!$B$4*ABS(Bitkiler!$F$35-Topraklar!$F$11)+Ayarlar!$B$5*ABS(Bitkiler!$G$35-Topraklar!$G$11)+Ayarlar!$B$6*IF(Bitkiler!$H$35=Topraklar!$H$11,0,1))/Ayarlar!$B$7)+IF(Topraklar!$K$11=Bitkiler!$C$35,0.002,IF(Topraklar!$L$11="Evet",0.001,0)))</f>
        <v/>
      </c>
      <c r="L36" s="16">
        <f>IF(OR(Topraklar!$J$12="Evet",AND(Topraklar!$L$12&lt;&gt;"Evet",Topraklar!$K$12&lt;&gt;Bitkiler!$C$35)),0,MAX(0,1-(Ayarlar!$B$2*ABS(Bitkiler!$D$35-Topraklar!$D$12)+Ayarlar!$B$3*ABS(Bitkiler!$E$35-Topraklar!$E$12)+Ayarlar!$B$4*ABS(Bitkiler!$F$35-Topraklar!$F$12)+Ayarlar!$B$5*ABS(Bitkiler!$G$35-Topraklar!$G$12)+Ayarlar!$B$6*IF(Bitkiler!$H$35=Topraklar!$H$12,0,1))/Ayarlar!$B$7)+IF(Topraklar!$K$12=Bitkiler!$C$35,0.002,IF(Topraklar!$L$12="Evet",0.001,0)))</f>
        <v/>
      </c>
      <c r="M36" s="16">
        <f>IF(OR(Topraklar!$J$13="Evet",AND(Topraklar!$L$13&lt;&gt;"Evet",Topraklar!$K$13&lt;&gt;Bitkiler!$C$35)),0,MAX(0,1-(Ayarlar!$B$2*ABS(Bitkiler!$D$35-Topraklar!$D$13)+Ayarlar!$B$3*ABS(Bitkiler!$E$35-Topraklar!$E$13)+Ayarlar!$B$4*ABS(Bitkiler!$F$35-Topraklar!$F$13)+Ayarlar!$B$5*ABS(Bitkiler!$G$35-Topraklar!$G$13)+Ayarlar!$B$6*IF(Bitkiler!$H$35=Topraklar!$H$13,0,1))/Ayarlar!$B$7)+IF(Topraklar!$K$13=Bitkiler!$C$35,0.002,IF(Topraklar!$L$13="Evet",0.001,0)))</f>
        <v/>
      </c>
      <c r="N36" s="16">
        <f>IF(OR(Topraklar!$J$14="Evet",AND(Topraklar!$L$14&lt;&gt;"Evet",Topraklar!$K$14&lt;&gt;Bitkiler!$C$35)),0,MAX(0,1-(Ayarlar!$B$2*ABS(Bitkiler!$D$35-Topraklar!$D$14)+Ayarlar!$B$3*ABS(Bitkiler!$E$35-Topraklar!$E$14)+Ayarlar!$B$4*ABS(Bitkiler!$F$35-Topraklar!$F$14)+Ayarlar!$B$5*ABS(Bitkiler!$G$35-Topraklar!$G$14)+Ayarlar!$B$6*IF(Bitkiler!$H$35=Topraklar!$H$14,0,1))/Ayarlar!$B$7)+IF(Topraklar!$K$14=Bitkiler!$C$35,0.002,IF(Topraklar!$L$14="Evet",0.001,0)))</f>
        <v/>
      </c>
      <c r="O36" s="16">
        <f>IF(OR(Topraklar!$J$15="Evet",AND(Topraklar!$L$15&lt;&gt;"Evet",Topraklar!$K$15&lt;&gt;Bitkiler!$C$35)),0,MAX(0,1-(Ayarlar!$B$2*ABS(Bitkiler!$D$35-Topraklar!$D$15)+Ayarlar!$B$3*ABS(Bitkiler!$E$35-Topraklar!$E$15)+Ayarlar!$B$4*ABS(Bitkiler!$F$35-Topraklar!$F$15)+Ayarlar!$B$5*ABS(Bitkiler!$G$35-Topraklar!$G$15)+Ayarlar!$B$6*IF(Bitkiler!$H$35=Topraklar!$H$15,0,1))/Ayarlar!$B$7)+IF(Topraklar!$K$15=Bitkiler!$C$35,0.002,IF(Topraklar!$L$15="Evet",0.001,0)))</f>
        <v/>
      </c>
      <c r="P36" s="16">
        <f>IF(OR(Topraklar!$J$16="Evet",AND(Topraklar!$L$16&lt;&gt;"Evet",Topraklar!$K$16&lt;&gt;Bitkiler!$C$35)),0,MAX(0,1-(Ayarlar!$B$2*ABS(Bitkiler!$D$35-Topraklar!$D$16)+Ayarlar!$B$3*ABS(Bitkiler!$E$35-Topraklar!$E$16)+Ayarlar!$B$4*ABS(Bitkiler!$F$35-Topraklar!$F$16)+Ayarlar!$B$5*ABS(Bitkiler!$G$35-Topraklar!$G$16)+Ayarlar!$B$6*IF(Bitkiler!$H$35=Topraklar!$H$16,0,1))/Ayarlar!$B$7)+IF(Topraklar!$K$16=Bitkiler!$C$35,0.002,IF(Topraklar!$L$16="Evet",0.001,0)))</f>
        <v/>
      </c>
      <c r="Q36" s="16">
        <f>IF(OR(Topraklar!$J$17="Evet",AND(Topraklar!$L$17&lt;&gt;"Evet",Topraklar!$K$17&lt;&gt;Bitkiler!$C$35)),0,MAX(0,1-(Ayarlar!$B$2*ABS(Bitkiler!$D$35-Topraklar!$D$17)+Ayarlar!$B$3*ABS(Bitkiler!$E$35-Topraklar!$E$17)+Ayarlar!$B$4*ABS(Bitkiler!$F$35-Topraklar!$F$17)+Ayarlar!$B$5*ABS(Bitkiler!$G$35-Topraklar!$G$17)+Ayarlar!$B$6*IF(Bitkiler!$H$35=Topraklar!$H$17,0,1))/Ayarlar!$B$7)+IF(Topraklar!$K$17=Bitkiler!$C$35,0.002,IF(Topraklar!$L$17="Evet",0.001,0)))</f>
        <v/>
      </c>
      <c r="R36" s="16">
        <f>IF(OR(Topraklar!$J$18="Evet",AND(Topraklar!$L$18&lt;&gt;"Evet",Topraklar!$K$18&lt;&gt;Bitkiler!$C$35)),0,MAX(0,1-(Ayarlar!$B$2*ABS(Bitkiler!$D$35-Topraklar!$D$18)+Ayarlar!$B$3*ABS(Bitkiler!$E$35-Topraklar!$E$18)+Ayarlar!$B$4*ABS(Bitkiler!$F$35-Topraklar!$F$18)+Ayarlar!$B$5*ABS(Bitkiler!$G$35-Topraklar!$G$18)+Ayarlar!$B$6*IF(Bitkiler!$H$35=Topraklar!$H$18,0,1))/Ayarlar!$B$7)+IF(Topraklar!$K$18=Bitkiler!$C$35,0.002,IF(Topraklar!$L$18="Evet",0.001,0)))</f>
        <v/>
      </c>
      <c r="S36" s="16">
        <f>IF(OR(Topraklar!$J$19="Evet",AND(Topraklar!$L$19&lt;&gt;"Evet",Topraklar!$K$19&lt;&gt;Bitkiler!$C$35)),0,MAX(0,1-(Ayarlar!$B$2*ABS(Bitkiler!$D$35-Topraklar!$D$19)+Ayarlar!$B$3*ABS(Bitkiler!$E$35-Topraklar!$E$19)+Ayarlar!$B$4*ABS(Bitkiler!$F$35-Topraklar!$F$19)+Ayarlar!$B$5*ABS(Bitkiler!$G$35-Topraklar!$G$19)+Ayarlar!$B$6*IF(Bitkiler!$H$35=Topraklar!$H$19,0,1))/Ayarlar!$B$7)+IF(Topraklar!$K$19=Bitkiler!$C$35,0.002,IF(Topraklar!$L$19="Evet",0.001,0)))</f>
        <v/>
      </c>
      <c r="T36" s="16">
        <f>IF(OR(Topraklar!$J$20="Evet",AND(Topraklar!$L$20&lt;&gt;"Evet",Topraklar!$K$20&lt;&gt;Bitkiler!$C$35)),0,MAX(0,1-(Ayarlar!$B$2*ABS(Bitkiler!$D$35-Topraklar!$D$20)+Ayarlar!$B$3*ABS(Bitkiler!$E$35-Topraklar!$E$20)+Ayarlar!$B$4*ABS(Bitkiler!$F$35-Topraklar!$F$20)+Ayarlar!$B$5*ABS(Bitkiler!$G$35-Topraklar!$G$20)+Ayarlar!$B$6*IF(Bitkiler!$H$35=Topraklar!$H$20,0,1))/Ayarlar!$B$7)+IF(Topraklar!$K$20=Bitkiler!$C$35,0.002,IF(Topraklar!$L$20="Evet",0.001,0)))</f>
        <v/>
      </c>
      <c r="U36" s="16">
        <f>IF(OR(Topraklar!$J$21="Evet",AND(Topraklar!$L$21&lt;&gt;"Evet",Topraklar!$K$21&lt;&gt;Bitkiler!$C$35)),0,MAX(0,1-(Ayarlar!$B$2*ABS(Bitkiler!$D$35-Topraklar!$D$21)+Ayarlar!$B$3*ABS(Bitkiler!$E$35-Topraklar!$E$21)+Ayarlar!$B$4*ABS(Bitkiler!$F$35-Topraklar!$F$21)+Ayarlar!$B$5*ABS(Bitkiler!$G$35-Topraklar!$G$21)+Ayarlar!$B$6*IF(Bitkiler!$H$35=Topraklar!$H$21,0,1))/Ayarlar!$B$7)+IF(Topraklar!$K$21=Bitkiler!$C$35,0.002,IF(Topraklar!$L$21="Evet",0.001,0)))</f>
        <v/>
      </c>
      <c r="V36" s="16">
        <f>IF(OR(Topraklar!$J$22="Evet",AND(Topraklar!$L$22&lt;&gt;"Evet",Topraklar!$K$22&lt;&gt;Bitkiler!$C$35)),0,MAX(0,1-(Ayarlar!$B$2*ABS(Bitkiler!$D$35-Topraklar!$D$22)+Ayarlar!$B$3*ABS(Bitkiler!$E$35-Topraklar!$E$22)+Ayarlar!$B$4*ABS(Bitkiler!$F$35-Topraklar!$F$22)+Ayarlar!$B$5*ABS(Bitkiler!$G$35-Topraklar!$G$22)+Ayarlar!$B$6*IF(Bitkiler!$H$35=Topraklar!$H$22,0,1))/Ayarlar!$B$7)+IF(Topraklar!$K$22=Bitkiler!$C$35,0.002,IF(Topraklar!$L$22="Evet",0.001,0)))</f>
        <v/>
      </c>
      <c r="W36" s="16">
        <f>IF(OR(Topraklar!$J$23="Evet",AND(Topraklar!$L$23&lt;&gt;"Evet",Topraklar!$K$23&lt;&gt;Bitkiler!$C$35)),0,MAX(0,1-(Ayarlar!$B$2*ABS(Bitkiler!$D$35-Topraklar!$D$23)+Ayarlar!$B$3*ABS(Bitkiler!$E$35-Topraklar!$E$23)+Ayarlar!$B$4*ABS(Bitkiler!$F$35-Topraklar!$F$23)+Ayarlar!$B$5*ABS(Bitkiler!$G$35-Topraklar!$G$23)+Ayarlar!$B$6*IF(Bitkiler!$H$35=Topraklar!$H$23,0,1))/Ayarlar!$B$7)+IF(Topraklar!$K$23=Bitkiler!$C$35,0.002,IF(Topraklar!$L$23="Evet",0.001,0)))</f>
        <v/>
      </c>
      <c r="X36" s="16">
        <f>IF(OR(Topraklar!$J$24="Evet",AND(Topraklar!$L$24&lt;&gt;"Evet",Topraklar!$K$24&lt;&gt;Bitkiler!$C$35)),0,MAX(0,1-(Ayarlar!$B$2*ABS(Bitkiler!$D$35-Topraklar!$D$24)+Ayarlar!$B$3*ABS(Bitkiler!$E$35-Topraklar!$E$24)+Ayarlar!$B$4*ABS(Bitkiler!$F$35-Topraklar!$F$24)+Ayarlar!$B$5*ABS(Bitkiler!$G$35-Topraklar!$G$24)+Ayarlar!$B$6*IF(Bitkiler!$H$35=Topraklar!$H$24,0,1))/Ayarlar!$B$7)+IF(Topraklar!$K$24=Bitkiler!$C$35,0.002,IF(Topraklar!$L$24="Evet",0.001,0)))</f>
        <v/>
      </c>
      <c r="Y36" s="16">
        <f>IF(OR(Topraklar!$J$25="Evet",AND(Topraklar!$L$25&lt;&gt;"Evet",Topraklar!$K$25&lt;&gt;Bitkiler!$C$35)),0,MAX(0,1-(Ayarlar!$B$2*ABS(Bitkiler!$D$35-Topraklar!$D$25)+Ayarlar!$B$3*ABS(Bitkiler!$E$35-Topraklar!$E$25)+Ayarlar!$B$4*ABS(Bitkiler!$F$35-Topraklar!$F$25)+Ayarlar!$B$5*ABS(Bitkiler!$G$35-Topraklar!$G$25)+Ayarlar!$B$6*IF(Bitkiler!$H$35=Topraklar!$H$25,0,1))/Ayarlar!$B$7)+IF(Topraklar!$K$25=Bitkiler!$C$35,0.002,IF(Topraklar!$L$25="Evet",0.001,0)))</f>
        <v/>
      </c>
      <c r="Z36" s="16">
        <f>IF(OR(Topraklar!$J$26="Evet",AND(Topraklar!$L$26&lt;&gt;"Evet",Topraklar!$K$26&lt;&gt;Bitkiler!$C$35)),0,MAX(0,1-(Ayarlar!$B$2*ABS(Bitkiler!$D$35-Topraklar!$D$26)+Ayarlar!$B$3*ABS(Bitkiler!$E$35-Topraklar!$E$26)+Ayarlar!$B$4*ABS(Bitkiler!$F$35-Topraklar!$F$26)+Ayarlar!$B$5*ABS(Bitkiler!$G$35-Topraklar!$G$26)+Ayarlar!$B$6*IF(Bitkiler!$H$35=Topraklar!$H$26,0,1))/Ayarlar!$B$7)+IF(Topraklar!$K$26=Bitkiler!$C$35,0.002,IF(Topraklar!$L$26="Evet",0.001,0)))</f>
        <v/>
      </c>
      <c r="AA36" s="16">
        <f>IF(OR(Topraklar!$J$27="Evet",AND(Topraklar!$L$27&lt;&gt;"Evet",Topraklar!$K$27&lt;&gt;Bitkiler!$C$35)),0,MAX(0,1-(Ayarlar!$B$2*ABS(Bitkiler!$D$35-Topraklar!$D$27)+Ayarlar!$B$3*ABS(Bitkiler!$E$35-Topraklar!$E$27)+Ayarlar!$B$4*ABS(Bitkiler!$F$35-Topraklar!$F$27)+Ayarlar!$B$5*ABS(Bitkiler!$G$35-Topraklar!$G$27)+Ayarlar!$B$6*IF(Bitkiler!$H$35=Topraklar!$H$27,0,1))/Ayarlar!$B$7)+IF(Topraklar!$K$27=Bitkiler!$C$35,0.002,IF(Topraklar!$L$27="Evet",0.001,0)))</f>
        <v/>
      </c>
      <c r="AB36" s="16">
        <f>IF(OR(Topraklar!$J$28="Evet",AND(Topraklar!$L$28&lt;&gt;"Evet",Topraklar!$K$28&lt;&gt;Bitkiler!$C$35)),0,MAX(0,1-(Ayarlar!$B$2*ABS(Bitkiler!$D$35-Topraklar!$D$28)+Ayarlar!$B$3*ABS(Bitkiler!$E$35-Topraklar!$E$28)+Ayarlar!$B$4*ABS(Bitkiler!$F$35-Topraklar!$F$28)+Ayarlar!$B$5*ABS(Bitkiler!$G$35-Topraklar!$G$28)+Ayarlar!$B$6*IF(Bitkiler!$H$35=Topraklar!$H$28,0,1))/Ayarlar!$B$7)+IF(Topraklar!$K$28=Bitkiler!$C$35,0.002,IF(Topraklar!$L$28="Evet",0.001,0)))</f>
        <v/>
      </c>
      <c r="AC36" s="16">
        <f>IF(OR(Topraklar!$J$29="Evet",AND(Topraklar!$L$29&lt;&gt;"Evet",Topraklar!$K$29&lt;&gt;Bitkiler!$C$35)),0,MAX(0,1-(Ayarlar!$B$2*ABS(Bitkiler!$D$35-Topraklar!$D$29)+Ayarlar!$B$3*ABS(Bitkiler!$E$35-Topraklar!$E$29)+Ayarlar!$B$4*ABS(Bitkiler!$F$35-Topraklar!$F$29)+Ayarlar!$B$5*ABS(Bitkiler!$G$35-Topraklar!$G$29)+Ayarlar!$B$6*IF(Bitkiler!$H$35=Topraklar!$H$29,0,1))/Ayarlar!$B$7)+IF(Topraklar!$K$29=Bitkiler!$C$35,0.002,IF(Topraklar!$L$29="Evet",0.001,0)))</f>
        <v/>
      </c>
      <c r="AD36" s="16">
        <f>IF(OR(Topraklar!$J$30="Evet",AND(Topraklar!$L$30&lt;&gt;"Evet",Topraklar!$K$30&lt;&gt;Bitkiler!$C$35)),0,MAX(0,1-(Ayarlar!$B$2*ABS(Bitkiler!$D$35-Topraklar!$D$30)+Ayarlar!$B$3*ABS(Bitkiler!$E$35-Topraklar!$E$30)+Ayarlar!$B$4*ABS(Bitkiler!$F$35-Topraklar!$F$30)+Ayarlar!$B$5*ABS(Bitkiler!$G$35-Topraklar!$G$30)+Ayarlar!$B$6*IF(Bitkiler!$H$35=Topraklar!$H$30,0,1))/Ayarlar!$B$7)+IF(Topraklar!$K$30=Bitkiler!$C$35,0.002,IF(Topraklar!$L$30="Evet",0.001,0)))</f>
        <v/>
      </c>
      <c r="AE36" s="16">
        <f>IF(OR(Topraklar!$J$31="Evet",AND(Topraklar!$L$31&lt;&gt;"Evet",Topraklar!$K$31&lt;&gt;Bitkiler!$C$35)),0,MAX(0,1-(Ayarlar!$B$2*ABS(Bitkiler!$D$35-Topraklar!$D$31)+Ayarlar!$B$3*ABS(Bitkiler!$E$35-Topraklar!$E$31)+Ayarlar!$B$4*ABS(Bitkiler!$F$35-Topraklar!$F$31)+Ayarlar!$B$5*ABS(Bitkiler!$G$35-Topraklar!$G$31)+Ayarlar!$B$6*IF(Bitkiler!$H$35=Topraklar!$H$31,0,1))/Ayarlar!$B$7)+IF(Topraklar!$K$31=Bitkiler!$C$35,0.002,IF(Topraklar!$L$31="Evet",0.001,0)))</f>
        <v/>
      </c>
      <c r="AF36" s="16">
        <f>IF(OR(Topraklar!$J$32="Evet",AND(Topraklar!$L$32&lt;&gt;"Evet",Topraklar!$K$32&lt;&gt;Bitkiler!$C$35)),0,MAX(0,1-(Ayarlar!$B$2*ABS(Bitkiler!$D$35-Topraklar!$D$32)+Ayarlar!$B$3*ABS(Bitkiler!$E$35-Topraklar!$E$32)+Ayarlar!$B$4*ABS(Bitkiler!$F$35-Topraklar!$F$32)+Ayarlar!$B$5*ABS(Bitkiler!$G$35-Topraklar!$G$32)+Ayarlar!$B$6*IF(Bitkiler!$H$35=Topraklar!$H$32,0,1))/Ayarlar!$B$7)+IF(Topraklar!$K$32=Bitkiler!$C$35,0.002,IF(Topraklar!$L$32="Evet",0.001,0)))</f>
        <v/>
      </c>
      <c r="AG36" s="16">
        <f>IF(OR(Topraklar!$J$33="Evet",AND(Topraklar!$L$33&lt;&gt;"Evet",Topraklar!$K$33&lt;&gt;Bitkiler!$C$35)),0,MAX(0,1-(Ayarlar!$B$2*ABS(Bitkiler!$D$35-Topraklar!$D$33)+Ayarlar!$B$3*ABS(Bitkiler!$E$35-Topraklar!$E$33)+Ayarlar!$B$4*ABS(Bitkiler!$F$35-Topraklar!$F$33)+Ayarlar!$B$5*ABS(Bitkiler!$G$35-Topraklar!$G$33)+Ayarlar!$B$6*IF(Bitkiler!$H$35=Topraklar!$H$33,0,1))/Ayarlar!$B$7)+IF(Topraklar!$K$33=Bitkiler!$C$35,0.002,IF(Topraklar!$L$33="Evet",0.001,0)))</f>
        <v/>
      </c>
      <c r="AH36" s="16">
        <f>IF(OR(Topraklar!$J$34="Evet",AND(Topraklar!$L$34&lt;&gt;"Evet",Topraklar!$K$34&lt;&gt;Bitkiler!$C$35)),0,MAX(0,1-(Ayarlar!$B$2*ABS(Bitkiler!$D$35-Topraklar!$D$34)+Ayarlar!$B$3*ABS(Bitkiler!$E$35-Topraklar!$E$34)+Ayarlar!$B$4*ABS(Bitkiler!$F$35-Topraklar!$F$34)+Ayarlar!$B$5*ABS(Bitkiler!$G$35-Topraklar!$G$34)+Ayarlar!$B$6*IF(Bitkiler!$H$35=Topraklar!$H$34,0,1))/Ayarlar!$B$7)+IF(Topraklar!$K$34=Bitkiler!$C$35,0.002,IF(Topraklar!$L$34="Evet",0.001,0)))</f>
        <v/>
      </c>
      <c r="AI36" s="16">
        <f>IF(OR(Topraklar!$J$35="Evet",AND(Topraklar!$L$35&lt;&gt;"Evet",Topraklar!$K$35&lt;&gt;Bitkiler!$C$35)),0,MAX(0,1-(Ayarlar!$B$2*ABS(Bitkiler!$D$35-Topraklar!$D$35)+Ayarlar!$B$3*ABS(Bitkiler!$E$35-Topraklar!$E$35)+Ayarlar!$B$4*ABS(Bitkiler!$F$35-Topraklar!$F$35)+Ayarlar!$B$5*ABS(Bitkiler!$G$35-Topraklar!$G$35)+Ayarlar!$B$6*IF(Bitkiler!$H$35=Topraklar!$H$35,0,1))/Ayarlar!$B$7)+IF(Topraklar!$K$35=Bitkiler!$C$35,0.002,IF(Topraklar!$L$35="Evet",0.001,0)))</f>
        <v/>
      </c>
      <c r="AJ36" s="16">
        <f>IF(OR(Topraklar!$J$36="Evet",AND(Topraklar!$L$36&lt;&gt;"Evet",Topraklar!$K$36&lt;&gt;Bitkiler!$C$35)),0,MAX(0,1-(Ayarlar!$B$2*ABS(Bitkiler!$D$35-Topraklar!$D$36)+Ayarlar!$B$3*ABS(Bitkiler!$E$35-Topraklar!$E$36)+Ayarlar!$B$4*ABS(Bitkiler!$F$35-Topraklar!$F$36)+Ayarlar!$B$5*ABS(Bitkiler!$G$35-Topraklar!$G$36)+Ayarlar!$B$6*IF(Bitkiler!$H$35=Topraklar!$H$36,0,1))/Ayarlar!$B$7)+IF(Topraklar!$K$36=Bitkiler!$C$35,0.002,IF(Topraklar!$L$36="Evet",0.001,0)))</f>
        <v/>
      </c>
      <c r="AK36" s="16">
        <f>IF(OR(Topraklar!$J$37="Evet",AND(Topraklar!$L$37&lt;&gt;"Evet",Topraklar!$K$37&lt;&gt;Bitkiler!$C$35)),0,MAX(0,1-(Ayarlar!$B$2*ABS(Bitkiler!$D$35-Topraklar!$D$37)+Ayarlar!$B$3*ABS(Bitkiler!$E$35-Topraklar!$E$37)+Ayarlar!$B$4*ABS(Bitkiler!$F$35-Topraklar!$F$37)+Ayarlar!$B$5*ABS(Bitkiler!$G$35-Topraklar!$G$37)+Ayarlar!$B$6*IF(Bitkiler!$H$35=Topraklar!$H$37,0,1))/Ayarlar!$B$7)+IF(Topraklar!$K$37=Bitkiler!$C$35,0.002,IF(Topraklar!$L$37="Evet",0.001,0)))</f>
        <v/>
      </c>
      <c r="AL36" s="16">
        <f>IF(OR(Topraklar!$J$38="Evet",AND(Topraklar!$L$38&lt;&gt;"Evet",Topraklar!$K$38&lt;&gt;Bitkiler!$C$35)),0,MAX(0,1-(Ayarlar!$B$2*ABS(Bitkiler!$D$35-Topraklar!$D$38)+Ayarlar!$B$3*ABS(Bitkiler!$E$35-Topraklar!$E$38)+Ayarlar!$B$4*ABS(Bitkiler!$F$35-Topraklar!$F$38)+Ayarlar!$B$5*ABS(Bitkiler!$G$35-Topraklar!$G$38)+Ayarlar!$B$6*IF(Bitkiler!$H$35=Topraklar!$H$38,0,1))/Ayarlar!$B$7)+IF(Topraklar!$K$38=Bitkiler!$C$35,0.002,IF(Topraklar!$L$38="Evet",0.001,0)))</f>
        <v/>
      </c>
      <c r="AM36" s="16">
        <f>IF(OR(Topraklar!$J$39="Evet",AND(Topraklar!$L$39&lt;&gt;"Evet",Topraklar!$K$39&lt;&gt;Bitkiler!$C$35)),0,MAX(0,1-(Ayarlar!$B$2*ABS(Bitkiler!$D$35-Topraklar!$D$39)+Ayarlar!$B$3*ABS(Bitkiler!$E$35-Topraklar!$E$39)+Ayarlar!$B$4*ABS(Bitkiler!$F$35-Topraklar!$F$39)+Ayarlar!$B$5*ABS(Bitkiler!$G$35-Topraklar!$G$39)+Ayarlar!$B$6*IF(Bitkiler!$H$35=Topraklar!$H$39,0,1))/Ayarlar!$B$7)+IF(Topraklar!$K$39=Bitkiler!$C$35,0.002,IF(Topraklar!$L$39="Evet",0.001,0)))</f>
        <v/>
      </c>
      <c r="AN36" s="16">
        <f>IF(OR(Topraklar!$J$40="Evet",AND(Topraklar!$L$40&lt;&gt;"Evet",Topraklar!$K$40&lt;&gt;Bitkiler!$C$35)),0,MAX(0,1-(Ayarlar!$B$2*ABS(Bitkiler!$D$35-Topraklar!$D$40)+Ayarlar!$B$3*ABS(Bitkiler!$E$35-Topraklar!$E$40)+Ayarlar!$B$4*ABS(Bitkiler!$F$35-Topraklar!$F$40)+Ayarlar!$B$5*ABS(Bitkiler!$G$35-Topraklar!$G$40)+Ayarlar!$B$6*IF(Bitkiler!$H$35=Topraklar!$H$40,0,1))/Ayarlar!$B$7)+IF(Topraklar!$K$40=Bitkiler!$C$35,0.002,IF(Topraklar!$L$40="Evet",0.001,0)))</f>
        <v/>
      </c>
      <c r="AO36" s="16">
        <f>IF(OR(Topraklar!$J$41="Evet",AND(Topraklar!$L$41&lt;&gt;"Evet",Topraklar!$K$41&lt;&gt;Bitkiler!$C$35)),0,MAX(0,1-(Ayarlar!$B$2*ABS(Bitkiler!$D$35-Topraklar!$D$41)+Ayarlar!$B$3*ABS(Bitkiler!$E$35-Topraklar!$E$41)+Ayarlar!$B$4*ABS(Bitkiler!$F$35-Topraklar!$F$41)+Ayarlar!$B$5*ABS(Bitkiler!$G$35-Topraklar!$G$41)+Ayarlar!$B$6*IF(Bitkiler!$H$35=Topraklar!$H$41,0,1))/Ayarlar!$B$7)+IF(Topraklar!$K$41=Bitkiler!$C$35,0.002,IF(Topraklar!$L$41="Evet",0.001,0)))</f>
        <v/>
      </c>
      <c r="AP36" s="16">
        <f>IF(OR(Topraklar!$J$42="Evet",AND(Topraklar!$L$42&lt;&gt;"Evet",Topraklar!$K$42&lt;&gt;Bitkiler!$C$35)),0,MAX(0,1-(Ayarlar!$B$2*ABS(Bitkiler!$D$35-Topraklar!$D$42)+Ayarlar!$B$3*ABS(Bitkiler!$E$35-Topraklar!$E$42)+Ayarlar!$B$4*ABS(Bitkiler!$F$35-Topraklar!$F$42)+Ayarlar!$B$5*ABS(Bitkiler!$G$35-Topraklar!$G$42)+Ayarlar!$B$6*IF(Bitkiler!$H$35=Topraklar!$H$42,0,1))/Ayarlar!$B$7)+IF(Topraklar!$K$42=Bitkiler!$C$35,0.002,IF(Topraklar!$L$42="Evet",0.001,0)))</f>
        <v/>
      </c>
      <c r="AQ36" s="16">
        <f>IF(OR(Topraklar!$J$43="Evet",AND(Topraklar!$L$43&lt;&gt;"Evet",Topraklar!$K$43&lt;&gt;Bitkiler!$C$35)),0,MAX(0,1-(Ayarlar!$B$2*ABS(Bitkiler!$D$35-Topraklar!$D$43)+Ayarlar!$B$3*ABS(Bitkiler!$E$35-Topraklar!$E$43)+Ayarlar!$B$4*ABS(Bitkiler!$F$35-Topraklar!$F$43)+Ayarlar!$B$5*ABS(Bitkiler!$G$35-Topraklar!$G$43)+Ayarlar!$B$6*IF(Bitkiler!$H$35=Topraklar!$H$43,0,1))/Ayarlar!$B$7)+IF(Topraklar!$K$43=Bitkiler!$C$35,0.002,IF(Topraklar!$L$43="Evet",0.001,0)))</f>
        <v/>
      </c>
      <c r="AR36" s="16">
        <f>IF(OR(Topraklar!$J$44="Evet",AND(Topraklar!$L$44&lt;&gt;"Evet",Topraklar!$K$44&lt;&gt;Bitkiler!$C$35)),0,MAX(0,1-(Ayarlar!$B$2*ABS(Bitkiler!$D$35-Topraklar!$D$44)+Ayarlar!$B$3*ABS(Bitkiler!$E$35-Topraklar!$E$44)+Ayarlar!$B$4*ABS(Bitkiler!$F$35-Topraklar!$F$44)+Ayarlar!$B$5*ABS(Bitkiler!$G$35-Topraklar!$G$44)+Ayarlar!$B$6*IF(Bitkiler!$H$35=Topraklar!$H$44,0,1))/Ayarlar!$B$7)+IF(Topraklar!$K$44=Bitkiler!$C$35,0.002,IF(Topraklar!$L$44="Evet",0.001,0)))</f>
        <v/>
      </c>
      <c r="AS36" s="16">
        <f>IF(OR(Topraklar!$J$45="Evet",AND(Topraklar!$L$45&lt;&gt;"Evet",Topraklar!$K$45&lt;&gt;Bitkiler!$C$35)),0,MAX(0,1-(Ayarlar!$B$2*ABS(Bitkiler!$D$35-Topraklar!$D$45)+Ayarlar!$B$3*ABS(Bitkiler!$E$35-Topraklar!$E$45)+Ayarlar!$B$4*ABS(Bitkiler!$F$35-Topraklar!$F$45)+Ayarlar!$B$5*ABS(Bitkiler!$G$35-Topraklar!$G$45)+Ayarlar!$B$6*IF(Bitkiler!$H$35=Topraklar!$H$45,0,1))/Ayarlar!$B$7)+IF(Topraklar!$K$45=Bitkiler!$C$35,0.002,IF(Topraklar!$L$45="Evet",0.001,0)))</f>
        <v/>
      </c>
      <c r="AT36" s="16">
        <f>IF(OR(Topraklar!$J$46="Evet",AND(Topraklar!$L$46&lt;&gt;"Evet",Topraklar!$K$46&lt;&gt;Bitkiler!$C$35)),0,MAX(0,1-(Ayarlar!$B$2*ABS(Bitkiler!$D$35-Topraklar!$D$46)+Ayarlar!$B$3*ABS(Bitkiler!$E$35-Topraklar!$E$46)+Ayarlar!$B$4*ABS(Bitkiler!$F$35-Topraklar!$F$46)+Ayarlar!$B$5*ABS(Bitkiler!$G$35-Topraklar!$G$46)+Ayarlar!$B$6*IF(Bitkiler!$H$35=Topraklar!$H$46,0,1))/Ayarlar!$B$7)+IF(Topraklar!$K$46=Bitkiler!$C$35,0.002,IF(Topraklar!$L$46="Evet",0.001,0)))</f>
        <v/>
      </c>
      <c r="AU36" s="16">
        <f>IF(OR(Topraklar!$J$47="Evet",AND(Topraklar!$L$47&lt;&gt;"Evet",Topraklar!$K$47&lt;&gt;Bitkiler!$C$35)),0,MAX(0,1-(Ayarlar!$B$2*ABS(Bitkiler!$D$35-Topraklar!$D$47)+Ayarlar!$B$3*ABS(Bitkiler!$E$35-Topraklar!$E$47)+Ayarlar!$B$4*ABS(Bitkiler!$F$35-Topraklar!$F$47)+Ayarlar!$B$5*ABS(Bitkiler!$G$35-Topraklar!$G$47)+Ayarlar!$B$6*IF(Bitkiler!$H$35=Topraklar!$H$47,0,1))/Ayarlar!$B$7)+IF(Topraklar!$K$47=Bitkiler!$C$35,0.002,IF(Topraklar!$L$47="Evet",0.001,0)))</f>
        <v/>
      </c>
      <c r="AV36" s="16">
        <f>IF(OR(Topraklar!$J$48="Evet",AND(Topraklar!$L$48&lt;&gt;"Evet",Topraklar!$K$48&lt;&gt;Bitkiler!$C$35)),0,MAX(0,1-(Ayarlar!$B$2*ABS(Bitkiler!$D$35-Topraklar!$D$48)+Ayarlar!$B$3*ABS(Bitkiler!$E$35-Topraklar!$E$48)+Ayarlar!$B$4*ABS(Bitkiler!$F$35-Topraklar!$F$48)+Ayarlar!$B$5*ABS(Bitkiler!$G$35-Topraklar!$G$48)+Ayarlar!$B$6*IF(Bitkiler!$H$35=Topraklar!$H$48,0,1))/Ayarlar!$B$7)+IF(Topraklar!$K$48=Bitkiler!$C$35,0.002,IF(Topraklar!$L$48="Evet",0.001,0)))</f>
        <v/>
      </c>
      <c r="AW36" s="16">
        <f>IF(OR(Topraklar!$J$49="Evet",AND(Topraklar!$L$49&lt;&gt;"Evet",Topraklar!$K$49&lt;&gt;Bitkiler!$C$35)),0,MAX(0,1-(Ayarlar!$B$2*ABS(Bitkiler!$D$35-Topraklar!$D$49)+Ayarlar!$B$3*ABS(Bitkiler!$E$35-Topraklar!$E$49)+Ayarlar!$B$4*ABS(Bitkiler!$F$35-Topraklar!$F$49)+Ayarlar!$B$5*ABS(Bitkiler!$G$35-Topraklar!$G$49)+Ayarlar!$B$6*IF(Bitkiler!$H$35=Topraklar!$H$49,0,1))/Ayarlar!$B$7)+IF(Topraklar!$K$49=Bitkiler!$C$35,0.002,IF(Topraklar!$L$49="Evet",0.001,0)))</f>
        <v/>
      </c>
      <c r="AX36" s="16">
        <f>IF(OR(Topraklar!$J$50="Evet",AND(Topraklar!$L$50&lt;&gt;"Evet",Topraklar!$K$50&lt;&gt;Bitkiler!$C$35)),0,MAX(0,1-(Ayarlar!$B$2*ABS(Bitkiler!$D$35-Topraklar!$D$50)+Ayarlar!$B$3*ABS(Bitkiler!$E$35-Topraklar!$E$50)+Ayarlar!$B$4*ABS(Bitkiler!$F$35-Topraklar!$F$50)+Ayarlar!$B$5*ABS(Bitkiler!$G$35-Topraklar!$G$50)+Ayarlar!$B$6*IF(Bitkiler!$H$35=Topraklar!$H$50,0,1))/Ayarlar!$B$7)+IF(Topraklar!$K$50=Bitkiler!$C$35,0.002,IF(Topraklar!$L$50="Evet",0.001,0)))</f>
        <v/>
      </c>
      <c r="AY36" s="16">
        <f>IF(OR(Topraklar!$J$51="Evet",AND(Topraklar!$L$51&lt;&gt;"Evet",Topraklar!$K$51&lt;&gt;Bitkiler!$C$35)),0,MAX(0,1-(Ayarlar!$B$2*ABS(Bitkiler!$D$35-Topraklar!$D$51)+Ayarlar!$B$3*ABS(Bitkiler!$E$35-Topraklar!$E$51)+Ayarlar!$B$4*ABS(Bitkiler!$F$35-Topraklar!$F$51)+Ayarlar!$B$5*ABS(Bitkiler!$G$35-Topraklar!$G$51)+Ayarlar!$B$6*IF(Bitkiler!$H$35=Topraklar!$H$51,0,1))/Ayarlar!$B$7)+IF(Topraklar!$K$51=Bitkiler!$C$35,0.002,IF(Topraklar!$L$51="Evet",0.001,0)))</f>
        <v/>
      </c>
    </row>
    <row r="37">
      <c r="A37" s="15">
        <f>Bitkiler!A36</f>
        <v/>
      </c>
      <c r="B37" s="16">
        <f>IF(OR(Topraklar!$J$2="Evet",AND(Topraklar!$L$2&lt;&gt;"Evet",Topraklar!$K$2&lt;&gt;Bitkiler!$C$36)),0,MAX(0,1-(Ayarlar!$B$2*ABS(Bitkiler!$D$36-Topraklar!$D$2)+Ayarlar!$B$3*ABS(Bitkiler!$E$36-Topraklar!$E$2)+Ayarlar!$B$4*ABS(Bitkiler!$F$36-Topraklar!$F$2)+Ayarlar!$B$5*ABS(Bitkiler!$G$36-Topraklar!$G$2)+Ayarlar!$B$6*IF(Bitkiler!$H$36=Topraklar!$H$2,0,1))/Ayarlar!$B$7)+IF(Topraklar!$K$2=Bitkiler!$C$36,0.002,IF(Topraklar!$L$2="Evet",0.001,0)))</f>
        <v/>
      </c>
      <c r="C37" s="16">
        <f>IF(OR(Topraklar!$J$3="Evet",AND(Topraklar!$L$3&lt;&gt;"Evet",Topraklar!$K$3&lt;&gt;Bitkiler!$C$36)),0,MAX(0,1-(Ayarlar!$B$2*ABS(Bitkiler!$D$36-Topraklar!$D$3)+Ayarlar!$B$3*ABS(Bitkiler!$E$36-Topraklar!$E$3)+Ayarlar!$B$4*ABS(Bitkiler!$F$36-Topraklar!$F$3)+Ayarlar!$B$5*ABS(Bitkiler!$G$36-Topraklar!$G$3)+Ayarlar!$B$6*IF(Bitkiler!$H$36=Topraklar!$H$3,0,1))/Ayarlar!$B$7)+IF(Topraklar!$K$3=Bitkiler!$C$36,0.002,IF(Topraklar!$L$3="Evet",0.001,0)))</f>
        <v/>
      </c>
      <c r="D37" s="16">
        <f>IF(OR(Topraklar!$J$4="Evet",AND(Topraklar!$L$4&lt;&gt;"Evet",Topraklar!$K$4&lt;&gt;Bitkiler!$C$36)),0,MAX(0,1-(Ayarlar!$B$2*ABS(Bitkiler!$D$36-Topraklar!$D$4)+Ayarlar!$B$3*ABS(Bitkiler!$E$36-Topraklar!$E$4)+Ayarlar!$B$4*ABS(Bitkiler!$F$36-Topraklar!$F$4)+Ayarlar!$B$5*ABS(Bitkiler!$G$36-Topraklar!$G$4)+Ayarlar!$B$6*IF(Bitkiler!$H$36=Topraklar!$H$4,0,1))/Ayarlar!$B$7)+IF(Topraklar!$K$4=Bitkiler!$C$36,0.002,IF(Topraklar!$L$4="Evet",0.001,0)))</f>
        <v/>
      </c>
      <c r="E37" s="16">
        <f>IF(OR(Topraklar!$J$5="Evet",AND(Topraklar!$L$5&lt;&gt;"Evet",Topraklar!$K$5&lt;&gt;Bitkiler!$C$36)),0,MAX(0,1-(Ayarlar!$B$2*ABS(Bitkiler!$D$36-Topraklar!$D$5)+Ayarlar!$B$3*ABS(Bitkiler!$E$36-Topraklar!$E$5)+Ayarlar!$B$4*ABS(Bitkiler!$F$36-Topraklar!$F$5)+Ayarlar!$B$5*ABS(Bitkiler!$G$36-Topraklar!$G$5)+Ayarlar!$B$6*IF(Bitkiler!$H$36=Topraklar!$H$5,0,1))/Ayarlar!$B$7)+IF(Topraklar!$K$5=Bitkiler!$C$36,0.002,IF(Topraklar!$L$5="Evet",0.001,0)))</f>
        <v/>
      </c>
      <c r="F37" s="16">
        <f>IF(OR(Topraklar!$J$6="Evet",AND(Topraklar!$L$6&lt;&gt;"Evet",Topraklar!$K$6&lt;&gt;Bitkiler!$C$36)),0,MAX(0,1-(Ayarlar!$B$2*ABS(Bitkiler!$D$36-Topraklar!$D$6)+Ayarlar!$B$3*ABS(Bitkiler!$E$36-Topraklar!$E$6)+Ayarlar!$B$4*ABS(Bitkiler!$F$36-Topraklar!$F$6)+Ayarlar!$B$5*ABS(Bitkiler!$G$36-Topraklar!$G$6)+Ayarlar!$B$6*IF(Bitkiler!$H$36=Topraklar!$H$6,0,1))/Ayarlar!$B$7)+IF(Topraklar!$K$6=Bitkiler!$C$36,0.002,IF(Topraklar!$L$6="Evet",0.001,0)))</f>
        <v/>
      </c>
      <c r="G37" s="16">
        <f>IF(OR(Topraklar!$J$7="Evet",AND(Topraklar!$L$7&lt;&gt;"Evet",Topraklar!$K$7&lt;&gt;Bitkiler!$C$36)),0,MAX(0,1-(Ayarlar!$B$2*ABS(Bitkiler!$D$36-Topraklar!$D$7)+Ayarlar!$B$3*ABS(Bitkiler!$E$36-Topraklar!$E$7)+Ayarlar!$B$4*ABS(Bitkiler!$F$36-Topraklar!$F$7)+Ayarlar!$B$5*ABS(Bitkiler!$G$36-Topraklar!$G$7)+Ayarlar!$B$6*IF(Bitkiler!$H$36=Topraklar!$H$7,0,1))/Ayarlar!$B$7)+IF(Topraklar!$K$7=Bitkiler!$C$36,0.002,IF(Topraklar!$L$7="Evet",0.001,0)))</f>
        <v/>
      </c>
      <c r="H37" s="16">
        <f>IF(OR(Topraklar!$J$8="Evet",AND(Topraklar!$L$8&lt;&gt;"Evet",Topraklar!$K$8&lt;&gt;Bitkiler!$C$36)),0,MAX(0,1-(Ayarlar!$B$2*ABS(Bitkiler!$D$36-Topraklar!$D$8)+Ayarlar!$B$3*ABS(Bitkiler!$E$36-Topraklar!$E$8)+Ayarlar!$B$4*ABS(Bitkiler!$F$36-Topraklar!$F$8)+Ayarlar!$B$5*ABS(Bitkiler!$G$36-Topraklar!$G$8)+Ayarlar!$B$6*IF(Bitkiler!$H$36=Topraklar!$H$8,0,1))/Ayarlar!$B$7)+IF(Topraklar!$K$8=Bitkiler!$C$36,0.002,IF(Topraklar!$L$8="Evet",0.001,0)))</f>
        <v/>
      </c>
      <c r="I37" s="16">
        <f>IF(OR(Topraklar!$J$9="Evet",AND(Topraklar!$L$9&lt;&gt;"Evet",Topraklar!$K$9&lt;&gt;Bitkiler!$C$36)),0,MAX(0,1-(Ayarlar!$B$2*ABS(Bitkiler!$D$36-Topraklar!$D$9)+Ayarlar!$B$3*ABS(Bitkiler!$E$36-Topraklar!$E$9)+Ayarlar!$B$4*ABS(Bitkiler!$F$36-Topraklar!$F$9)+Ayarlar!$B$5*ABS(Bitkiler!$G$36-Topraklar!$G$9)+Ayarlar!$B$6*IF(Bitkiler!$H$36=Topraklar!$H$9,0,1))/Ayarlar!$B$7)+IF(Topraklar!$K$9=Bitkiler!$C$36,0.002,IF(Topraklar!$L$9="Evet",0.001,0)))</f>
        <v/>
      </c>
      <c r="J37" s="16">
        <f>IF(OR(Topraklar!$J$10="Evet",AND(Topraklar!$L$10&lt;&gt;"Evet",Topraklar!$K$10&lt;&gt;Bitkiler!$C$36)),0,MAX(0,1-(Ayarlar!$B$2*ABS(Bitkiler!$D$36-Topraklar!$D$10)+Ayarlar!$B$3*ABS(Bitkiler!$E$36-Topraklar!$E$10)+Ayarlar!$B$4*ABS(Bitkiler!$F$36-Topraklar!$F$10)+Ayarlar!$B$5*ABS(Bitkiler!$G$36-Topraklar!$G$10)+Ayarlar!$B$6*IF(Bitkiler!$H$36=Topraklar!$H$10,0,1))/Ayarlar!$B$7)+IF(Topraklar!$K$10=Bitkiler!$C$36,0.002,IF(Topraklar!$L$10="Evet",0.001,0)))</f>
        <v/>
      </c>
      <c r="K37" s="16">
        <f>IF(OR(Topraklar!$J$11="Evet",AND(Topraklar!$L$11&lt;&gt;"Evet",Topraklar!$K$11&lt;&gt;Bitkiler!$C$36)),0,MAX(0,1-(Ayarlar!$B$2*ABS(Bitkiler!$D$36-Topraklar!$D$11)+Ayarlar!$B$3*ABS(Bitkiler!$E$36-Topraklar!$E$11)+Ayarlar!$B$4*ABS(Bitkiler!$F$36-Topraklar!$F$11)+Ayarlar!$B$5*ABS(Bitkiler!$G$36-Topraklar!$G$11)+Ayarlar!$B$6*IF(Bitkiler!$H$36=Topraklar!$H$11,0,1))/Ayarlar!$B$7)+IF(Topraklar!$K$11=Bitkiler!$C$36,0.002,IF(Topraklar!$L$11="Evet",0.001,0)))</f>
        <v/>
      </c>
      <c r="L37" s="16">
        <f>IF(OR(Topraklar!$J$12="Evet",AND(Topraklar!$L$12&lt;&gt;"Evet",Topraklar!$K$12&lt;&gt;Bitkiler!$C$36)),0,MAX(0,1-(Ayarlar!$B$2*ABS(Bitkiler!$D$36-Topraklar!$D$12)+Ayarlar!$B$3*ABS(Bitkiler!$E$36-Topraklar!$E$12)+Ayarlar!$B$4*ABS(Bitkiler!$F$36-Topraklar!$F$12)+Ayarlar!$B$5*ABS(Bitkiler!$G$36-Topraklar!$G$12)+Ayarlar!$B$6*IF(Bitkiler!$H$36=Topraklar!$H$12,0,1))/Ayarlar!$B$7)+IF(Topraklar!$K$12=Bitkiler!$C$36,0.002,IF(Topraklar!$L$12="Evet",0.001,0)))</f>
        <v/>
      </c>
      <c r="M37" s="16">
        <f>IF(OR(Topraklar!$J$13="Evet",AND(Topraklar!$L$13&lt;&gt;"Evet",Topraklar!$K$13&lt;&gt;Bitkiler!$C$36)),0,MAX(0,1-(Ayarlar!$B$2*ABS(Bitkiler!$D$36-Topraklar!$D$13)+Ayarlar!$B$3*ABS(Bitkiler!$E$36-Topraklar!$E$13)+Ayarlar!$B$4*ABS(Bitkiler!$F$36-Topraklar!$F$13)+Ayarlar!$B$5*ABS(Bitkiler!$G$36-Topraklar!$G$13)+Ayarlar!$B$6*IF(Bitkiler!$H$36=Topraklar!$H$13,0,1))/Ayarlar!$B$7)+IF(Topraklar!$K$13=Bitkiler!$C$36,0.002,IF(Topraklar!$L$13="Evet",0.001,0)))</f>
        <v/>
      </c>
      <c r="N37" s="16">
        <f>IF(OR(Topraklar!$J$14="Evet",AND(Topraklar!$L$14&lt;&gt;"Evet",Topraklar!$K$14&lt;&gt;Bitkiler!$C$36)),0,MAX(0,1-(Ayarlar!$B$2*ABS(Bitkiler!$D$36-Topraklar!$D$14)+Ayarlar!$B$3*ABS(Bitkiler!$E$36-Topraklar!$E$14)+Ayarlar!$B$4*ABS(Bitkiler!$F$36-Topraklar!$F$14)+Ayarlar!$B$5*ABS(Bitkiler!$G$36-Topraklar!$G$14)+Ayarlar!$B$6*IF(Bitkiler!$H$36=Topraklar!$H$14,0,1))/Ayarlar!$B$7)+IF(Topraklar!$K$14=Bitkiler!$C$36,0.002,IF(Topraklar!$L$14="Evet",0.001,0)))</f>
        <v/>
      </c>
      <c r="O37" s="16">
        <f>IF(OR(Topraklar!$J$15="Evet",AND(Topraklar!$L$15&lt;&gt;"Evet",Topraklar!$K$15&lt;&gt;Bitkiler!$C$36)),0,MAX(0,1-(Ayarlar!$B$2*ABS(Bitkiler!$D$36-Topraklar!$D$15)+Ayarlar!$B$3*ABS(Bitkiler!$E$36-Topraklar!$E$15)+Ayarlar!$B$4*ABS(Bitkiler!$F$36-Topraklar!$F$15)+Ayarlar!$B$5*ABS(Bitkiler!$G$36-Topraklar!$G$15)+Ayarlar!$B$6*IF(Bitkiler!$H$36=Topraklar!$H$15,0,1))/Ayarlar!$B$7)+IF(Topraklar!$K$15=Bitkiler!$C$36,0.002,IF(Topraklar!$L$15="Evet",0.001,0)))</f>
        <v/>
      </c>
      <c r="P37" s="16">
        <f>IF(OR(Topraklar!$J$16="Evet",AND(Topraklar!$L$16&lt;&gt;"Evet",Topraklar!$K$16&lt;&gt;Bitkiler!$C$36)),0,MAX(0,1-(Ayarlar!$B$2*ABS(Bitkiler!$D$36-Topraklar!$D$16)+Ayarlar!$B$3*ABS(Bitkiler!$E$36-Topraklar!$E$16)+Ayarlar!$B$4*ABS(Bitkiler!$F$36-Topraklar!$F$16)+Ayarlar!$B$5*ABS(Bitkiler!$G$36-Topraklar!$G$16)+Ayarlar!$B$6*IF(Bitkiler!$H$36=Topraklar!$H$16,0,1))/Ayarlar!$B$7)+IF(Topraklar!$K$16=Bitkiler!$C$36,0.002,IF(Topraklar!$L$16="Evet",0.001,0)))</f>
        <v/>
      </c>
      <c r="Q37" s="16">
        <f>IF(OR(Topraklar!$J$17="Evet",AND(Topraklar!$L$17&lt;&gt;"Evet",Topraklar!$K$17&lt;&gt;Bitkiler!$C$36)),0,MAX(0,1-(Ayarlar!$B$2*ABS(Bitkiler!$D$36-Topraklar!$D$17)+Ayarlar!$B$3*ABS(Bitkiler!$E$36-Topraklar!$E$17)+Ayarlar!$B$4*ABS(Bitkiler!$F$36-Topraklar!$F$17)+Ayarlar!$B$5*ABS(Bitkiler!$G$36-Topraklar!$G$17)+Ayarlar!$B$6*IF(Bitkiler!$H$36=Topraklar!$H$17,0,1))/Ayarlar!$B$7)+IF(Topraklar!$K$17=Bitkiler!$C$36,0.002,IF(Topraklar!$L$17="Evet",0.001,0)))</f>
        <v/>
      </c>
      <c r="R37" s="16">
        <f>IF(OR(Topraklar!$J$18="Evet",AND(Topraklar!$L$18&lt;&gt;"Evet",Topraklar!$K$18&lt;&gt;Bitkiler!$C$36)),0,MAX(0,1-(Ayarlar!$B$2*ABS(Bitkiler!$D$36-Topraklar!$D$18)+Ayarlar!$B$3*ABS(Bitkiler!$E$36-Topraklar!$E$18)+Ayarlar!$B$4*ABS(Bitkiler!$F$36-Topraklar!$F$18)+Ayarlar!$B$5*ABS(Bitkiler!$G$36-Topraklar!$G$18)+Ayarlar!$B$6*IF(Bitkiler!$H$36=Topraklar!$H$18,0,1))/Ayarlar!$B$7)+IF(Topraklar!$K$18=Bitkiler!$C$36,0.002,IF(Topraklar!$L$18="Evet",0.001,0)))</f>
        <v/>
      </c>
      <c r="S37" s="16">
        <f>IF(OR(Topraklar!$J$19="Evet",AND(Topraklar!$L$19&lt;&gt;"Evet",Topraklar!$K$19&lt;&gt;Bitkiler!$C$36)),0,MAX(0,1-(Ayarlar!$B$2*ABS(Bitkiler!$D$36-Topraklar!$D$19)+Ayarlar!$B$3*ABS(Bitkiler!$E$36-Topraklar!$E$19)+Ayarlar!$B$4*ABS(Bitkiler!$F$36-Topraklar!$F$19)+Ayarlar!$B$5*ABS(Bitkiler!$G$36-Topraklar!$G$19)+Ayarlar!$B$6*IF(Bitkiler!$H$36=Topraklar!$H$19,0,1))/Ayarlar!$B$7)+IF(Topraklar!$K$19=Bitkiler!$C$36,0.002,IF(Topraklar!$L$19="Evet",0.001,0)))</f>
        <v/>
      </c>
      <c r="T37" s="16">
        <f>IF(OR(Topraklar!$J$20="Evet",AND(Topraklar!$L$20&lt;&gt;"Evet",Topraklar!$K$20&lt;&gt;Bitkiler!$C$36)),0,MAX(0,1-(Ayarlar!$B$2*ABS(Bitkiler!$D$36-Topraklar!$D$20)+Ayarlar!$B$3*ABS(Bitkiler!$E$36-Topraklar!$E$20)+Ayarlar!$B$4*ABS(Bitkiler!$F$36-Topraklar!$F$20)+Ayarlar!$B$5*ABS(Bitkiler!$G$36-Topraklar!$G$20)+Ayarlar!$B$6*IF(Bitkiler!$H$36=Topraklar!$H$20,0,1))/Ayarlar!$B$7)+IF(Topraklar!$K$20=Bitkiler!$C$36,0.002,IF(Topraklar!$L$20="Evet",0.001,0)))</f>
        <v/>
      </c>
      <c r="U37" s="16">
        <f>IF(OR(Topraklar!$J$21="Evet",AND(Topraklar!$L$21&lt;&gt;"Evet",Topraklar!$K$21&lt;&gt;Bitkiler!$C$36)),0,MAX(0,1-(Ayarlar!$B$2*ABS(Bitkiler!$D$36-Topraklar!$D$21)+Ayarlar!$B$3*ABS(Bitkiler!$E$36-Topraklar!$E$21)+Ayarlar!$B$4*ABS(Bitkiler!$F$36-Topraklar!$F$21)+Ayarlar!$B$5*ABS(Bitkiler!$G$36-Topraklar!$G$21)+Ayarlar!$B$6*IF(Bitkiler!$H$36=Topraklar!$H$21,0,1))/Ayarlar!$B$7)+IF(Topraklar!$K$21=Bitkiler!$C$36,0.002,IF(Topraklar!$L$21="Evet",0.001,0)))</f>
        <v/>
      </c>
      <c r="V37" s="16">
        <f>IF(OR(Topraklar!$J$22="Evet",AND(Topraklar!$L$22&lt;&gt;"Evet",Topraklar!$K$22&lt;&gt;Bitkiler!$C$36)),0,MAX(0,1-(Ayarlar!$B$2*ABS(Bitkiler!$D$36-Topraklar!$D$22)+Ayarlar!$B$3*ABS(Bitkiler!$E$36-Topraklar!$E$22)+Ayarlar!$B$4*ABS(Bitkiler!$F$36-Topraklar!$F$22)+Ayarlar!$B$5*ABS(Bitkiler!$G$36-Topraklar!$G$22)+Ayarlar!$B$6*IF(Bitkiler!$H$36=Topraklar!$H$22,0,1))/Ayarlar!$B$7)+IF(Topraklar!$K$22=Bitkiler!$C$36,0.002,IF(Topraklar!$L$22="Evet",0.001,0)))</f>
        <v/>
      </c>
      <c r="W37" s="16">
        <f>IF(OR(Topraklar!$J$23="Evet",AND(Topraklar!$L$23&lt;&gt;"Evet",Topraklar!$K$23&lt;&gt;Bitkiler!$C$36)),0,MAX(0,1-(Ayarlar!$B$2*ABS(Bitkiler!$D$36-Topraklar!$D$23)+Ayarlar!$B$3*ABS(Bitkiler!$E$36-Topraklar!$E$23)+Ayarlar!$B$4*ABS(Bitkiler!$F$36-Topraklar!$F$23)+Ayarlar!$B$5*ABS(Bitkiler!$G$36-Topraklar!$G$23)+Ayarlar!$B$6*IF(Bitkiler!$H$36=Topraklar!$H$23,0,1))/Ayarlar!$B$7)+IF(Topraklar!$K$23=Bitkiler!$C$36,0.002,IF(Topraklar!$L$23="Evet",0.001,0)))</f>
        <v/>
      </c>
      <c r="X37" s="16">
        <f>IF(OR(Topraklar!$J$24="Evet",AND(Topraklar!$L$24&lt;&gt;"Evet",Topraklar!$K$24&lt;&gt;Bitkiler!$C$36)),0,MAX(0,1-(Ayarlar!$B$2*ABS(Bitkiler!$D$36-Topraklar!$D$24)+Ayarlar!$B$3*ABS(Bitkiler!$E$36-Topraklar!$E$24)+Ayarlar!$B$4*ABS(Bitkiler!$F$36-Topraklar!$F$24)+Ayarlar!$B$5*ABS(Bitkiler!$G$36-Topraklar!$G$24)+Ayarlar!$B$6*IF(Bitkiler!$H$36=Topraklar!$H$24,0,1))/Ayarlar!$B$7)+IF(Topraklar!$K$24=Bitkiler!$C$36,0.002,IF(Topraklar!$L$24="Evet",0.001,0)))</f>
        <v/>
      </c>
      <c r="Y37" s="16">
        <f>IF(OR(Topraklar!$J$25="Evet",AND(Topraklar!$L$25&lt;&gt;"Evet",Topraklar!$K$25&lt;&gt;Bitkiler!$C$36)),0,MAX(0,1-(Ayarlar!$B$2*ABS(Bitkiler!$D$36-Topraklar!$D$25)+Ayarlar!$B$3*ABS(Bitkiler!$E$36-Topraklar!$E$25)+Ayarlar!$B$4*ABS(Bitkiler!$F$36-Topraklar!$F$25)+Ayarlar!$B$5*ABS(Bitkiler!$G$36-Topraklar!$G$25)+Ayarlar!$B$6*IF(Bitkiler!$H$36=Topraklar!$H$25,0,1))/Ayarlar!$B$7)+IF(Topraklar!$K$25=Bitkiler!$C$36,0.002,IF(Topraklar!$L$25="Evet",0.001,0)))</f>
        <v/>
      </c>
      <c r="Z37" s="16">
        <f>IF(OR(Topraklar!$J$26="Evet",AND(Topraklar!$L$26&lt;&gt;"Evet",Topraklar!$K$26&lt;&gt;Bitkiler!$C$36)),0,MAX(0,1-(Ayarlar!$B$2*ABS(Bitkiler!$D$36-Topraklar!$D$26)+Ayarlar!$B$3*ABS(Bitkiler!$E$36-Topraklar!$E$26)+Ayarlar!$B$4*ABS(Bitkiler!$F$36-Topraklar!$F$26)+Ayarlar!$B$5*ABS(Bitkiler!$G$36-Topraklar!$G$26)+Ayarlar!$B$6*IF(Bitkiler!$H$36=Topraklar!$H$26,0,1))/Ayarlar!$B$7)+IF(Topraklar!$K$26=Bitkiler!$C$36,0.002,IF(Topraklar!$L$26="Evet",0.001,0)))</f>
        <v/>
      </c>
      <c r="AA37" s="16">
        <f>IF(OR(Topraklar!$J$27="Evet",AND(Topraklar!$L$27&lt;&gt;"Evet",Topraklar!$K$27&lt;&gt;Bitkiler!$C$36)),0,MAX(0,1-(Ayarlar!$B$2*ABS(Bitkiler!$D$36-Topraklar!$D$27)+Ayarlar!$B$3*ABS(Bitkiler!$E$36-Topraklar!$E$27)+Ayarlar!$B$4*ABS(Bitkiler!$F$36-Topraklar!$F$27)+Ayarlar!$B$5*ABS(Bitkiler!$G$36-Topraklar!$G$27)+Ayarlar!$B$6*IF(Bitkiler!$H$36=Topraklar!$H$27,0,1))/Ayarlar!$B$7)+IF(Topraklar!$K$27=Bitkiler!$C$36,0.002,IF(Topraklar!$L$27="Evet",0.001,0)))</f>
        <v/>
      </c>
      <c r="AB37" s="16">
        <f>IF(OR(Topraklar!$J$28="Evet",AND(Topraklar!$L$28&lt;&gt;"Evet",Topraklar!$K$28&lt;&gt;Bitkiler!$C$36)),0,MAX(0,1-(Ayarlar!$B$2*ABS(Bitkiler!$D$36-Topraklar!$D$28)+Ayarlar!$B$3*ABS(Bitkiler!$E$36-Topraklar!$E$28)+Ayarlar!$B$4*ABS(Bitkiler!$F$36-Topraklar!$F$28)+Ayarlar!$B$5*ABS(Bitkiler!$G$36-Topraklar!$G$28)+Ayarlar!$B$6*IF(Bitkiler!$H$36=Topraklar!$H$28,0,1))/Ayarlar!$B$7)+IF(Topraklar!$K$28=Bitkiler!$C$36,0.002,IF(Topraklar!$L$28="Evet",0.001,0)))</f>
        <v/>
      </c>
      <c r="AC37" s="16">
        <f>IF(OR(Topraklar!$J$29="Evet",AND(Topraklar!$L$29&lt;&gt;"Evet",Topraklar!$K$29&lt;&gt;Bitkiler!$C$36)),0,MAX(0,1-(Ayarlar!$B$2*ABS(Bitkiler!$D$36-Topraklar!$D$29)+Ayarlar!$B$3*ABS(Bitkiler!$E$36-Topraklar!$E$29)+Ayarlar!$B$4*ABS(Bitkiler!$F$36-Topraklar!$F$29)+Ayarlar!$B$5*ABS(Bitkiler!$G$36-Topraklar!$G$29)+Ayarlar!$B$6*IF(Bitkiler!$H$36=Topraklar!$H$29,0,1))/Ayarlar!$B$7)+IF(Topraklar!$K$29=Bitkiler!$C$36,0.002,IF(Topraklar!$L$29="Evet",0.001,0)))</f>
        <v/>
      </c>
      <c r="AD37" s="16">
        <f>IF(OR(Topraklar!$J$30="Evet",AND(Topraklar!$L$30&lt;&gt;"Evet",Topraklar!$K$30&lt;&gt;Bitkiler!$C$36)),0,MAX(0,1-(Ayarlar!$B$2*ABS(Bitkiler!$D$36-Topraklar!$D$30)+Ayarlar!$B$3*ABS(Bitkiler!$E$36-Topraklar!$E$30)+Ayarlar!$B$4*ABS(Bitkiler!$F$36-Topraklar!$F$30)+Ayarlar!$B$5*ABS(Bitkiler!$G$36-Topraklar!$G$30)+Ayarlar!$B$6*IF(Bitkiler!$H$36=Topraklar!$H$30,0,1))/Ayarlar!$B$7)+IF(Topraklar!$K$30=Bitkiler!$C$36,0.002,IF(Topraklar!$L$30="Evet",0.001,0)))</f>
        <v/>
      </c>
      <c r="AE37" s="16">
        <f>IF(OR(Topraklar!$J$31="Evet",AND(Topraklar!$L$31&lt;&gt;"Evet",Topraklar!$K$31&lt;&gt;Bitkiler!$C$36)),0,MAX(0,1-(Ayarlar!$B$2*ABS(Bitkiler!$D$36-Topraklar!$D$31)+Ayarlar!$B$3*ABS(Bitkiler!$E$36-Topraklar!$E$31)+Ayarlar!$B$4*ABS(Bitkiler!$F$36-Topraklar!$F$31)+Ayarlar!$B$5*ABS(Bitkiler!$G$36-Topraklar!$G$31)+Ayarlar!$B$6*IF(Bitkiler!$H$36=Topraklar!$H$31,0,1))/Ayarlar!$B$7)+IF(Topraklar!$K$31=Bitkiler!$C$36,0.002,IF(Topraklar!$L$31="Evet",0.001,0)))</f>
        <v/>
      </c>
      <c r="AF37" s="16">
        <f>IF(OR(Topraklar!$J$32="Evet",AND(Topraklar!$L$32&lt;&gt;"Evet",Topraklar!$K$32&lt;&gt;Bitkiler!$C$36)),0,MAX(0,1-(Ayarlar!$B$2*ABS(Bitkiler!$D$36-Topraklar!$D$32)+Ayarlar!$B$3*ABS(Bitkiler!$E$36-Topraklar!$E$32)+Ayarlar!$B$4*ABS(Bitkiler!$F$36-Topraklar!$F$32)+Ayarlar!$B$5*ABS(Bitkiler!$G$36-Topraklar!$G$32)+Ayarlar!$B$6*IF(Bitkiler!$H$36=Topraklar!$H$32,0,1))/Ayarlar!$B$7)+IF(Topraklar!$K$32=Bitkiler!$C$36,0.002,IF(Topraklar!$L$32="Evet",0.001,0)))</f>
        <v/>
      </c>
      <c r="AG37" s="16">
        <f>IF(OR(Topraklar!$J$33="Evet",AND(Topraklar!$L$33&lt;&gt;"Evet",Topraklar!$K$33&lt;&gt;Bitkiler!$C$36)),0,MAX(0,1-(Ayarlar!$B$2*ABS(Bitkiler!$D$36-Topraklar!$D$33)+Ayarlar!$B$3*ABS(Bitkiler!$E$36-Topraklar!$E$33)+Ayarlar!$B$4*ABS(Bitkiler!$F$36-Topraklar!$F$33)+Ayarlar!$B$5*ABS(Bitkiler!$G$36-Topraklar!$G$33)+Ayarlar!$B$6*IF(Bitkiler!$H$36=Topraklar!$H$33,0,1))/Ayarlar!$B$7)+IF(Topraklar!$K$33=Bitkiler!$C$36,0.002,IF(Topraklar!$L$33="Evet",0.001,0)))</f>
        <v/>
      </c>
      <c r="AH37" s="16">
        <f>IF(OR(Topraklar!$J$34="Evet",AND(Topraklar!$L$34&lt;&gt;"Evet",Topraklar!$K$34&lt;&gt;Bitkiler!$C$36)),0,MAX(0,1-(Ayarlar!$B$2*ABS(Bitkiler!$D$36-Topraklar!$D$34)+Ayarlar!$B$3*ABS(Bitkiler!$E$36-Topraklar!$E$34)+Ayarlar!$B$4*ABS(Bitkiler!$F$36-Topraklar!$F$34)+Ayarlar!$B$5*ABS(Bitkiler!$G$36-Topraklar!$G$34)+Ayarlar!$B$6*IF(Bitkiler!$H$36=Topraklar!$H$34,0,1))/Ayarlar!$B$7)+IF(Topraklar!$K$34=Bitkiler!$C$36,0.002,IF(Topraklar!$L$34="Evet",0.001,0)))</f>
        <v/>
      </c>
      <c r="AI37" s="16">
        <f>IF(OR(Topraklar!$J$35="Evet",AND(Topraklar!$L$35&lt;&gt;"Evet",Topraklar!$K$35&lt;&gt;Bitkiler!$C$36)),0,MAX(0,1-(Ayarlar!$B$2*ABS(Bitkiler!$D$36-Topraklar!$D$35)+Ayarlar!$B$3*ABS(Bitkiler!$E$36-Topraklar!$E$35)+Ayarlar!$B$4*ABS(Bitkiler!$F$36-Topraklar!$F$35)+Ayarlar!$B$5*ABS(Bitkiler!$G$36-Topraklar!$G$35)+Ayarlar!$B$6*IF(Bitkiler!$H$36=Topraklar!$H$35,0,1))/Ayarlar!$B$7)+IF(Topraklar!$K$35=Bitkiler!$C$36,0.002,IF(Topraklar!$L$35="Evet",0.001,0)))</f>
        <v/>
      </c>
      <c r="AJ37" s="16">
        <f>IF(OR(Topraklar!$J$36="Evet",AND(Topraklar!$L$36&lt;&gt;"Evet",Topraklar!$K$36&lt;&gt;Bitkiler!$C$36)),0,MAX(0,1-(Ayarlar!$B$2*ABS(Bitkiler!$D$36-Topraklar!$D$36)+Ayarlar!$B$3*ABS(Bitkiler!$E$36-Topraklar!$E$36)+Ayarlar!$B$4*ABS(Bitkiler!$F$36-Topraklar!$F$36)+Ayarlar!$B$5*ABS(Bitkiler!$G$36-Topraklar!$G$36)+Ayarlar!$B$6*IF(Bitkiler!$H$36=Topraklar!$H$36,0,1))/Ayarlar!$B$7)+IF(Topraklar!$K$36=Bitkiler!$C$36,0.002,IF(Topraklar!$L$36="Evet",0.001,0)))</f>
        <v/>
      </c>
      <c r="AK37" s="16">
        <f>IF(OR(Topraklar!$J$37="Evet",AND(Topraklar!$L$37&lt;&gt;"Evet",Topraklar!$K$37&lt;&gt;Bitkiler!$C$36)),0,MAX(0,1-(Ayarlar!$B$2*ABS(Bitkiler!$D$36-Topraklar!$D$37)+Ayarlar!$B$3*ABS(Bitkiler!$E$36-Topraklar!$E$37)+Ayarlar!$B$4*ABS(Bitkiler!$F$36-Topraklar!$F$37)+Ayarlar!$B$5*ABS(Bitkiler!$G$36-Topraklar!$G$37)+Ayarlar!$B$6*IF(Bitkiler!$H$36=Topraklar!$H$37,0,1))/Ayarlar!$B$7)+IF(Topraklar!$K$37=Bitkiler!$C$36,0.002,IF(Topraklar!$L$37="Evet",0.001,0)))</f>
        <v/>
      </c>
      <c r="AL37" s="16">
        <f>IF(OR(Topraklar!$J$38="Evet",AND(Topraklar!$L$38&lt;&gt;"Evet",Topraklar!$K$38&lt;&gt;Bitkiler!$C$36)),0,MAX(0,1-(Ayarlar!$B$2*ABS(Bitkiler!$D$36-Topraklar!$D$38)+Ayarlar!$B$3*ABS(Bitkiler!$E$36-Topraklar!$E$38)+Ayarlar!$B$4*ABS(Bitkiler!$F$36-Topraklar!$F$38)+Ayarlar!$B$5*ABS(Bitkiler!$G$36-Topraklar!$G$38)+Ayarlar!$B$6*IF(Bitkiler!$H$36=Topraklar!$H$38,0,1))/Ayarlar!$B$7)+IF(Topraklar!$K$38=Bitkiler!$C$36,0.002,IF(Topraklar!$L$38="Evet",0.001,0)))</f>
        <v/>
      </c>
      <c r="AM37" s="16">
        <f>IF(OR(Topraklar!$J$39="Evet",AND(Topraklar!$L$39&lt;&gt;"Evet",Topraklar!$K$39&lt;&gt;Bitkiler!$C$36)),0,MAX(0,1-(Ayarlar!$B$2*ABS(Bitkiler!$D$36-Topraklar!$D$39)+Ayarlar!$B$3*ABS(Bitkiler!$E$36-Topraklar!$E$39)+Ayarlar!$B$4*ABS(Bitkiler!$F$36-Topraklar!$F$39)+Ayarlar!$B$5*ABS(Bitkiler!$G$36-Topraklar!$G$39)+Ayarlar!$B$6*IF(Bitkiler!$H$36=Topraklar!$H$39,0,1))/Ayarlar!$B$7)+IF(Topraklar!$K$39=Bitkiler!$C$36,0.002,IF(Topraklar!$L$39="Evet",0.001,0)))</f>
        <v/>
      </c>
      <c r="AN37" s="16">
        <f>IF(OR(Topraklar!$J$40="Evet",AND(Topraklar!$L$40&lt;&gt;"Evet",Topraklar!$K$40&lt;&gt;Bitkiler!$C$36)),0,MAX(0,1-(Ayarlar!$B$2*ABS(Bitkiler!$D$36-Topraklar!$D$40)+Ayarlar!$B$3*ABS(Bitkiler!$E$36-Topraklar!$E$40)+Ayarlar!$B$4*ABS(Bitkiler!$F$36-Topraklar!$F$40)+Ayarlar!$B$5*ABS(Bitkiler!$G$36-Topraklar!$G$40)+Ayarlar!$B$6*IF(Bitkiler!$H$36=Topraklar!$H$40,0,1))/Ayarlar!$B$7)+IF(Topraklar!$K$40=Bitkiler!$C$36,0.002,IF(Topraklar!$L$40="Evet",0.001,0)))</f>
        <v/>
      </c>
      <c r="AO37" s="16">
        <f>IF(OR(Topraklar!$J$41="Evet",AND(Topraklar!$L$41&lt;&gt;"Evet",Topraklar!$K$41&lt;&gt;Bitkiler!$C$36)),0,MAX(0,1-(Ayarlar!$B$2*ABS(Bitkiler!$D$36-Topraklar!$D$41)+Ayarlar!$B$3*ABS(Bitkiler!$E$36-Topraklar!$E$41)+Ayarlar!$B$4*ABS(Bitkiler!$F$36-Topraklar!$F$41)+Ayarlar!$B$5*ABS(Bitkiler!$G$36-Topraklar!$G$41)+Ayarlar!$B$6*IF(Bitkiler!$H$36=Topraklar!$H$41,0,1))/Ayarlar!$B$7)+IF(Topraklar!$K$41=Bitkiler!$C$36,0.002,IF(Topraklar!$L$41="Evet",0.001,0)))</f>
        <v/>
      </c>
      <c r="AP37" s="16">
        <f>IF(OR(Topraklar!$J$42="Evet",AND(Topraklar!$L$42&lt;&gt;"Evet",Topraklar!$K$42&lt;&gt;Bitkiler!$C$36)),0,MAX(0,1-(Ayarlar!$B$2*ABS(Bitkiler!$D$36-Topraklar!$D$42)+Ayarlar!$B$3*ABS(Bitkiler!$E$36-Topraklar!$E$42)+Ayarlar!$B$4*ABS(Bitkiler!$F$36-Topraklar!$F$42)+Ayarlar!$B$5*ABS(Bitkiler!$G$36-Topraklar!$G$42)+Ayarlar!$B$6*IF(Bitkiler!$H$36=Topraklar!$H$42,0,1))/Ayarlar!$B$7)+IF(Topraklar!$K$42=Bitkiler!$C$36,0.002,IF(Topraklar!$L$42="Evet",0.001,0)))</f>
        <v/>
      </c>
      <c r="AQ37" s="16">
        <f>IF(OR(Topraklar!$J$43="Evet",AND(Topraklar!$L$43&lt;&gt;"Evet",Topraklar!$K$43&lt;&gt;Bitkiler!$C$36)),0,MAX(0,1-(Ayarlar!$B$2*ABS(Bitkiler!$D$36-Topraklar!$D$43)+Ayarlar!$B$3*ABS(Bitkiler!$E$36-Topraklar!$E$43)+Ayarlar!$B$4*ABS(Bitkiler!$F$36-Topraklar!$F$43)+Ayarlar!$B$5*ABS(Bitkiler!$G$36-Topraklar!$G$43)+Ayarlar!$B$6*IF(Bitkiler!$H$36=Topraklar!$H$43,0,1))/Ayarlar!$B$7)+IF(Topraklar!$K$43=Bitkiler!$C$36,0.002,IF(Topraklar!$L$43="Evet",0.001,0)))</f>
        <v/>
      </c>
      <c r="AR37" s="16">
        <f>IF(OR(Topraklar!$J$44="Evet",AND(Topraklar!$L$44&lt;&gt;"Evet",Topraklar!$K$44&lt;&gt;Bitkiler!$C$36)),0,MAX(0,1-(Ayarlar!$B$2*ABS(Bitkiler!$D$36-Topraklar!$D$44)+Ayarlar!$B$3*ABS(Bitkiler!$E$36-Topraklar!$E$44)+Ayarlar!$B$4*ABS(Bitkiler!$F$36-Topraklar!$F$44)+Ayarlar!$B$5*ABS(Bitkiler!$G$36-Topraklar!$G$44)+Ayarlar!$B$6*IF(Bitkiler!$H$36=Topraklar!$H$44,0,1))/Ayarlar!$B$7)+IF(Topraklar!$K$44=Bitkiler!$C$36,0.002,IF(Topraklar!$L$44="Evet",0.001,0)))</f>
        <v/>
      </c>
      <c r="AS37" s="16">
        <f>IF(OR(Topraklar!$J$45="Evet",AND(Topraklar!$L$45&lt;&gt;"Evet",Topraklar!$K$45&lt;&gt;Bitkiler!$C$36)),0,MAX(0,1-(Ayarlar!$B$2*ABS(Bitkiler!$D$36-Topraklar!$D$45)+Ayarlar!$B$3*ABS(Bitkiler!$E$36-Topraklar!$E$45)+Ayarlar!$B$4*ABS(Bitkiler!$F$36-Topraklar!$F$45)+Ayarlar!$B$5*ABS(Bitkiler!$G$36-Topraklar!$G$45)+Ayarlar!$B$6*IF(Bitkiler!$H$36=Topraklar!$H$45,0,1))/Ayarlar!$B$7)+IF(Topraklar!$K$45=Bitkiler!$C$36,0.002,IF(Topraklar!$L$45="Evet",0.001,0)))</f>
        <v/>
      </c>
      <c r="AT37" s="16">
        <f>IF(OR(Topraklar!$J$46="Evet",AND(Topraklar!$L$46&lt;&gt;"Evet",Topraklar!$K$46&lt;&gt;Bitkiler!$C$36)),0,MAX(0,1-(Ayarlar!$B$2*ABS(Bitkiler!$D$36-Topraklar!$D$46)+Ayarlar!$B$3*ABS(Bitkiler!$E$36-Topraklar!$E$46)+Ayarlar!$B$4*ABS(Bitkiler!$F$36-Topraklar!$F$46)+Ayarlar!$B$5*ABS(Bitkiler!$G$36-Topraklar!$G$46)+Ayarlar!$B$6*IF(Bitkiler!$H$36=Topraklar!$H$46,0,1))/Ayarlar!$B$7)+IF(Topraklar!$K$46=Bitkiler!$C$36,0.002,IF(Topraklar!$L$46="Evet",0.001,0)))</f>
        <v/>
      </c>
      <c r="AU37" s="16">
        <f>IF(OR(Topraklar!$J$47="Evet",AND(Topraklar!$L$47&lt;&gt;"Evet",Topraklar!$K$47&lt;&gt;Bitkiler!$C$36)),0,MAX(0,1-(Ayarlar!$B$2*ABS(Bitkiler!$D$36-Topraklar!$D$47)+Ayarlar!$B$3*ABS(Bitkiler!$E$36-Topraklar!$E$47)+Ayarlar!$B$4*ABS(Bitkiler!$F$36-Topraklar!$F$47)+Ayarlar!$B$5*ABS(Bitkiler!$G$36-Topraklar!$G$47)+Ayarlar!$B$6*IF(Bitkiler!$H$36=Topraklar!$H$47,0,1))/Ayarlar!$B$7)+IF(Topraklar!$K$47=Bitkiler!$C$36,0.002,IF(Topraklar!$L$47="Evet",0.001,0)))</f>
        <v/>
      </c>
      <c r="AV37" s="16">
        <f>IF(OR(Topraklar!$J$48="Evet",AND(Topraklar!$L$48&lt;&gt;"Evet",Topraklar!$K$48&lt;&gt;Bitkiler!$C$36)),0,MAX(0,1-(Ayarlar!$B$2*ABS(Bitkiler!$D$36-Topraklar!$D$48)+Ayarlar!$B$3*ABS(Bitkiler!$E$36-Topraklar!$E$48)+Ayarlar!$B$4*ABS(Bitkiler!$F$36-Topraklar!$F$48)+Ayarlar!$B$5*ABS(Bitkiler!$G$36-Topraklar!$G$48)+Ayarlar!$B$6*IF(Bitkiler!$H$36=Topraklar!$H$48,0,1))/Ayarlar!$B$7)+IF(Topraklar!$K$48=Bitkiler!$C$36,0.002,IF(Topraklar!$L$48="Evet",0.001,0)))</f>
        <v/>
      </c>
      <c r="AW37" s="16">
        <f>IF(OR(Topraklar!$J$49="Evet",AND(Topraklar!$L$49&lt;&gt;"Evet",Topraklar!$K$49&lt;&gt;Bitkiler!$C$36)),0,MAX(0,1-(Ayarlar!$B$2*ABS(Bitkiler!$D$36-Topraklar!$D$49)+Ayarlar!$B$3*ABS(Bitkiler!$E$36-Topraklar!$E$49)+Ayarlar!$B$4*ABS(Bitkiler!$F$36-Topraklar!$F$49)+Ayarlar!$B$5*ABS(Bitkiler!$G$36-Topraklar!$G$49)+Ayarlar!$B$6*IF(Bitkiler!$H$36=Topraklar!$H$49,0,1))/Ayarlar!$B$7)+IF(Topraklar!$K$49=Bitkiler!$C$36,0.002,IF(Topraklar!$L$49="Evet",0.001,0)))</f>
        <v/>
      </c>
      <c r="AX37" s="16">
        <f>IF(OR(Topraklar!$J$50="Evet",AND(Topraklar!$L$50&lt;&gt;"Evet",Topraklar!$K$50&lt;&gt;Bitkiler!$C$36)),0,MAX(0,1-(Ayarlar!$B$2*ABS(Bitkiler!$D$36-Topraklar!$D$50)+Ayarlar!$B$3*ABS(Bitkiler!$E$36-Topraklar!$E$50)+Ayarlar!$B$4*ABS(Bitkiler!$F$36-Topraklar!$F$50)+Ayarlar!$B$5*ABS(Bitkiler!$G$36-Topraklar!$G$50)+Ayarlar!$B$6*IF(Bitkiler!$H$36=Topraklar!$H$50,0,1))/Ayarlar!$B$7)+IF(Topraklar!$K$50=Bitkiler!$C$36,0.002,IF(Topraklar!$L$50="Evet",0.001,0)))</f>
        <v/>
      </c>
      <c r="AY37" s="16">
        <f>IF(OR(Topraklar!$J$51="Evet",AND(Topraklar!$L$51&lt;&gt;"Evet",Topraklar!$K$51&lt;&gt;Bitkiler!$C$36)),0,MAX(0,1-(Ayarlar!$B$2*ABS(Bitkiler!$D$36-Topraklar!$D$51)+Ayarlar!$B$3*ABS(Bitkiler!$E$36-Topraklar!$E$51)+Ayarlar!$B$4*ABS(Bitkiler!$F$36-Topraklar!$F$51)+Ayarlar!$B$5*ABS(Bitkiler!$G$36-Topraklar!$G$51)+Ayarlar!$B$6*IF(Bitkiler!$H$36=Topraklar!$H$51,0,1))/Ayarlar!$B$7)+IF(Topraklar!$K$51=Bitkiler!$C$36,0.002,IF(Topraklar!$L$51="Evet",0.001,0)))</f>
        <v/>
      </c>
    </row>
    <row r="38">
      <c r="A38" s="15">
        <f>Bitkiler!A37</f>
        <v/>
      </c>
      <c r="B38" s="16">
        <f>IF(OR(Topraklar!$J$2="Evet",AND(Topraklar!$L$2&lt;&gt;"Evet",Topraklar!$K$2&lt;&gt;Bitkiler!$C$37)),0,MAX(0,1-(Ayarlar!$B$2*ABS(Bitkiler!$D$37-Topraklar!$D$2)+Ayarlar!$B$3*ABS(Bitkiler!$E$37-Topraklar!$E$2)+Ayarlar!$B$4*ABS(Bitkiler!$F$37-Topraklar!$F$2)+Ayarlar!$B$5*ABS(Bitkiler!$G$37-Topraklar!$G$2)+Ayarlar!$B$6*IF(Bitkiler!$H$37=Topraklar!$H$2,0,1))/Ayarlar!$B$7)+IF(Topraklar!$K$2=Bitkiler!$C$37,0.002,IF(Topraklar!$L$2="Evet",0.001,0)))</f>
        <v/>
      </c>
      <c r="C38" s="16">
        <f>IF(OR(Topraklar!$J$3="Evet",AND(Topraklar!$L$3&lt;&gt;"Evet",Topraklar!$K$3&lt;&gt;Bitkiler!$C$37)),0,MAX(0,1-(Ayarlar!$B$2*ABS(Bitkiler!$D$37-Topraklar!$D$3)+Ayarlar!$B$3*ABS(Bitkiler!$E$37-Topraklar!$E$3)+Ayarlar!$B$4*ABS(Bitkiler!$F$37-Topraklar!$F$3)+Ayarlar!$B$5*ABS(Bitkiler!$G$37-Topraklar!$G$3)+Ayarlar!$B$6*IF(Bitkiler!$H$37=Topraklar!$H$3,0,1))/Ayarlar!$B$7)+IF(Topraklar!$K$3=Bitkiler!$C$37,0.002,IF(Topraklar!$L$3="Evet",0.001,0)))</f>
        <v/>
      </c>
      <c r="D38" s="16">
        <f>IF(OR(Topraklar!$J$4="Evet",AND(Topraklar!$L$4&lt;&gt;"Evet",Topraklar!$K$4&lt;&gt;Bitkiler!$C$37)),0,MAX(0,1-(Ayarlar!$B$2*ABS(Bitkiler!$D$37-Topraklar!$D$4)+Ayarlar!$B$3*ABS(Bitkiler!$E$37-Topraklar!$E$4)+Ayarlar!$B$4*ABS(Bitkiler!$F$37-Topraklar!$F$4)+Ayarlar!$B$5*ABS(Bitkiler!$G$37-Topraklar!$G$4)+Ayarlar!$B$6*IF(Bitkiler!$H$37=Topraklar!$H$4,0,1))/Ayarlar!$B$7)+IF(Topraklar!$K$4=Bitkiler!$C$37,0.002,IF(Topraklar!$L$4="Evet",0.001,0)))</f>
        <v/>
      </c>
      <c r="E38" s="16">
        <f>IF(OR(Topraklar!$J$5="Evet",AND(Topraklar!$L$5&lt;&gt;"Evet",Topraklar!$K$5&lt;&gt;Bitkiler!$C$37)),0,MAX(0,1-(Ayarlar!$B$2*ABS(Bitkiler!$D$37-Topraklar!$D$5)+Ayarlar!$B$3*ABS(Bitkiler!$E$37-Topraklar!$E$5)+Ayarlar!$B$4*ABS(Bitkiler!$F$37-Topraklar!$F$5)+Ayarlar!$B$5*ABS(Bitkiler!$G$37-Topraklar!$G$5)+Ayarlar!$B$6*IF(Bitkiler!$H$37=Topraklar!$H$5,0,1))/Ayarlar!$B$7)+IF(Topraklar!$K$5=Bitkiler!$C$37,0.002,IF(Topraklar!$L$5="Evet",0.001,0)))</f>
        <v/>
      </c>
      <c r="F38" s="16">
        <f>IF(OR(Topraklar!$J$6="Evet",AND(Topraklar!$L$6&lt;&gt;"Evet",Topraklar!$K$6&lt;&gt;Bitkiler!$C$37)),0,MAX(0,1-(Ayarlar!$B$2*ABS(Bitkiler!$D$37-Topraklar!$D$6)+Ayarlar!$B$3*ABS(Bitkiler!$E$37-Topraklar!$E$6)+Ayarlar!$B$4*ABS(Bitkiler!$F$37-Topraklar!$F$6)+Ayarlar!$B$5*ABS(Bitkiler!$G$37-Topraklar!$G$6)+Ayarlar!$B$6*IF(Bitkiler!$H$37=Topraklar!$H$6,0,1))/Ayarlar!$B$7)+IF(Topraklar!$K$6=Bitkiler!$C$37,0.002,IF(Topraklar!$L$6="Evet",0.001,0)))</f>
        <v/>
      </c>
      <c r="G38" s="16">
        <f>IF(OR(Topraklar!$J$7="Evet",AND(Topraklar!$L$7&lt;&gt;"Evet",Topraklar!$K$7&lt;&gt;Bitkiler!$C$37)),0,MAX(0,1-(Ayarlar!$B$2*ABS(Bitkiler!$D$37-Topraklar!$D$7)+Ayarlar!$B$3*ABS(Bitkiler!$E$37-Topraklar!$E$7)+Ayarlar!$B$4*ABS(Bitkiler!$F$37-Topraklar!$F$7)+Ayarlar!$B$5*ABS(Bitkiler!$G$37-Topraklar!$G$7)+Ayarlar!$B$6*IF(Bitkiler!$H$37=Topraklar!$H$7,0,1))/Ayarlar!$B$7)+IF(Topraklar!$K$7=Bitkiler!$C$37,0.002,IF(Topraklar!$L$7="Evet",0.001,0)))</f>
        <v/>
      </c>
      <c r="H38" s="16">
        <f>IF(OR(Topraklar!$J$8="Evet",AND(Topraklar!$L$8&lt;&gt;"Evet",Topraklar!$K$8&lt;&gt;Bitkiler!$C$37)),0,MAX(0,1-(Ayarlar!$B$2*ABS(Bitkiler!$D$37-Topraklar!$D$8)+Ayarlar!$B$3*ABS(Bitkiler!$E$37-Topraklar!$E$8)+Ayarlar!$B$4*ABS(Bitkiler!$F$37-Topraklar!$F$8)+Ayarlar!$B$5*ABS(Bitkiler!$G$37-Topraklar!$G$8)+Ayarlar!$B$6*IF(Bitkiler!$H$37=Topraklar!$H$8,0,1))/Ayarlar!$B$7)+IF(Topraklar!$K$8=Bitkiler!$C$37,0.002,IF(Topraklar!$L$8="Evet",0.001,0)))</f>
        <v/>
      </c>
      <c r="I38" s="16">
        <f>IF(OR(Topraklar!$J$9="Evet",AND(Topraklar!$L$9&lt;&gt;"Evet",Topraklar!$K$9&lt;&gt;Bitkiler!$C$37)),0,MAX(0,1-(Ayarlar!$B$2*ABS(Bitkiler!$D$37-Topraklar!$D$9)+Ayarlar!$B$3*ABS(Bitkiler!$E$37-Topraklar!$E$9)+Ayarlar!$B$4*ABS(Bitkiler!$F$37-Topraklar!$F$9)+Ayarlar!$B$5*ABS(Bitkiler!$G$37-Topraklar!$G$9)+Ayarlar!$B$6*IF(Bitkiler!$H$37=Topraklar!$H$9,0,1))/Ayarlar!$B$7)+IF(Topraklar!$K$9=Bitkiler!$C$37,0.002,IF(Topraklar!$L$9="Evet",0.001,0)))</f>
        <v/>
      </c>
      <c r="J38" s="16">
        <f>IF(OR(Topraklar!$J$10="Evet",AND(Topraklar!$L$10&lt;&gt;"Evet",Topraklar!$K$10&lt;&gt;Bitkiler!$C$37)),0,MAX(0,1-(Ayarlar!$B$2*ABS(Bitkiler!$D$37-Topraklar!$D$10)+Ayarlar!$B$3*ABS(Bitkiler!$E$37-Topraklar!$E$10)+Ayarlar!$B$4*ABS(Bitkiler!$F$37-Topraklar!$F$10)+Ayarlar!$B$5*ABS(Bitkiler!$G$37-Topraklar!$G$10)+Ayarlar!$B$6*IF(Bitkiler!$H$37=Topraklar!$H$10,0,1))/Ayarlar!$B$7)+IF(Topraklar!$K$10=Bitkiler!$C$37,0.002,IF(Topraklar!$L$10="Evet",0.001,0)))</f>
        <v/>
      </c>
      <c r="K38" s="16">
        <f>IF(OR(Topraklar!$J$11="Evet",AND(Topraklar!$L$11&lt;&gt;"Evet",Topraklar!$K$11&lt;&gt;Bitkiler!$C$37)),0,MAX(0,1-(Ayarlar!$B$2*ABS(Bitkiler!$D$37-Topraklar!$D$11)+Ayarlar!$B$3*ABS(Bitkiler!$E$37-Topraklar!$E$11)+Ayarlar!$B$4*ABS(Bitkiler!$F$37-Topraklar!$F$11)+Ayarlar!$B$5*ABS(Bitkiler!$G$37-Topraklar!$G$11)+Ayarlar!$B$6*IF(Bitkiler!$H$37=Topraklar!$H$11,0,1))/Ayarlar!$B$7)+IF(Topraklar!$K$11=Bitkiler!$C$37,0.002,IF(Topraklar!$L$11="Evet",0.001,0)))</f>
        <v/>
      </c>
      <c r="L38" s="16">
        <f>IF(OR(Topraklar!$J$12="Evet",AND(Topraklar!$L$12&lt;&gt;"Evet",Topraklar!$K$12&lt;&gt;Bitkiler!$C$37)),0,MAX(0,1-(Ayarlar!$B$2*ABS(Bitkiler!$D$37-Topraklar!$D$12)+Ayarlar!$B$3*ABS(Bitkiler!$E$37-Topraklar!$E$12)+Ayarlar!$B$4*ABS(Bitkiler!$F$37-Topraklar!$F$12)+Ayarlar!$B$5*ABS(Bitkiler!$G$37-Topraklar!$G$12)+Ayarlar!$B$6*IF(Bitkiler!$H$37=Topraklar!$H$12,0,1))/Ayarlar!$B$7)+IF(Topraklar!$K$12=Bitkiler!$C$37,0.002,IF(Topraklar!$L$12="Evet",0.001,0)))</f>
        <v/>
      </c>
      <c r="M38" s="16">
        <f>IF(OR(Topraklar!$J$13="Evet",AND(Topraklar!$L$13&lt;&gt;"Evet",Topraklar!$K$13&lt;&gt;Bitkiler!$C$37)),0,MAX(0,1-(Ayarlar!$B$2*ABS(Bitkiler!$D$37-Topraklar!$D$13)+Ayarlar!$B$3*ABS(Bitkiler!$E$37-Topraklar!$E$13)+Ayarlar!$B$4*ABS(Bitkiler!$F$37-Topraklar!$F$13)+Ayarlar!$B$5*ABS(Bitkiler!$G$37-Topraklar!$G$13)+Ayarlar!$B$6*IF(Bitkiler!$H$37=Topraklar!$H$13,0,1))/Ayarlar!$B$7)+IF(Topraklar!$K$13=Bitkiler!$C$37,0.002,IF(Topraklar!$L$13="Evet",0.001,0)))</f>
        <v/>
      </c>
      <c r="N38" s="16">
        <f>IF(OR(Topraklar!$J$14="Evet",AND(Topraklar!$L$14&lt;&gt;"Evet",Topraklar!$K$14&lt;&gt;Bitkiler!$C$37)),0,MAX(0,1-(Ayarlar!$B$2*ABS(Bitkiler!$D$37-Topraklar!$D$14)+Ayarlar!$B$3*ABS(Bitkiler!$E$37-Topraklar!$E$14)+Ayarlar!$B$4*ABS(Bitkiler!$F$37-Topraklar!$F$14)+Ayarlar!$B$5*ABS(Bitkiler!$G$37-Topraklar!$G$14)+Ayarlar!$B$6*IF(Bitkiler!$H$37=Topraklar!$H$14,0,1))/Ayarlar!$B$7)+IF(Topraklar!$K$14=Bitkiler!$C$37,0.002,IF(Topraklar!$L$14="Evet",0.001,0)))</f>
        <v/>
      </c>
      <c r="O38" s="16">
        <f>IF(OR(Topraklar!$J$15="Evet",AND(Topraklar!$L$15&lt;&gt;"Evet",Topraklar!$K$15&lt;&gt;Bitkiler!$C$37)),0,MAX(0,1-(Ayarlar!$B$2*ABS(Bitkiler!$D$37-Topraklar!$D$15)+Ayarlar!$B$3*ABS(Bitkiler!$E$37-Topraklar!$E$15)+Ayarlar!$B$4*ABS(Bitkiler!$F$37-Topraklar!$F$15)+Ayarlar!$B$5*ABS(Bitkiler!$G$37-Topraklar!$G$15)+Ayarlar!$B$6*IF(Bitkiler!$H$37=Topraklar!$H$15,0,1))/Ayarlar!$B$7)+IF(Topraklar!$K$15=Bitkiler!$C$37,0.002,IF(Topraklar!$L$15="Evet",0.001,0)))</f>
        <v/>
      </c>
      <c r="P38" s="16">
        <f>IF(OR(Topraklar!$J$16="Evet",AND(Topraklar!$L$16&lt;&gt;"Evet",Topraklar!$K$16&lt;&gt;Bitkiler!$C$37)),0,MAX(0,1-(Ayarlar!$B$2*ABS(Bitkiler!$D$37-Topraklar!$D$16)+Ayarlar!$B$3*ABS(Bitkiler!$E$37-Topraklar!$E$16)+Ayarlar!$B$4*ABS(Bitkiler!$F$37-Topraklar!$F$16)+Ayarlar!$B$5*ABS(Bitkiler!$G$37-Topraklar!$G$16)+Ayarlar!$B$6*IF(Bitkiler!$H$37=Topraklar!$H$16,0,1))/Ayarlar!$B$7)+IF(Topraklar!$K$16=Bitkiler!$C$37,0.002,IF(Topraklar!$L$16="Evet",0.001,0)))</f>
        <v/>
      </c>
      <c r="Q38" s="16">
        <f>IF(OR(Topraklar!$J$17="Evet",AND(Topraklar!$L$17&lt;&gt;"Evet",Topraklar!$K$17&lt;&gt;Bitkiler!$C$37)),0,MAX(0,1-(Ayarlar!$B$2*ABS(Bitkiler!$D$37-Topraklar!$D$17)+Ayarlar!$B$3*ABS(Bitkiler!$E$37-Topraklar!$E$17)+Ayarlar!$B$4*ABS(Bitkiler!$F$37-Topraklar!$F$17)+Ayarlar!$B$5*ABS(Bitkiler!$G$37-Topraklar!$G$17)+Ayarlar!$B$6*IF(Bitkiler!$H$37=Topraklar!$H$17,0,1))/Ayarlar!$B$7)+IF(Topraklar!$K$17=Bitkiler!$C$37,0.002,IF(Topraklar!$L$17="Evet",0.001,0)))</f>
        <v/>
      </c>
      <c r="R38" s="16">
        <f>IF(OR(Topraklar!$J$18="Evet",AND(Topraklar!$L$18&lt;&gt;"Evet",Topraklar!$K$18&lt;&gt;Bitkiler!$C$37)),0,MAX(0,1-(Ayarlar!$B$2*ABS(Bitkiler!$D$37-Topraklar!$D$18)+Ayarlar!$B$3*ABS(Bitkiler!$E$37-Topraklar!$E$18)+Ayarlar!$B$4*ABS(Bitkiler!$F$37-Topraklar!$F$18)+Ayarlar!$B$5*ABS(Bitkiler!$G$37-Topraklar!$G$18)+Ayarlar!$B$6*IF(Bitkiler!$H$37=Topraklar!$H$18,0,1))/Ayarlar!$B$7)+IF(Topraklar!$K$18=Bitkiler!$C$37,0.002,IF(Topraklar!$L$18="Evet",0.001,0)))</f>
        <v/>
      </c>
      <c r="S38" s="16">
        <f>IF(OR(Topraklar!$J$19="Evet",AND(Topraklar!$L$19&lt;&gt;"Evet",Topraklar!$K$19&lt;&gt;Bitkiler!$C$37)),0,MAX(0,1-(Ayarlar!$B$2*ABS(Bitkiler!$D$37-Topraklar!$D$19)+Ayarlar!$B$3*ABS(Bitkiler!$E$37-Topraklar!$E$19)+Ayarlar!$B$4*ABS(Bitkiler!$F$37-Topraklar!$F$19)+Ayarlar!$B$5*ABS(Bitkiler!$G$37-Topraklar!$G$19)+Ayarlar!$B$6*IF(Bitkiler!$H$37=Topraklar!$H$19,0,1))/Ayarlar!$B$7)+IF(Topraklar!$K$19=Bitkiler!$C$37,0.002,IF(Topraklar!$L$19="Evet",0.001,0)))</f>
        <v/>
      </c>
      <c r="T38" s="16">
        <f>IF(OR(Topraklar!$J$20="Evet",AND(Topraklar!$L$20&lt;&gt;"Evet",Topraklar!$K$20&lt;&gt;Bitkiler!$C$37)),0,MAX(0,1-(Ayarlar!$B$2*ABS(Bitkiler!$D$37-Topraklar!$D$20)+Ayarlar!$B$3*ABS(Bitkiler!$E$37-Topraklar!$E$20)+Ayarlar!$B$4*ABS(Bitkiler!$F$37-Topraklar!$F$20)+Ayarlar!$B$5*ABS(Bitkiler!$G$37-Topraklar!$G$20)+Ayarlar!$B$6*IF(Bitkiler!$H$37=Topraklar!$H$20,0,1))/Ayarlar!$B$7)+IF(Topraklar!$K$20=Bitkiler!$C$37,0.002,IF(Topraklar!$L$20="Evet",0.001,0)))</f>
        <v/>
      </c>
      <c r="U38" s="16">
        <f>IF(OR(Topraklar!$J$21="Evet",AND(Topraklar!$L$21&lt;&gt;"Evet",Topraklar!$K$21&lt;&gt;Bitkiler!$C$37)),0,MAX(0,1-(Ayarlar!$B$2*ABS(Bitkiler!$D$37-Topraklar!$D$21)+Ayarlar!$B$3*ABS(Bitkiler!$E$37-Topraklar!$E$21)+Ayarlar!$B$4*ABS(Bitkiler!$F$37-Topraklar!$F$21)+Ayarlar!$B$5*ABS(Bitkiler!$G$37-Topraklar!$G$21)+Ayarlar!$B$6*IF(Bitkiler!$H$37=Topraklar!$H$21,0,1))/Ayarlar!$B$7)+IF(Topraklar!$K$21=Bitkiler!$C$37,0.002,IF(Topraklar!$L$21="Evet",0.001,0)))</f>
        <v/>
      </c>
      <c r="V38" s="16">
        <f>IF(OR(Topraklar!$J$22="Evet",AND(Topraklar!$L$22&lt;&gt;"Evet",Topraklar!$K$22&lt;&gt;Bitkiler!$C$37)),0,MAX(0,1-(Ayarlar!$B$2*ABS(Bitkiler!$D$37-Topraklar!$D$22)+Ayarlar!$B$3*ABS(Bitkiler!$E$37-Topraklar!$E$22)+Ayarlar!$B$4*ABS(Bitkiler!$F$37-Topraklar!$F$22)+Ayarlar!$B$5*ABS(Bitkiler!$G$37-Topraklar!$G$22)+Ayarlar!$B$6*IF(Bitkiler!$H$37=Topraklar!$H$22,0,1))/Ayarlar!$B$7)+IF(Topraklar!$K$22=Bitkiler!$C$37,0.002,IF(Topraklar!$L$22="Evet",0.001,0)))</f>
        <v/>
      </c>
      <c r="W38" s="16">
        <f>IF(OR(Topraklar!$J$23="Evet",AND(Topraklar!$L$23&lt;&gt;"Evet",Topraklar!$K$23&lt;&gt;Bitkiler!$C$37)),0,MAX(0,1-(Ayarlar!$B$2*ABS(Bitkiler!$D$37-Topraklar!$D$23)+Ayarlar!$B$3*ABS(Bitkiler!$E$37-Topraklar!$E$23)+Ayarlar!$B$4*ABS(Bitkiler!$F$37-Topraklar!$F$23)+Ayarlar!$B$5*ABS(Bitkiler!$G$37-Topraklar!$G$23)+Ayarlar!$B$6*IF(Bitkiler!$H$37=Topraklar!$H$23,0,1))/Ayarlar!$B$7)+IF(Topraklar!$K$23=Bitkiler!$C$37,0.002,IF(Topraklar!$L$23="Evet",0.001,0)))</f>
        <v/>
      </c>
      <c r="X38" s="16">
        <f>IF(OR(Topraklar!$J$24="Evet",AND(Topraklar!$L$24&lt;&gt;"Evet",Topraklar!$K$24&lt;&gt;Bitkiler!$C$37)),0,MAX(0,1-(Ayarlar!$B$2*ABS(Bitkiler!$D$37-Topraklar!$D$24)+Ayarlar!$B$3*ABS(Bitkiler!$E$37-Topraklar!$E$24)+Ayarlar!$B$4*ABS(Bitkiler!$F$37-Topraklar!$F$24)+Ayarlar!$B$5*ABS(Bitkiler!$G$37-Topraklar!$G$24)+Ayarlar!$B$6*IF(Bitkiler!$H$37=Topraklar!$H$24,0,1))/Ayarlar!$B$7)+IF(Topraklar!$K$24=Bitkiler!$C$37,0.002,IF(Topraklar!$L$24="Evet",0.001,0)))</f>
        <v/>
      </c>
      <c r="Y38" s="16">
        <f>IF(OR(Topraklar!$J$25="Evet",AND(Topraklar!$L$25&lt;&gt;"Evet",Topraklar!$K$25&lt;&gt;Bitkiler!$C$37)),0,MAX(0,1-(Ayarlar!$B$2*ABS(Bitkiler!$D$37-Topraklar!$D$25)+Ayarlar!$B$3*ABS(Bitkiler!$E$37-Topraklar!$E$25)+Ayarlar!$B$4*ABS(Bitkiler!$F$37-Topraklar!$F$25)+Ayarlar!$B$5*ABS(Bitkiler!$G$37-Topraklar!$G$25)+Ayarlar!$B$6*IF(Bitkiler!$H$37=Topraklar!$H$25,0,1))/Ayarlar!$B$7)+IF(Topraklar!$K$25=Bitkiler!$C$37,0.002,IF(Topraklar!$L$25="Evet",0.001,0)))</f>
        <v/>
      </c>
      <c r="Z38" s="16">
        <f>IF(OR(Topraklar!$J$26="Evet",AND(Topraklar!$L$26&lt;&gt;"Evet",Topraklar!$K$26&lt;&gt;Bitkiler!$C$37)),0,MAX(0,1-(Ayarlar!$B$2*ABS(Bitkiler!$D$37-Topraklar!$D$26)+Ayarlar!$B$3*ABS(Bitkiler!$E$37-Topraklar!$E$26)+Ayarlar!$B$4*ABS(Bitkiler!$F$37-Topraklar!$F$26)+Ayarlar!$B$5*ABS(Bitkiler!$G$37-Topraklar!$G$26)+Ayarlar!$B$6*IF(Bitkiler!$H$37=Topraklar!$H$26,0,1))/Ayarlar!$B$7)+IF(Topraklar!$K$26=Bitkiler!$C$37,0.002,IF(Topraklar!$L$26="Evet",0.001,0)))</f>
        <v/>
      </c>
      <c r="AA38" s="16">
        <f>IF(OR(Topraklar!$J$27="Evet",AND(Topraklar!$L$27&lt;&gt;"Evet",Topraklar!$K$27&lt;&gt;Bitkiler!$C$37)),0,MAX(0,1-(Ayarlar!$B$2*ABS(Bitkiler!$D$37-Topraklar!$D$27)+Ayarlar!$B$3*ABS(Bitkiler!$E$37-Topraklar!$E$27)+Ayarlar!$B$4*ABS(Bitkiler!$F$37-Topraklar!$F$27)+Ayarlar!$B$5*ABS(Bitkiler!$G$37-Topraklar!$G$27)+Ayarlar!$B$6*IF(Bitkiler!$H$37=Topraklar!$H$27,0,1))/Ayarlar!$B$7)+IF(Topraklar!$K$27=Bitkiler!$C$37,0.002,IF(Topraklar!$L$27="Evet",0.001,0)))</f>
        <v/>
      </c>
      <c r="AB38" s="16">
        <f>IF(OR(Topraklar!$J$28="Evet",AND(Topraklar!$L$28&lt;&gt;"Evet",Topraklar!$K$28&lt;&gt;Bitkiler!$C$37)),0,MAX(0,1-(Ayarlar!$B$2*ABS(Bitkiler!$D$37-Topraklar!$D$28)+Ayarlar!$B$3*ABS(Bitkiler!$E$37-Topraklar!$E$28)+Ayarlar!$B$4*ABS(Bitkiler!$F$37-Topraklar!$F$28)+Ayarlar!$B$5*ABS(Bitkiler!$G$37-Topraklar!$G$28)+Ayarlar!$B$6*IF(Bitkiler!$H$37=Topraklar!$H$28,0,1))/Ayarlar!$B$7)+IF(Topraklar!$K$28=Bitkiler!$C$37,0.002,IF(Topraklar!$L$28="Evet",0.001,0)))</f>
        <v/>
      </c>
      <c r="AC38" s="16">
        <f>IF(OR(Topraklar!$J$29="Evet",AND(Topraklar!$L$29&lt;&gt;"Evet",Topraklar!$K$29&lt;&gt;Bitkiler!$C$37)),0,MAX(0,1-(Ayarlar!$B$2*ABS(Bitkiler!$D$37-Topraklar!$D$29)+Ayarlar!$B$3*ABS(Bitkiler!$E$37-Topraklar!$E$29)+Ayarlar!$B$4*ABS(Bitkiler!$F$37-Topraklar!$F$29)+Ayarlar!$B$5*ABS(Bitkiler!$G$37-Topraklar!$G$29)+Ayarlar!$B$6*IF(Bitkiler!$H$37=Topraklar!$H$29,0,1))/Ayarlar!$B$7)+IF(Topraklar!$K$29=Bitkiler!$C$37,0.002,IF(Topraklar!$L$29="Evet",0.001,0)))</f>
        <v/>
      </c>
      <c r="AD38" s="16">
        <f>IF(OR(Topraklar!$J$30="Evet",AND(Topraklar!$L$30&lt;&gt;"Evet",Topraklar!$K$30&lt;&gt;Bitkiler!$C$37)),0,MAX(0,1-(Ayarlar!$B$2*ABS(Bitkiler!$D$37-Topraklar!$D$30)+Ayarlar!$B$3*ABS(Bitkiler!$E$37-Topraklar!$E$30)+Ayarlar!$B$4*ABS(Bitkiler!$F$37-Topraklar!$F$30)+Ayarlar!$B$5*ABS(Bitkiler!$G$37-Topraklar!$G$30)+Ayarlar!$B$6*IF(Bitkiler!$H$37=Topraklar!$H$30,0,1))/Ayarlar!$B$7)+IF(Topraklar!$K$30=Bitkiler!$C$37,0.002,IF(Topraklar!$L$30="Evet",0.001,0)))</f>
        <v/>
      </c>
      <c r="AE38" s="16">
        <f>IF(OR(Topraklar!$J$31="Evet",AND(Topraklar!$L$31&lt;&gt;"Evet",Topraklar!$K$31&lt;&gt;Bitkiler!$C$37)),0,MAX(0,1-(Ayarlar!$B$2*ABS(Bitkiler!$D$37-Topraklar!$D$31)+Ayarlar!$B$3*ABS(Bitkiler!$E$37-Topraklar!$E$31)+Ayarlar!$B$4*ABS(Bitkiler!$F$37-Topraklar!$F$31)+Ayarlar!$B$5*ABS(Bitkiler!$G$37-Topraklar!$G$31)+Ayarlar!$B$6*IF(Bitkiler!$H$37=Topraklar!$H$31,0,1))/Ayarlar!$B$7)+IF(Topraklar!$K$31=Bitkiler!$C$37,0.002,IF(Topraklar!$L$31="Evet",0.001,0)))</f>
        <v/>
      </c>
      <c r="AF38" s="16">
        <f>IF(OR(Topraklar!$J$32="Evet",AND(Topraklar!$L$32&lt;&gt;"Evet",Topraklar!$K$32&lt;&gt;Bitkiler!$C$37)),0,MAX(0,1-(Ayarlar!$B$2*ABS(Bitkiler!$D$37-Topraklar!$D$32)+Ayarlar!$B$3*ABS(Bitkiler!$E$37-Topraklar!$E$32)+Ayarlar!$B$4*ABS(Bitkiler!$F$37-Topraklar!$F$32)+Ayarlar!$B$5*ABS(Bitkiler!$G$37-Topraklar!$G$32)+Ayarlar!$B$6*IF(Bitkiler!$H$37=Topraklar!$H$32,0,1))/Ayarlar!$B$7)+IF(Topraklar!$K$32=Bitkiler!$C$37,0.002,IF(Topraklar!$L$32="Evet",0.001,0)))</f>
        <v/>
      </c>
      <c r="AG38" s="16">
        <f>IF(OR(Topraklar!$J$33="Evet",AND(Topraklar!$L$33&lt;&gt;"Evet",Topraklar!$K$33&lt;&gt;Bitkiler!$C$37)),0,MAX(0,1-(Ayarlar!$B$2*ABS(Bitkiler!$D$37-Topraklar!$D$33)+Ayarlar!$B$3*ABS(Bitkiler!$E$37-Topraklar!$E$33)+Ayarlar!$B$4*ABS(Bitkiler!$F$37-Topraklar!$F$33)+Ayarlar!$B$5*ABS(Bitkiler!$G$37-Topraklar!$G$33)+Ayarlar!$B$6*IF(Bitkiler!$H$37=Topraklar!$H$33,0,1))/Ayarlar!$B$7)+IF(Topraklar!$K$33=Bitkiler!$C$37,0.002,IF(Topraklar!$L$33="Evet",0.001,0)))</f>
        <v/>
      </c>
      <c r="AH38" s="16">
        <f>IF(OR(Topraklar!$J$34="Evet",AND(Topraklar!$L$34&lt;&gt;"Evet",Topraklar!$K$34&lt;&gt;Bitkiler!$C$37)),0,MAX(0,1-(Ayarlar!$B$2*ABS(Bitkiler!$D$37-Topraklar!$D$34)+Ayarlar!$B$3*ABS(Bitkiler!$E$37-Topraklar!$E$34)+Ayarlar!$B$4*ABS(Bitkiler!$F$37-Topraklar!$F$34)+Ayarlar!$B$5*ABS(Bitkiler!$G$37-Topraklar!$G$34)+Ayarlar!$B$6*IF(Bitkiler!$H$37=Topraklar!$H$34,0,1))/Ayarlar!$B$7)+IF(Topraklar!$K$34=Bitkiler!$C$37,0.002,IF(Topraklar!$L$34="Evet",0.001,0)))</f>
        <v/>
      </c>
      <c r="AI38" s="16">
        <f>IF(OR(Topraklar!$J$35="Evet",AND(Topraklar!$L$35&lt;&gt;"Evet",Topraklar!$K$35&lt;&gt;Bitkiler!$C$37)),0,MAX(0,1-(Ayarlar!$B$2*ABS(Bitkiler!$D$37-Topraklar!$D$35)+Ayarlar!$B$3*ABS(Bitkiler!$E$37-Topraklar!$E$35)+Ayarlar!$B$4*ABS(Bitkiler!$F$37-Topraklar!$F$35)+Ayarlar!$B$5*ABS(Bitkiler!$G$37-Topraklar!$G$35)+Ayarlar!$B$6*IF(Bitkiler!$H$37=Topraklar!$H$35,0,1))/Ayarlar!$B$7)+IF(Topraklar!$K$35=Bitkiler!$C$37,0.002,IF(Topraklar!$L$35="Evet",0.001,0)))</f>
        <v/>
      </c>
      <c r="AJ38" s="16">
        <f>IF(OR(Topraklar!$J$36="Evet",AND(Topraklar!$L$36&lt;&gt;"Evet",Topraklar!$K$36&lt;&gt;Bitkiler!$C$37)),0,MAX(0,1-(Ayarlar!$B$2*ABS(Bitkiler!$D$37-Topraklar!$D$36)+Ayarlar!$B$3*ABS(Bitkiler!$E$37-Topraklar!$E$36)+Ayarlar!$B$4*ABS(Bitkiler!$F$37-Topraklar!$F$36)+Ayarlar!$B$5*ABS(Bitkiler!$G$37-Topraklar!$G$36)+Ayarlar!$B$6*IF(Bitkiler!$H$37=Topraklar!$H$36,0,1))/Ayarlar!$B$7)+IF(Topraklar!$K$36=Bitkiler!$C$37,0.002,IF(Topraklar!$L$36="Evet",0.001,0)))</f>
        <v/>
      </c>
      <c r="AK38" s="16">
        <f>IF(OR(Topraklar!$J$37="Evet",AND(Topraklar!$L$37&lt;&gt;"Evet",Topraklar!$K$37&lt;&gt;Bitkiler!$C$37)),0,MAX(0,1-(Ayarlar!$B$2*ABS(Bitkiler!$D$37-Topraklar!$D$37)+Ayarlar!$B$3*ABS(Bitkiler!$E$37-Topraklar!$E$37)+Ayarlar!$B$4*ABS(Bitkiler!$F$37-Topraklar!$F$37)+Ayarlar!$B$5*ABS(Bitkiler!$G$37-Topraklar!$G$37)+Ayarlar!$B$6*IF(Bitkiler!$H$37=Topraklar!$H$37,0,1))/Ayarlar!$B$7)+IF(Topraklar!$K$37=Bitkiler!$C$37,0.002,IF(Topraklar!$L$37="Evet",0.001,0)))</f>
        <v/>
      </c>
      <c r="AL38" s="16">
        <f>IF(OR(Topraklar!$J$38="Evet",AND(Topraklar!$L$38&lt;&gt;"Evet",Topraklar!$K$38&lt;&gt;Bitkiler!$C$37)),0,MAX(0,1-(Ayarlar!$B$2*ABS(Bitkiler!$D$37-Topraklar!$D$38)+Ayarlar!$B$3*ABS(Bitkiler!$E$37-Topraklar!$E$38)+Ayarlar!$B$4*ABS(Bitkiler!$F$37-Topraklar!$F$38)+Ayarlar!$B$5*ABS(Bitkiler!$G$37-Topraklar!$G$38)+Ayarlar!$B$6*IF(Bitkiler!$H$37=Topraklar!$H$38,0,1))/Ayarlar!$B$7)+IF(Topraklar!$K$38=Bitkiler!$C$37,0.002,IF(Topraklar!$L$38="Evet",0.001,0)))</f>
        <v/>
      </c>
      <c r="AM38" s="16">
        <f>IF(OR(Topraklar!$J$39="Evet",AND(Topraklar!$L$39&lt;&gt;"Evet",Topraklar!$K$39&lt;&gt;Bitkiler!$C$37)),0,MAX(0,1-(Ayarlar!$B$2*ABS(Bitkiler!$D$37-Topraklar!$D$39)+Ayarlar!$B$3*ABS(Bitkiler!$E$37-Topraklar!$E$39)+Ayarlar!$B$4*ABS(Bitkiler!$F$37-Topraklar!$F$39)+Ayarlar!$B$5*ABS(Bitkiler!$G$37-Topraklar!$G$39)+Ayarlar!$B$6*IF(Bitkiler!$H$37=Topraklar!$H$39,0,1))/Ayarlar!$B$7)+IF(Topraklar!$K$39=Bitkiler!$C$37,0.002,IF(Topraklar!$L$39="Evet",0.001,0)))</f>
        <v/>
      </c>
      <c r="AN38" s="16">
        <f>IF(OR(Topraklar!$J$40="Evet",AND(Topraklar!$L$40&lt;&gt;"Evet",Topraklar!$K$40&lt;&gt;Bitkiler!$C$37)),0,MAX(0,1-(Ayarlar!$B$2*ABS(Bitkiler!$D$37-Topraklar!$D$40)+Ayarlar!$B$3*ABS(Bitkiler!$E$37-Topraklar!$E$40)+Ayarlar!$B$4*ABS(Bitkiler!$F$37-Topraklar!$F$40)+Ayarlar!$B$5*ABS(Bitkiler!$G$37-Topraklar!$G$40)+Ayarlar!$B$6*IF(Bitkiler!$H$37=Topraklar!$H$40,0,1))/Ayarlar!$B$7)+IF(Topraklar!$K$40=Bitkiler!$C$37,0.002,IF(Topraklar!$L$40="Evet",0.001,0)))</f>
        <v/>
      </c>
      <c r="AO38" s="16">
        <f>IF(OR(Topraklar!$J$41="Evet",AND(Topraklar!$L$41&lt;&gt;"Evet",Topraklar!$K$41&lt;&gt;Bitkiler!$C$37)),0,MAX(0,1-(Ayarlar!$B$2*ABS(Bitkiler!$D$37-Topraklar!$D$41)+Ayarlar!$B$3*ABS(Bitkiler!$E$37-Topraklar!$E$41)+Ayarlar!$B$4*ABS(Bitkiler!$F$37-Topraklar!$F$41)+Ayarlar!$B$5*ABS(Bitkiler!$G$37-Topraklar!$G$41)+Ayarlar!$B$6*IF(Bitkiler!$H$37=Topraklar!$H$41,0,1))/Ayarlar!$B$7)+IF(Topraklar!$K$41=Bitkiler!$C$37,0.002,IF(Topraklar!$L$41="Evet",0.001,0)))</f>
        <v/>
      </c>
      <c r="AP38" s="16">
        <f>IF(OR(Topraklar!$J$42="Evet",AND(Topraklar!$L$42&lt;&gt;"Evet",Topraklar!$K$42&lt;&gt;Bitkiler!$C$37)),0,MAX(0,1-(Ayarlar!$B$2*ABS(Bitkiler!$D$37-Topraklar!$D$42)+Ayarlar!$B$3*ABS(Bitkiler!$E$37-Topraklar!$E$42)+Ayarlar!$B$4*ABS(Bitkiler!$F$37-Topraklar!$F$42)+Ayarlar!$B$5*ABS(Bitkiler!$G$37-Topraklar!$G$42)+Ayarlar!$B$6*IF(Bitkiler!$H$37=Topraklar!$H$42,0,1))/Ayarlar!$B$7)+IF(Topraklar!$K$42=Bitkiler!$C$37,0.002,IF(Topraklar!$L$42="Evet",0.001,0)))</f>
        <v/>
      </c>
      <c r="AQ38" s="16">
        <f>IF(OR(Topraklar!$J$43="Evet",AND(Topraklar!$L$43&lt;&gt;"Evet",Topraklar!$K$43&lt;&gt;Bitkiler!$C$37)),0,MAX(0,1-(Ayarlar!$B$2*ABS(Bitkiler!$D$37-Topraklar!$D$43)+Ayarlar!$B$3*ABS(Bitkiler!$E$37-Topraklar!$E$43)+Ayarlar!$B$4*ABS(Bitkiler!$F$37-Topraklar!$F$43)+Ayarlar!$B$5*ABS(Bitkiler!$G$37-Topraklar!$G$43)+Ayarlar!$B$6*IF(Bitkiler!$H$37=Topraklar!$H$43,0,1))/Ayarlar!$B$7)+IF(Topraklar!$K$43=Bitkiler!$C$37,0.002,IF(Topraklar!$L$43="Evet",0.001,0)))</f>
        <v/>
      </c>
      <c r="AR38" s="16">
        <f>IF(OR(Topraklar!$J$44="Evet",AND(Topraklar!$L$44&lt;&gt;"Evet",Topraklar!$K$44&lt;&gt;Bitkiler!$C$37)),0,MAX(0,1-(Ayarlar!$B$2*ABS(Bitkiler!$D$37-Topraklar!$D$44)+Ayarlar!$B$3*ABS(Bitkiler!$E$37-Topraklar!$E$44)+Ayarlar!$B$4*ABS(Bitkiler!$F$37-Topraklar!$F$44)+Ayarlar!$B$5*ABS(Bitkiler!$G$37-Topraklar!$G$44)+Ayarlar!$B$6*IF(Bitkiler!$H$37=Topraklar!$H$44,0,1))/Ayarlar!$B$7)+IF(Topraklar!$K$44=Bitkiler!$C$37,0.002,IF(Topraklar!$L$44="Evet",0.001,0)))</f>
        <v/>
      </c>
      <c r="AS38" s="16">
        <f>IF(OR(Topraklar!$J$45="Evet",AND(Topraklar!$L$45&lt;&gt;"Evet",Topraklar!$K$45&lt;&gt;Bitkiler!$C$37)),0,MAX(0,1-(Ayarlar!$B$2*ABS(Bitkiler!$D$37-Topraklar!$D$45)+Ayarlar!$B$3*ABS(Bitkiler!$E$37-Topraklar!$E$45)+Ayarlar!$B$4*ABS(Bitkiler!$F$37-Topraklar!$F$45)+Ayarlar!$B$5*ABS(Bitkiler!$G$37-Topraklar!$G$45)+Ayarlar!$B$6*IF(Bitkiler!$H$37=Topraklar!$H$45,0,1))/Ayarlar!$B$7)+IF(Topraklar!$K$45=Bitkiler!$C$37,0.002,IF(Topraklar!$L$45="Evet",0.001,0)))</f>
        <v/>
      </c>
      <c r="AT38" s="16">
        <f>IF(OR(Topraklar!$J$46="Evet",AND(Topraklar!$L$46&lt;&gt;"Evet",Topraklar!$K$46&lt;&gt;Bitkiler!$C$37)),0,MAX(0,1-(Ayarlar!$B$2*ABS(Bitkiler!$D$37-Topraklar!$D$46)+Ayarlar!$B$3*ABS(Bitkiler!$E$37-Topraklar!$E$46)+Ayarlar!$B$4*ABS(Bitkiler!$F$37-Topraklar!$F$46)+Ayarlar!$B$5*ABS(Bitkiler!$G$37-Topraklar!$G$46)+Ayarlar!$B$6*IF(Bitkiler!$H$37=Topraklar!$H$46,0,1))/Ayarlar!$B$7)+IF(Topraklar!$K$46=Bitkiler!$C$37,0.002,IF(Topraklar!$L$46="Evet",0.001,0)))</f>
        <v/>
      </c>
      <c r="AU38" s="16">
        <f>IF(OR(Topraklar!$J$47="Evet",AND(Topraklar!$L$47&lt;&gt;"Evet",Topraklar!$K$47&lt;&gt;Bitkiler!$C$37)),0,MAX(0,1-(Ayarlar!$B$2*ABS(Bitkiler!$D$37-Topraklar!$D$47)+Ayarlar!$B$3*ABS(Bitkiler!$E$37-Topraklar!$E$47)+Ayarlar!$B$4*ABS(Bitkiler!$F$37-Topraklar!$F$47)+Ayarlar!$B$5*ABS(Bitkiler!$G$37-Topraklar!$G$47)+Ayarlar!$B$6*IF(Bitkiler!$H$37=Topraklar!$H$47,0,1))/Ayarlar!$B$7)+IF(Topraklar!$K$47=Bitkiler!$C$37,0.002,IF(Topraklar!$L$47="Evet",0.001,0)))</f>
        <v/>
      </c>
      <c r="AV38" s="16">
        <f>IF(OR(Topraklar!$J$48="Evet",AND(Topraklar!$L$48&lt;&gt;"Evet",Topraklar!$K$48&lt;&gt;Bitkiler!$C$37)),0,MAX(0,1-(Ayarlar!$B$2*ABS(Bitkiler!$D$37-Topraklar!$D$48)+Ayarlar!$B$3*ABS(Bitkiler!$E$37-Topraklar!$E$48)+Ayarlar!$B$4*ABS(Bitkiler!$F$37-Topraklar!$F$48)+Ayarlar!$B$5*ABS(Bitkiler!$G$37-Topraklar!$G$48)+Ayarlar!$B$6*IF(Bitkiler!$H$37=Topraklar!$H$48,0,1))/Ayarlar!$B$7)+IF(Topraklar!$K$48=Bitkiler!$C$37,0.002,IF(Topraklar!$L$48="Evet",0.001,0)))</f>
        <v/>
      </c>
      <c r="AW38" s="16">
        <f>IF(OR(Topraklar!$J$49="Evet",AND(Topraklar!$L$49&lt;&gt;"Evet",Topraklar!$K$49&lt;&gt;Bitkiler!$C$37)),0,MAX(0,1-(Ayarlar!$B$2*ABS(Bitkiler!$D$37-Topraklar!$D$49)+Ayarlar!$B$3*ABS(Bitkiler!$E$37-Topraklar!$E$49)+Ayarlar!$B$4*ABS(Bitkiler!$F$37-Topraklar!$F$49)+Ayarlar!$B$5*ABS(Bitkiler!$G$37-Topraklar!$G$49)+Ayarlar!$B$6*IF(Bitkiler!$H$37=Topraklar!$H$49,0,1))/Ayarlar!$B$7)+IF(Topraklar!$K$49=Bitkiler!$C$37,0.002,IF(Topraklar!$L$49="Evet",0.001,0)))</f>
        <v/>
      </c>
      <c r="AX38" s="16">
        <f>IF(OR(Topraklar!$J$50="Evet",AND(Topraklar!$L$50&lt;&gt;"Evet",Topraklar!$K$50&lt;&gt;Bitkiler!$C$37)),0,MAX(0,1-(Ayarlar!$B$2*ABS(Bitkiler!$D$37-Topraklar!$D$50)+Ayarlar!$B$3*ABS(Bitkiler!$E$37-Topraklar!$E$50)+Ayarlar!$B$4*ABS(Bitkiler!$F$37-Topraklar!$F$50)+Ayarlar!$B$5*ABS(Bitkiler!$G$37-Topraklar!$G$50)+Ayarlar!$B$6*IF(Bitkiler!$H$37=Topraklar!$H$50,0,1))/Ayarlar!$B$7)+IF(Topraklar!$K$50=Bitkiler!$C$37,0.002,IF(Topraklar!$L$50="Evet",0.001,0)))</f>
        <v/>
      </c>
      <c r="AY38" s="16">
        <f>IF(OR(Topraklar!$J$51="Evet",AND(Topraklar!$L$51&lt;&gt;"Evet",Topraklar!$K$51&lt;&gt;Bitkiler!$C$37)),0,MAX(0,1-(Ayarlar!$B$2*ABS(Bitkiler!$D$37-Topraklar!$D$51)+Ayarlar!$B$3*ABS(Bitkiler!$E$37-Topraklar!$E$51)+Ayarlar!$B$4*ABS(Bitkiler!$F$37-Topraklar!$F$51)+Ayarlar!$B$5*ABS(Bitkiler!$G$37-Topraklar!$G$51)+Ayarlar!$B$6*IF(Bitkiler!$H$37=Topraklar!$H$51,0,1))/Ayarlar!$B$7)+IF(Topraklar!$K$51=Bitkiler!$C$37,0.002,IF(Topraklar!$L$51="Evet",0.001,0)))</f>
        <v/>
      </c>
    </row>
    <row r="39">
      <c r="A39" s="15">
        <f>Bitkiler!A38</f>
        <v/>
      </c>
      <c r="B39" s="16">
        <f>IF(OR(Topraklar!$J$2="Evet",AND(Topraklar!$L$2&lt;&gt;"Evet",Topraklar!$K$2&lt;&gt;Bitkiler!$C$38)),0,MAX(0,1-(Ayarlar!$B$2*ABS(Bitkiler!$D$38-Topraklar!$D$2)+Ayarlar!$B$3*ABS(Bitkiler!$E$38-Topraklar!$E$2)+Ayarlar!$B$4*ABS(Bitkiler!$F$38-Topraklar!$F$2)+Ayarlar!$B$5*ABS(Bitkiler!$G$38-Topraklar!$G$2)+Ayarlar!$B$6*IF(Bitkiler!$H$38=Topraklar!$H$2,0,1))/Ayarlar!$B$7)+IF(Topraklar!$K$2=Bitkiler!$C$38,0.002,IF(Topraklar!$L$2="Evet",0.001,0)))</f>
        <v/>
      </c>
      <c r="C39" s="16">
        <f>IF(OR(Topraklar!$J$3="Evet",AND(Topraklar!$L$3&lt;&gt;"Evet",Topraklar!$K$3&lt;&gt;Bitkiler!$C$38)),0,MAX(0,1-(Ayarlar!$B$2*ABS(Bitkiler!$D$38-Topraklar!$D$3)+Ayarlar!$B$3*ABS(Bitkiler!$E$38-Topraklar!$E$3)+Ayarlar!$B$4*ABS(Bitkiler!$F$38-Topraklar!$F$3)+Ayarlar!$B$5*ABS(Bitkiler!$G$38-Topraklar!$G$3)+Ayarlar!$B$6*IF(Bitkiler!$H$38=Topraklar!$H$3,0,1))/Ayarlar!$B$7)+IF(Topraklar!$K$3=Bitkiler!$C$38,0.002,IF(Topraklar!$L$3="Evet",0.001,0)))</f>
        <v/>
      </c>
      <c r="D39" s="16">
        <f>IF(OR(Topraklar!$J$4="Evet",AND(Topraklar!$L$4&lt;&gt;"Evet",Topraklar!$K$4&lt;&gt;Bitkiler!$C$38)),0,MAX(0,1-(Ayarlar!$B$2*ABS(Bitkiler!$D$38-Topraklar!$D$4)+Ayarlar!$B$3*ABS(Bitkiler!$E$38-Topraklar!$E$4)+Ayarlar!$B$4*ABS(Bitkiler!$F$38-Topraklar!$F$4)+Ayarlar!$B$5*ABS(Bitkiler!$G$38-Topraklar!$G$4)+Ayarlar!$B$6*IF(Bitkiler!$H$38=Topraklar!$H$4,0,1))/Ayarlar!$B$7)+IF(Topraklar!$K$4=Bitkiler!$C$38,0.002,IF(Topraklar!$L$4="Evet",0.001,0)))</f>
        <v/>
      </c>
      <c r="E39" s="16">
        <f>IF(OR(Topraklar!$J$5="Evet",AND(Topraklar!$L$5&lt;&gt;"Evet",Topraklar!$K$5&lt;&gt;Bitkiler!$C$38)),0,MAX(0,1-(Ayarlar!$B$2*ABS(Bitkiler!$D$38-Topraklar!$D$5)+Ayarlar!$B$3*ABS(Bitkiler!$E$38-Topraklar!$E$5)+Ayarlar!$B$4*ABS(Bitkiler!$F$38-Topraklar!$F$5)+Ayarlar!$B$5*ABS(Bitkiler!$G$38-Topraklar!$G$5)+Ayarlar!$B$6*IF(Bitkiler!$H$38=Topraklar!$H$5,0,1))/Ayarlar!$B$7)+IF(Topraklar!$K$5=Bitkiler!$C$38,0.002,IF(Topraklar!$L$5="Evet",0.001,0)))</f>
        <v/>
      </c>
      <c r="F39" s="16">
        <f>IF(OR(Topraklar!$J$6="Evet",AND(Topraklar!$L$6&lt;&gt;"Evet",Topraklar!$K$6&lt;&gt;Bitkiler!$C$38)),0,MAX(0,1-(Ayarlar!$B$2*ABS(Bitkiler!$D$38-Topraklar!$D$6)+Ayarlar!$B$3*ABS(Bitkiler!$E$38-Topraklar!$E$6)+Ayarlar!$B$4*ABS(Bitkiler!$F$38-Topraklar!$F$6)+Ayarlar!$B$5*ABS(Bitkiler!$G$38-Topraklar!$G$6)+Ayarlar!$B$6*IF(Bitkiler!$H$38=Topraklar!$H$6,0,1))/Ayarlar!$B$7)+IF(Topraklar!$K$6=Bitkiler!$C$38,0.002,IF(Topraklar!$L$6="Evet",0.001,0)))</f>
        <v/>
      </c>
      <c r="G39" s="16">
        <f>IF(OR(Topraklar!$J$7="Evet",AND(Topraklar!$L$7&lt;&gt;"Evet",Topraklar!$K$7&lt;&gt;Bitkiler!$C$38)),0,MAX(0,1-(Ayarlar!$B$2*ABS(Bitkiler!$D$38-Topraklar!$D$7)+Ayarlar!$B$3*ABS(Bitkiler!$E$38-Topraklar!$E$7)+Ayarlar!$B$4*ABS(Bitkiler!$F$38-Topraklar!$F$7)+Ayarlar!$B$5*ABS(Bitkiler!$G$38-Topraklar!$G$7)+Ayarlar!$B$6*IF(Bitkiler!$H$38=Topraklar!$H$7,0,1))/Ayarlar!$B$7)+IF(Topraklar!$K$7=Bitkiler!$C$38,0.002,IF(Topraklar!$L$7="Evet",0.001,0)))</f>
        <v/>
      </c>
      <c r="H39" s="16">
        <f>IF(OR(Topraklar!$J$8="Evet",AND(Topraklar!$L$8&lt;&gt;"Evet",Topraklar!$K$8&lt;&gt;Bitkiler!$C$38)),0,MAX(0,1-(Ayarlar!$B$2*ABS(Bitkiler!$D$38-Topraklar!$D$8)+Ayarlar!$B$3*ABS(Bitkiler!$E$38-Topraklar!$E$8)+Ayarlar!$B$4*ABS(Bitkiler!$F$38-Topraklar!$F$8)+Ayarlar!$B$5*ABS(Bitkiler!$G$38-Topraklar!$G$8)+Ayarlar!$B$6*IF(Bitkiler!$H$38=Topraklar!$H$8,0,1))/Ayarlar!$B$7)+IF(Topraklar!$K$8=Bitkiler!$C$38,0.002,IF(Topraklar!$L$8="Evet",0.001,0)))</f>
        <v/>
      </c>
      <c r="I39" s="16">
        <f>IF(OR(Topraklar!$J$9="Evet",AND(Topraklar!$L$9&lt;&gt;"Evet",Topraklar!$K$9&lt;&gt;Bitkiler!$C$38)),0,MAX(0,1-(Ayarlar!$B$2*ABS(Bitkiler!$D$38-Topraklar!$D$9)+Ayarlar!$B$3*ABS(Bitkiler!$E$38-Topraklar!$E$9)+Ayarlar!$B$4*ABS(Bitkiler!$F$38-Topraklar!$F$9)+Ayarlar!$B$5*ABS(Bitkiler!$G$38-Topraklar!$G$9)+Ayarlar!$B$6*IF(Bitkiler!$H$38=Topraklar!$H$9,0,1))/Ayarlar!$B$7)+IF(Topraklar!$K$9=Bitkiler!$C$38,0.002,IF(Topraklar!$L$9="Evet",0.001,0)))</f>
        <v/>
      </c>
      <c r="J39" s="16">
        <f>IF(OR(Topraklar!$J$10="Evet",AND(Topraklar!$L$10&lt;&gt;"Evet",Topraklar!$K$10&lt;&gt;Bitkiler!$C$38)),0,MAX(0,1-(Ayarlar!$B$2*ABS(Bitkiler!$D$38-Topraklar!$D$10)+Ayarlar!$B$3*ABS(Bitkiler!$E$38-Topraklar!$E$10)+Ayarlar!$B$4*ABS(Bitkiler!$F$38-Topraklar!$F$10)+Ayarlar!$B$5*ABS(Bitkiler!$G$38-Topraklar!$G$10)+Ayarlar!$B$6*IF(Bitkiler!$H$38=Topraklar!$H$10,0,1))/Ayarlar!$B$7)+IF(Topraklar!$K$10=Bitkiler!$C$38,0.002,IF(Topraklar!$L$10="Evet",0.001,0)))</f>
        <v/>
      </c>
      <c r="K39" s="16">
        <f>IF(OR(Topraklar!$J$11="Evet",AND(Topraklar!$L$11&lt;&gt;"Evet",Topraklar!$K$11&lt;&gt;Bitkiler!$C$38)),0,MAX(0,1-(Ayarlar!$B$2*ABS(Bitkiler!$D$38-Topraklar!$D$11)+Ayarlar!$B$3*ABS(Bitkiler!$E$38-Topraklar!$E$11)+Ayarlar!$B$4*ABS(Bitkiler!$F$38-Topraklar!$F$11)+Ayarlar!$B$5*ABS(Bitkiler!$G$38-Topraklar!$G$11)+Ayarlar!$B$6*IF(Bitkiler!$H$38=Topraklar!$H$11,0,1))/Ayarlar!$B$7)+IF(Topraklar!$K$11=Bitkiler!$C$38,0.002,IF(Topraklar!$L$11="Evet",0.001,0)))</f>
        <v/>
      </c>
      <c r="L39" s="16">
        <f>IF(OR(Topraklar!$J$12="Evet",AND(Topraklar!$L$12&lt;&gt;"Evet",Topraklar!$K$12&lt;&gt;Bitkiler!$C$38)),0,MAX(0,1-(Ayarlar!$B$2*ABS(Bitkiler!$D$38-Topraklar!$D$12)+Ayarlar!$B$3*ABS(Bitkiler!$E$38-Topraklar!$E$12)+Ayarlar!$B$4*ABS(Bitkiler!$F$38-Topraklar!$F$12)+Ayarlar!$B$5*ABS(Bitkiler!$G$38-Topraklar!$G$12)+Ayarlar!$B$6*IF(Bitkiler!$H$38=Topraklar!$H$12,0,1))/Ayarlar!$B$7)+IF(Topraklar!$K$12=Bitkiler!$C$38,0.002,IF(Topraklar!$L$12="Evet",0.001,0)))</f>
        <v/>
      </c>
      <c r="M39" s="16">
        <f>IF(OR(Topraklar!$J$13="Evet",AND(Topraklar!$L$13&lt;&gt;"Evet",Topraklar!$K$13&lt;&gt;Bitkiler!$C$38)),0,MAX(0,1-(Ayarlar!$B$2*ABS(Bitkiler!$D$38-Topraklar!$D$13)+Ayarlar!$B$3*ABS(Bitkiler!$E$38-Topraklar!$E$13)+Ayarlar!$B$4*ABS(Bitkiler!$F$38-Topraklar!$F$13)+Ayarlar!$B$5*ABS(Bitkiler!$G$38-Topraklar!$G$13)+Ayarlar!$B$6*IF(Bitkiler!$H$38=Topraklar!$H$13,0,1))/Ayarlar!$B$7)+IF(Topraklar!$K$13=Bitkiler!$C$38,0.002,IF(Topraklar!$L$13="Evet",0.001,0)))</f>
        <v/>
      </c>
      <c r="N39" s="16">
        <f>IF(OR(Topraklar!$J$14="Evet",AND(Topraklar!$L$14&lt;&gt;"Evet",Topraklar!$K$14&lt;&gt;Bitkiler!$C$38)),0,MAX(0,1-(Ayarlar!$B$2*ABS(Bitkiler!$D$38-Topraklar!$D$14)+Ayarlar!$B$3*ABS(Bitkiler!$E$38-Topraklar!$E$14)+Ayarlar!$B$4*ABS(Bitkiler!$F$38-Topraklar!$F$14)+Ayarlar!$B$5*ABS(Bitkiler!$G$38-Topraklar!$G$14)+Ayarlar!$B$6*IF(Bitkiler!$H$38=Topraklar!$H$14,0,1))/Ayarlar!$B$7)+IF(Topraklar!$K$14=Bitkiler!$C$38,0.002,IF(Topraklar!$L$14="Evet",0.001,0)))</f>
        <v/>
      </c>
      <c r="O39" s="16">
        <f>IF(OR(Topraklar!$J$15="Evet",AND(Topraklar!$L$15&lt;&gt;"Evet",Topraklar!$K$15&lt;&gt;Bitkiler!$C$38)),0,MAX(0,1-(Ayarlar!$B$2*ABS(Bitkiler!$D$38-Topraklar!$D$15)+Ayarlar!$B$3*ABS(Bitkiler!$E$38-Topraklar!$E$15)+Ayarlar!$B$4*ABS(Bitkiler!$F$38-Topraklar!$F$15)+Ayarlar!$B$5*ABS(Bitkiler!$G$38-Topraklar!$G$15)+Ayarlar!$B$6*IF(Bitkiler!$H$38=Topraklar!$H$15,0,1))/Ayarlar!$B$7)+IF(Topraklar!$K$15=Bitkiler!$C$38,0.002,IF(Topraklar!$L$15="Evet",0.001,0)))</f>
        <v/>
      </c>
      <c r="P39" s="16">
        <f>IF(OR(Topraklar!$J$16="Evet",AND(Topraklar!$L$16&lt;&gt;"Evet",Topraklar!$K$16&lt;&gt;Bitkiler!$C$38)),0,MAX(0,1-(Ayarlar!$B$2*ABS(Bitkiler!$D$38-Topraklar!$D$16)+Ayarlar!$B$3*ABS(Bitkiler!$E$38-Topraklar!$E$16)+Ayarlar!$B$4*ABS(Bitkiler!$F$38-Topraklar!$F$16)+Ayarlar!$B$5*ABS(Bitkiler!$G$38-Topraklar!$G$16)+Ayarlar!$B$6*IF(Bitkiler!$H$38=Topraklar!$H$16,0,1))/Ayarlar!$B$7)+IF(Topraklar!$K$16=Bitkiler!$C$38,0.002,IF(Topraklar!$L$16="Evet",0.001,0)))</f>
        <v/>
      </c>
      <c r="Q39" s="16">
        <f>IF(OR(Topraklar!$J$17="Evet",AND(Topraklar!$L$17&lt;&gt;"Evet",Topraklar!$K$17&lt;&gt;Bitkiler!$C$38)),0,MAX(0,1-(Ayarlar!$B$2*ABS(Bitkiler!$D$38-Topraklar!$D$17)+Ayarlar!$B$3*ABS(Bitkiler!$E$38-Topraklar!$E$17)+Ayarlar!$B$4*ABS(Bitkiler!$F$38-Topraklar!$F$17)+Ayarlar!$B$5*ABS(Bitkiler!$G$38-Topraklar!$G$17)+Ayarlar!$B$6*IF(Bitkiler!$H$38=Topraklar!$H$17,0,1))/Ayarlar!$B$7)+IF(Topraklar!$K$17=Bitkiler!$C$38,0.002,IF(Topraklar!$L$17="Evet",0.001,0)))</f>
        <v/>
      </c>
      <c r="R39" s="16">
        <f>IF(OR(Topraklar!$J$18="Evet",AND(Topraklar!$L$18&lt;&gt;"Evet",Topraklar!$K$18&lt;&gt;Bitkiler!$C$38)),0,MAX(0,1-(Ayarlar!$B$2*ABS(Bitkiler!$D$38-Topraklar!$D$18)+Ayarlar!$B$3*ABS(Bitkiler!$E$38-Topraklar!$E$18)+Ayarlar!$B$4*ABS(Bitkiler!$F$38-Topraklar!$F$18)+Ayarlar!$B$5*ABS(Bitkiler!$G$38-Topraklar!$G$18)+Ayarlar!$B$6*IF(Bitkiler!$H$38=Topraklar!$H$18,0,1))/Ayarlar!$B$7)+IF(Topraklar!$K$18=Bitkiler!$C$38,0.002,IF(Topraklar!$L$18="Evet",0.001,0)))</f>
        <v/>
      </c>
      <c r="S39" s="16">
        <f>IF(OR(Topraklar!$J$19="Evet",AND(Topraklar!$L$19&lt;&gt;"Evet",Topraklar!$K$19&lt;&gt;Bitkiler!$C$38)),0,MAX(0,1-(Ayarlar!$B$2*ABS(Bitkiler!$D$38-Topraklar!$D$19)+Ayarlar!$B$3*ABS(Bitkiler!$E$38-Topraklar!$E$19)+Ayarlar!$B$4*ABS(Bitkiler!$F$38-Topraklar!$F$19)+Ayarlar!$B$5*ABS(Bitkiler!$G$38-Topraklar!$G$19)+Ayarlar!$B$6*IF(Bitkiler!$H$38=Topraklar!$H$19,0,1))/Ayarlar!$B$7)+IF(Topraklar!$K$19=Bitkiler!$C$38,0.002,IF(Topraklar!$L$19="Evet",0.001,0)))</f>
        <v/>
      </c>
      <c r="T39" s="16">
        <f>IF(OR(Topraklar!$J$20="Evet",AND(Topraklar!$L$20&lt;&gt;"Evet",Topraklar!$K$20&lt;&gt;Bitkiler!$C$38)),0,MAX(0,1-(Ayarlar!$B$2*ABS(Bitkiler!$D$38-Topraklar!$D$20)+Ayarlar!$B$3*ABS(Bitkiler!$E$38-Topraklar!$E$20)+Ayarlar!$B$4*ABS(Bitkiler!$F$38-Topraklar!$F$20)+Ayarlar!$B$5*ABS(Bitkiler!$G$38-Topraklar!$G$20)+Ayarlar!$B$6*IF(Bitkiler!$H$38=Topraklar!$H$20,0,1))/Ayarlar!$B$7)+IF(Topraklar!$K$20=Bitkiler!$C$38,0.002,IF(Topraklar!$L$20="Evet",0.001,0)))</f>
        <v/>
      </c>
      <c r="U39" s="16">
        <f>IF(OR(Topraklar!$J$21="Evet",AND(Topraklar!$L$21&lt;&gt;"Evet",Topraklar!$K$21&lt;&gt;Bitkiler!$C$38)),0,MAX(0,1-(Ayarlar!$B$2*ABS(Bitkiler!$D$38-Topraklar!$D$21)+Ayarlar!$B$3*ABS(Bitkiler!$E$38-Topraklar!$E$21)+Ayarlar!$B$4*ABS(Bitkiler!$F$38-Topraklar!$F$21)+Ayarlar!$B$5*ABS(Bitkiler!$G$38-Topraklar!$G$21)+Ayarlar!$B$6*IF(Bitkiler!$H$38=Topraklar!$H$21,0,1))/Ayarlar!$B$7)+IF(Topraklar!$K$21=Bitkiler!$C$38,0.002,IF(Topraklar!$L$21="Evet",0.001,0)))</f>
        <v/>
      </c>
      <c r="V39" s="16">
        <f>IF(OR(Topraklar!$J$22="Evet",AND(Topraklar!$L$22&lt;&gt;"Evet",Topraklar!$K$22&lt;&gt;Bitkiler!$C$38)),0,MAX(0,1-(Ayarlar!$B$2*ABS(Bitkiler!$D$38-Topraklar!$D$22)+Ayarlar!$B$3*ABS(Bitkiler!$E$38-Topraklar!$E$22)+Ayarlar!$B$4*ABS(Bitkiler!$F$38-Topraklar!$F$22)+Ayarlar!$B$5*ABS(Bitkiler!$G$38-Topraklar!$G$22)+Ayarlar!$B$6*IF(Bitkiler!$H$38=Topraklar!$H$22,0,1))/Ayarlar!$B$7)+IF(Topraklar!$K$22=Bitkiler!$C$38,0.002,IF(Topraklar!$L$22="Evet",0.001,0)))</f>
        <v/>
      </c>
      <c r="W39" s="16">
        <f>IF(OR(Topraklar!$J$23="Evet",AND(Topraklar!$L$23&lt;&gt;"Evet",Topraklar!$K$23&lt;&gt;Bitkiler!$C$38)),0,MAX(0,1-(Ayarlar!$B$2*ABS(Bitkiler!$D$38-Topraklar!$D$23)+Ayarlar!$B$3*ABS(Bitkiler!$E$38-Topraklar!$E$23)+Ayarlar!$B$4*ABS(Bitkiler!$F$38-Topraklar!$F$23)+Ayarlar!$B$5*ABS(Bitkiler!$G$38-Topraklar!$G$23)+Ayarlar!$B$6*IF(Bitkiler!$H$38=Topraklar!$H$23,0,1))/Ayarlar!$B$7)+IF(Topraklar!$K$23=Bitkiler!$C$38,0.002,IF(Topraklar!$L$23="Evet",0.001,0)))</f>
        <v/>
      </c>
      <c r="X39" s="16">
        <f>IF(OR(Topraklar!$J$24="Evet",AND(Topraklar!$L$24&lt;&gt;"Evet",Topraklar!$K$24&lt;&gt;Bitkiler!$C$38)),0,MAX(0,1-(Ayarlar!$B$2*ABS(Bitkiler!$D$38-Topraklar!$D$24)+Ayarlar!$B$3*ABS(Bitkiler!$E$38-Topraklar!$E$24)+Ayarlar!$B$4*ABS(Bitkiler!$F$38-Topraklar!$F$24)+Ayarlar!$B$5*ABS(Bitkiler!$G$38-Topraklar!$G$24)+Ayarlar!$B$6*IF(Bitkiler!$H$38=Topraklar!$H$24,0,1))/Ayarlar!$B$7)+IF(Topraklar!$K$24=Bitkiler!$C$38,0.002,IF(Topraklar!$L$24="Evet",0.001,0)))</f>
        <v/>
      </c>
      <c r="Y39" s="16">
        <f>IF(OR(Topraklar!$J$25="Evet",AND(Topraklar!$L$25&lt;&gt;"Evet",Topraklar!$K$25&lt;&gt;Bitkiler!$C$38)),0,MAX(0,1-(Ayarlar!$B$2*ABS(Bitkiler!$D$38-Topraklar!$D$25)+Ayarlar!$B$3*ABS(Bitkiler!$E$38-Topraklar!$E$25)+Ayarlar!$B$4*ABS(Bitkiler!$F$38-Topraklar!$F$25)+Ayarlar!$B$5*ABS(Bitkiler!$G$38-Topraklar!$G$25)+Ayarlar!$B$6*IF(Bitkiler!$H$38=Topraklar!$H$25,0,1))/Ayarlar!$B$7)+IF(Topraklar!$K$25=Bitkiler!$C$38,0.002,IF(Topraklar!$L$25="Evet",0.001,0)))</f>
        <v/>
      </c>
      <c r="Z39" s="16">
        <f>IF(OR(Topraklar!$J$26="Evet",AND(Topraklar!$L$26&lt;&gt;"Evet",Topraklar!$K$26&lt;&gt;Bitkiler!$C$38)),0,MAX(0,1-(Ayarlar!$B$2*ABS(Bitkiler!$D$38-Topraklar!$D$26)+Ayarlar!$B$3*ABS(Bitkiler!$E$38-Topraklar!$E$26)+Ayarlar!$B$4*ABS(Bitkiler!$F$38-Topraklar!$F$26)+Ayarlar!$B$5*ABS(Bitkiler!$G$38-Topraklar!$G$26)+Ayarlar!$B$6*IF(Bitkiler!$H$38=Topraklar!$H$26,0,1))/Ayarlar!$B$7)+IF(Topraklar!$K$26=Bitkiler!$C$38,0.002,IF(Topraklar!$L$26="Evet",0.001,0)))</f>
        <v/>
      </c>
      <c r="AA39" s="16">
        <f>IF(OR(Topraklar!$J$27="Evet",AND(Topraklar!$L$27&lt;&gt;"Evet",Topraklar!$K$27&lt;&gt;Bitkiler!$C$38)),0,MAX(0,1-(Ayarlar!$B$2*ABS(Bitkiler!$D$38-Topraklar!$D$27)+Ayarlar!$B$3*ABS(Bitkiler!$E$38-Topraklar!$E$27)+Ayarlar!$B$4*ABS(Bitkiler!$F$38-Topraklar!$F$27)+Ayarlar!$B$5*ABS(Bitkiler!$G$38-Topraklar!$G$27)+Ayarlar!$B$6*IF(Bitkiler!$H$38=Topraklar!$H$27,0,1))/Ayarlar!$B$7)+IF(Topraklar!$K$27=Bitkiler!$C$38,0.002,IF(Topraklar!$L$27="Evet",0.001,0)))</f>
        <v/>
      </c>
      <c r="AB39" s="16">
        <f>IF(OR(Topraklar!$J$28="Evet",AND(Topraklar!$L$28&lt;&gt;"Evet",Topraklar!$K$28&lt;&gt;Bitkiler!$C$38)),0,MAX(0,1-(Ayarlar!$B$2*ABS(Bitkiler!$D$38-Topraklar!$D$28)+Ayarlar!$B$3*ABS(Bitkiler!$E$38-Topraklar!$E$28)+Ayarlar!$B$4*ABS(Bitkiler!$F$38-Topraklar!$F$28)+Ayarlar!$B$5*ABS(Bitkiler!$G$38-Topraklar!$G$28)+Ayarlar!$B$6*IF(Bitkiler!$H$38=Topraklar!$H$28,0,1))/Ayarlar!$B$7)+IF(Topraklar!$K$28=Bitkiler!$C$38,0.002,IF(Topraklar!$L$28="Evet",0.001,0)))</f>
        <v/>
      </c>
      <c r="AC39" s="16">
        <f>IF(OR(Topraklar!$J$29="Evet",AND(Topraklar!$L$29&lt;&gt;"Evet",Topraklar!$K$29&lt;&gt;Bitkiler!$C$38)),0,MAX(0,1-(Ayarlar!$B$2*ABS(Bitkiler!$D$38-Topraklar!$D$29)+Ayarlar!$B$3*ABS(Bitkiler!$E$38-Topraklar!$E$29)+Ayarlar!$B$4*ABS(Bitkiler!$F$38-Topraklar!$F$29)+Ayarlar!$B$5*ABS(Bitkiler!$G$38-Topraklar!$G$29)+Ayarlar!$B$6*IF(Bitkiler!$H$38=Topraklar!$H$29,0,1))/Ayarlar!$B$7)+IF(Topraklar!$K$29=Bitkiler!$C$38,0.002,IF(Topraklar!$L$29="Evet",0.001,0)))</f>
        <v/>
      </c>
      <c r="AD39" s="16">
        <f>IF(OR(Topraklar!$J$30="Evet",AND(Topraklar!$L$30&lt;&gt;"Evet",Topraklar!$K$30&lt;&gt;Bitkiler!$C$38)),0,MAX(0,1-(Ayarlar!$B$2*ABS(Bitkiler!$D$38-Topraklar!$D$30)+Ayarlar!$B$3*ABS(Bitkiler!$E$38-Topraklar!$E$30)+Ayarlar!$B$4*ABS(Bitkiler!$F$38-Topraklar!$F$30)+Ayarlar!$B$5*ABS(Bitkiler!$G$38-Topraklar!$G$30)+Ayarlar!$B$6*IF(Bitkiler!$H$38=Topraklar!$H$30,0,1))/Ayarlar!$B$7)+IF(Topraklar!$K$30=Bitkiler!$C$38,0.002,IF(Topraklar!$L$30="Evet",0.001,0)))</f>
        <v/>
      </c>
      <c r="AE39" s="16">
        <f>IF(OR(Topraklar!$J$31="Evet",AND(Topraklar!$L$31&lt;&gt;"Evet",Topraklar!$K$31&lt;&gt;Bitkiler!$C$38)),0,MAX(0,1-(Ayarlar!$B$2*ABS(Bitkiler!$D$38-Topraklar!$D$31)+Ayarlar!$B$3*ABS(Bitkiler!$E$38-Topraklar!$E$31)+Ayarlar!$B$4*ABS(Bitkiler!$F$38-Topraklar!$F$31)+Ayarlar!$B$5*ABS(Bitkiler!$G$38-Topraklar!$G$31)+Ayarlar!$B$6*IF(Bitkiler!$H$38=Topraklar!$H$31,0,1))/Ayarlar!$B$7)+IF(Topraklar!$K$31=Bitkiler!$C$38,0.002,IF(Topraklar!$L$31="Evet",0.001,0)))</f>
        <v/>
      </c>
      <c r="AF39" s="16">
        <f>IF(OR(Topraklar!$J$32="Evet",AND(Topraklar!$L$32&lt;&gt;"Evet",Topraklar!$K$32&lt;&gt;Bitkiler!$C$38)),0,MAX(0,1-(Ayarlar!$B$2*ABS(Bitkiler!$D$38-Topraklar!$D$32)+Ayarlar!$B$3*ABS(Bitkiler!$E$38-Topraklar!$E$32)+Ayarlar!$B$4*ABS(Bitkiler!$F$38-Topraklar!$F$32)+Ayarlar!$B$5*ABS(Bitkiler!$G$38-Topraklar!$G$32)+Ayarlar!$B$6*IF(Bitkiler!$H$38=Topraklar!$H$32,0,1))/Ayarlar!$B$7)+IF(Topraklar!$K$32=Bitkiler!$C$38,0.002,IF(Topraklar!$L$32="Evet",0.001,0)))</f>
        <v/>
      </c>
      <c r="AG39" s="16">
        <f>IF(OR(Topraklar!$J$33="Evet",AND(Topraklar!$L$33&lt;&gt;"Evet",Topraklar!$K$33&lt;&gt;Bitkiler!$C$38)),0,MAX(0,1-(Ayarlar!$B$2*ABS(Bitkiler!$D$38-Topraklar!$D$33)+Ayarlar!$B$3*ABS(Bitkiler!$E$38-Topraklar!$E$33)+Ayarlar!$B$4*ABS(Bitkiler!$F$38-Topraklar!$F$33)+Ayarlar!$B$5*ABS(Bitkiler!$G$38-Topraklar!$G$33)+Ayarlar!$B$6*IF(Bitkiler!$H$38=Topraklar!$H$33,0,1))/Ayarlar!$B$7)+IF(Topraklar!$K$33=Bitkiler!$C$38,0.002,IF(Topraklar!$L$33="Evet",0.001,0)))</f>
        <v/>
      </c>
      <c r="AH39" s="16">
        <f>IF(OR(Topraklar!$J$34="Evet",AND(Topraklar!$L$34&lt;&gt;"Evet",Topraklar!$K$34&lt;&gt;Bitkiler!$C$38)),0,MAX(0,1-(Ayarlar!$B$2*ABS(Bitkiler!$D$38-Topraklar!$D$34)+Ayarlar!$B$3*ABS(Bitkiler!$E$38-Topraklar!$E$34)+Ayarlar!$B$4*ABS(Bitkiler!$F$38-Topraklar!$F$34)+Ayarlar!$B$5*ABS(Bitkiler!$G$38-Topraklar!$G$34)+Ayarlar!$B$6*IF(Bitkiler!$H$38=Topraklar!$H$34,0,1))/Ayarlar!$B$7)+IF(Topraklar!$K$34=Bitkiler!$C$38,0.002,IF(Topraklar!$L$34="Evet",0.001,0)))</f>
        <v/>
      </c>
      <c r="AI39" s="16">
        <f>IF(OR(Topraklar!$J$35="Evet",AND(Topraklar!$L$35&lt;&gt;"Evet",Topraklar!$K$35&lt;&gt;Bitkiler!$C$38)),0,MAX(0,1-(Ayarlar!$B$2*ABS(Bitkiler!$D$38-Topraklar!$D$35)+Ayarlar!$B$3*ABS(Bitkiler!$E$38-Topraklar!$E$35)+Ayarlar!$B$4*ABS(Bitkiler!$F$38-Topraklar!$F$35)+Ayarlar!$B$5*ABS(Bitkiler!$G$38-Topraklar!$G$35)+Ayarlar!$B$6*IF(Bitkiler!$H$38=Topraklar!$H$35,0,1))/Ayarlar!$B$7)+IF(Topraklar!$K$35=Bitkiler!$C$38,0.002,IF(Topraklar!$L$35="Evet",0.001,0)))</f>
        <v/>
      </c>
      <c r="AJ39" s="16">
        <f>IF(OR(Topraklar!$J$36="Evet",AND(Topraklar!$L$36&lt;&gt;"Evet",Topraklar!$K$36&lt;&gt;Bitkiler!$C$38)),0,MAX(0,1-(Ayarlar!$B$2*ABS(Bitkiler!$D$38-Topraklar!$D$36)+Ayarlar!$B$3*ABS(Bitkiler!$E$38-Topraklar!$E$36)+Ayarlar!$B$4*ABS(Bitkiler!$F$38-Topraklar!$F$36)+Ayarlar!$B$5*ABS(Bitkiler!$G$38-Topraklar!$G$36)+Ayarlar!$B$6*IF(Bitkiler!$H$38=Topraklar!$H$36,0,1))/Ayarlar!$B$7)+IF(Topraklar!$K$36=Bitkiler!$C$38,0.002,IF(Topraklar!$L$36="Evet",0.001,0)))</f>
        <v/>
      </c>
      <c r="AK39" s="16">
        <f>IF(OR(Topraklar!$J$37="Evet",AND(Topraklar!$L$37&lt;&gt;"Evet",Topraklar!$K$37&lt;&gt;Bitkiler!$C$38)),0,MAX(0,1-(Ayarlar!$B$2*ABS(Bitkiler!$D$38-Topraklar!$D$37)+Ayarlar!$B$3*ABS(Bitkiler!$E$38-Topraklar!$E$37)+Ayarlar!$B$4*ABS(Bitkiler!$F$38-Topraklar!$F$37)+Ayarlar!$B$5*ABS(Bitkiler!$G$38-Topraklar!$G$37)+Ayarlar!$B$6*IF(Bitkiler!$H$38=Topraklar!$H$37,0,1))/Ayarlar!$B$7)+IF(Topraklar!$K$37=Bitkiler!$C$38,0.002,IF(Topraklar!$L$37="Evet",0.001,0)))</f>
        <v/>
      </c>
      <c r="AL39" s="16">
        <f>IF(OR(Topraklar!$J$38="Evet",AND(Topraklar!$L$38&lt;&gt;"Evet",Topraklar!$K$38&lt;&gt;Bitkiler!$C$38)),0,MAX(0,1-(Ayarlar!$B$2*ABS(Bitkiler!$D$38-Topraklar!$D$38)+Ayarlar!$B$3*ABS(Bitkiler!$E$38-Topraklar!$E$38)+Ayarlar!$B$4*ABS(Bitkiler!$F$38-Topraklar!$F$38)+Ayarlar!$B$5*ABS(Bitkiler!$G$38-Topraklar!$G$38)+Ayarlar!$B$6*IF(Bitkiler!$H$38=Topraklar!$H$38,0,1))/Ayarlar!$B$7)+IF(Topraklar!$K$38=Bitkiler!$C$38,0.002,IF(Topraklar!$L$38="Evet",0.001,0)))</f>
        <v/>
      </c>
      <c r="AM39" s="16">
        <f>IF(OR(Topraklar!$J$39="Evet",AND(Topraklar!$L$39&lt;&gt;"Evet",Topraklar!$K$39&lt;&gt;Bitkiler!$C$38)),0,MAX(0,1-(Ayarlar!$B$2*ABS(Bitkiler!$D$38-Topraklar!$D$39)+Ayarlar!$B$3*ABS(Bitkiler!$E$38-Topraklar!$E$39)+Ayarlar!$B$4*ABS(Bitkiler!$F$38-Topraklar!$F$39)+Ayarlar!$B$5*ABS(Bitkiler!$G$38-Topraklar!$G$39)+Ayarlar!$B$6*IF(Bitkiler!$H$38=Topraklar!$H$39,0,1))/Ayarlar!$B$7)+IF(Topraklar!$K$39=Bitkiler!$C$38,0.002,IF(Topraklar!$L$39="Evet",0.001,0)))</f>
        <v/>
      </c>
      <c r="AN39" s="16">
        <f>IF(OR(Topraklar!$J$40="Evet",AND(Topraklar!$L$40&lt;&gt;"Evet",Topraklar!$K$40&lt;&gt;Bitkiler!$C$38)),0,MAX(0,1-(Ayarlar!$B$2*ABS(Bitkiler!$D$38-Topraklar!$D$40)+Ayarlar!$B$3*ABS(Bitkiler!$E$38-Topraklar!$E$40)+Ayarlar!$B$4*ABS(Bitkiler!$F$38-Topraklar!$F$40)+Ayarlar!$B$5*ABS(Bitkiler!$G$38-Topraklar!$G$40)+Ayarlar!$B$6*IF(Bitkiler!$H$38=Topraklar!$H$40,0,1))/Ayarlar!$B$7)+IF(Topraklar!$K$40=Bitkiler!$C$38,0.002,IF(Topraklar!$L$40="Evet",0.001,0)))</f>
        <v/>
      </c>
      <c r="AO39" s="16">
        <f>IF(OR(Topraklar!$J$41="Evet",AND(Topraklar!$L$41&lt;&gt;"Evet",Topraklar!$K$41&lt;&gt;Bitkiler!$C$38)),0,MAX(0,1-(Ayarlar!$B$2*ABS(Bitkiler!$D$38-Topraklar!$D$41)+Ayarlar!$B$3*ABS(Bitkiler!$E$38-Topraklar!$E$41)+Ayarlar!$B$4*ABS(Bitkiler!$F$38-Topraklar!$F$41)+Ayarlar!$B$5*ABS(Bitkiler!$G$38-Topraklar!$G$41)+Ayarlar!$B$6*IF(Bitkiler!$H$38=Topraklar!$H$41,0,1))/Ayarlar!$B$7)+IF(Topraklar!$K$41=Bitkiler!$C$38,0.002,IF(Topraklar!$L$41="Evet",0.001,0)))</f>
        <v/>
      </c>
      <c r="AP39" s="16">
        <f>IF(OR(Topraklar!$J$42="Evet",AND(Topraklar!$L$42&lt;&gt;"Evet",Topraklar!$K$42&lt;&gt;Bitkiler!$C$38)),0,MAX(0,1-(Ayarlar!$B$2*ABS(Bitkiler!$D$38-Topraklar!$D$42)+Ayarlar!$B$3*ABS(Bitkiler!$E$38-Topraklar!$E$42)+Ayarlar!$B$4*ABS(Bitkiler!$F$38-Topraklar!$F$42)+Ayarlar!$B$5*ABS(Bitkiler!$G$38-Topraklar!$G$42)+Ayarlar!$B$6*IF(Bitkiler!$H$38=Topraklar!$H$42,0,1))/Ayarlar!$B$7)+IF(Topraklar!$K$42=Bitkiler!$C$38,0.002,IF(Topraklar!$L$42="Evet",0.001,0)))</f>
        <v/>
      </c>
      <c r="AQ39" s="16">
        <f>IF(OR(Topraklar!$J$43="Evet",AND(Topraklar!$L$43&lt;&gt;"Evet",Topraklar!$K$43&lt;&gt;Bitkiler!$C$38)),0,MAX(0,1-(Ayarlar!$B$2*ABS(Bitkiler!$D$38-Topraklar!$D$43)+Ayarlar!$B$3*ABS(Bitkiler!$E$38-Topraklar!$E$43)+Ayarlar!$B$4*ABS(Bitkiler!$F$38-Topraklar!$F$43)+Ayarlar!$B$5*ABS(Bitkiler!$G$38-Topraklar!$G$43)+Ayarlar!$B$6*IF(Bitkiler!$H$38=Topraklar!$H$43,0,1))/Ayarlar!$B$7)+IF(Topraklar!$K$43=Bitkiler!$C$38,0.002,IF(Topraklar!$L$43="Evet",0.001,0)))</f>
        <v/>
      </c>
      <c r="AR39" s="16">
        <f>IF(OR(Topraklar!$J$44="Evet",AND(Topraklar!$L$44&lt;&gt;"Evet",Topraklar!$K$44&lt;&gt;Bitkiler!$C$38)),0,MAX(0,1-(Ayarlar!$B$2*ABS(Bitkiler!$D$38-Topraklar!$D$44)+Ayarlar!$B$3*ABS(Bitkiler!$E$38-Topraklar!$E$44)+Ayarlar!$B$4*ABS(Bitkiler!$F$38-Topraklar!$F$44)+Ayarlar!$B$5*ABS(Bitkiler!$G$38-Topraklar!$G$44)+Ayarlar!$B$6*IF(Bitkiler!$H$38=Topraklar!$H$44,0,1))/Ayarlar!$B$7)+IF(Topraklar!$K$44=Bitkiler!$C$38,0.002,IF(Topraklar!$L$44="Evet",0.001,0)))</f>
        <v/>
      </c>
      <c r="AS39" s="16">
        <f>IF(OR(Topraklar!$J$45="Evet",AND(Topraklar!$L$45&lt;&gt;"Evet",Topraklar!$K$45&lt;&gt;Bitkiler!$C$38)),0,MAX(0,1-(Ayarlar!$B$2*ABS(Bitkiler!$D$38-Topraklar!$D$45)+Ayarlar!$B$3*ABS(Bitkiler!$E$38-Topraklar!$E$45)+Ayarlar!$B$4*ABS(Bitkiler!$F$38-Topraklar!$F$45)+Ayarlar!$B$5*ABS(Bitkiler!$G$38-Topraklar!$G$45)+Ayarlar!$B$6*IF(Bitkiler!$H$38=Topraklar!$H$45,0,1))/Ayarlar!$B$7)+IF(Topraklar!$K$45=Bitkiler!$C$38,0.002,IF(Topraklar!$L$45="Evet",0.001,0)))</f>
        <v/>
      </c>
      <c r="AT39" s="16">
        <f>IF(OR(Topraklar!$J$46="Evet",AND(Topraklar!$L$46&lt;&gt;"Evet",Topraklar!$K$46&lt;&gt;Bitkiler!$C$38)),0,MAX(0,1-(Ayarlar!$B$2*ABS(Bitkiler!$D$38-Topraklar!$D$46)+Ayarlar!$B$3*ABS(Bitkiler!$E$38-Topraklar!$E$46)+Ayarlar!$B$4*ABS(Bitkiler!$F$38-Topraklar!$F$46)+Ayarlar!$B$5*ABS(Bitkiler!$G$38-Topraklar!$G$46)+Ayarlar!$B$6*IF(Bitkiler!$H$38=Topraklar!$H$46,0,1))/Ayarlar!$B$7)+IF(Topraklar!$K$46=Bitkiler!$C$38,0.002,IF(Topraklar!$L$46="Evet",0.001,0)))</f>
        <v/>
      </c>
      <c r="AU39" s="16">
        <f>IF(OR(Topraklar!$J$47="Evet",AND(Topraklar!$L$47&lt;&gt;"Evet",Topraklar!$K$47&lt;&gt;Bitkiler!$C$38)),0,MAX(0,1-(Ayarlar!$B$2*ABS(Bitkiler!$D$38-Topraklar!$D$47)+Ayarlar!$B$3*ABS(Bitkiler!$E$38-Topraklar!$E$47)+Ayarlar!$B$4*ABS(Bitkiler!$F$38-Topraklar!$F$47)+Ayarlar!$B$5*ABS(Bitkiler!$G$38-Topraklar!$G$47)+Ayarlar!$B$6*IF(Bitkiler!$H$38=Topraklar!$H$47,0,1))/Ayarlar!$B$7)+IF(Topraklar!$K$47=Bitkiler!$C$38,0.002,IF(Topraklar!$L$47="Evet",0.001,0)))</f>
        <v/>
      </c>
      <c r="AV39" s="16">
        <f>IF(OR(Topraklar!$J$48="Evet",AND(Topraklar!$L$48&lt;&gt;"Evet",Topraklar!$K$48&lt;&gt;Bitkiler!$C$38)),0,MAX(0,1-(Ayarlar!$B$2*ABS(Bitkiler!$D$38-Topraklar!$D$48)+Ayarlar!$B$3*ABS(Bitkiler!$E$38-Topraklar!$E$48)+Ayarlar!$B$4*ABS(Bitkiler!$F$38-Topraklar!$F$48)+Ayarlar!$B$5*ABS(Bitkiler!$G$38-Topraklar!$G$48)+Ayarlar!$B$6*IF(Bitkiler!$H$38=Topraklar!$H$48,0,1))/Ayarlar!$B$7)+IF(Topraklar!$K$48=Bitkiler!$C$38,0.002,IF(Topraklar!$L$48="Evet",0.001,0)))</f>
        <v/>
      </c>
      <c r="AW39" s="16">
        <f>IF(OR(Topraklar!$J$49="Evet",AND(Topraklar!$L$49&lt;&gt;"Evet",Topraklar!$K$49&lt;&gt;Bitkiler!$C$38)),0,MAX(0,1-(Ayarlar!$B$2*ABS(Bitkiler!$D$38-Topraklar!$D$49)+Ayarlar!$B$3*ABS(Bitkiler!$E$38-Topraklar!$E$49)+Ayarlar!$B$4*ABS(Bitkiler!$F$38-Topraklar!$F$49)+Ayarlar!$B$5*ABS(Bitkiler!$G$38-Topraklar!$G$49)+Ayarlar!$B$6*IF(Bitkiler!$H$38=Topraklar!$H$49,0,1))/Ayarlar!$B$7)+IF(Topraklar!$K$49=Bitkiler!$C$38,0.002,IF(Topraklar!$L$49="Evet",0.001,0)))</f>
        <v/>
      </c>
      <c r="AX39" s="16">
        <f>IF(OR(Topraklar!$J$50="Evet",AND(Topraklar!$L$50&lt;&gt;"Evet",Topraklar!$K$50&lt;&gt;Bitkiler!$C$38)),0,MAX(0,1-(Ayarlar!$B$2*ABS(Bitkiler!$D$38-Topraklar!$D$50)+Ayarlar!$B$3*ABS(Bitkiler!$E$38-Topraklar!$E$50)+Ayarlar!$B$4*ABS(Bitkiler!$F$38-Topraklar!$F$50)+Ayarlar!$B$5*ABS(Bitkiler!$G$38-Topraklar!$G$50)+Ayarlar!$B$6*IF(Bitkiler!$H$38=Topraklar!$H$50,0,1))/Ayarlar!$B$7)+IF(Topraklar!$K$50=Bitkiler!$C$38,0.002,IF(Topraklar!$L$50="Evet",0.001,0)))</f>
        <v/>
      </c>
      <c r="AY39" s="16">
        <f>IF(OR(Topraklar!$J$51="Evet",AND(Topraklar!$L$51&lt;&gt;"Evet",Topraklar!$K$51&lt;&gt;Bitkiler!$C$38)),0,MAX(0,1-(Ayarlar!$B$2*ABS(Bitkiler!$D$38-Topraklar!$D$51)+Ayarlar!$B$3*ABS(Bitkiler!$E$38-Topraklar!$E$51)+Ayarlar!$B$4*ABS(Bitkiler!$F$38-Topraklar!$F$51)+Ayarlar!$B$5*ABS(Bitkiler!$G$38-Topraklar!$G$51)+Ayarlar!$B$6*IF(Bitkiler!$H$38=Topraklar!$H$51,0,1))/Ayarlar!$B$7)+IF(Topraklar!$K$51=Bitkiler!$C$38,0.002,IF(Topraklar!$L$51="Evet",0.001,0)))</f>
        <v/>
      </c>
    </row>
    <row r="40">
      <c r="A40" s="15">
        <f>Bitkiler!A39</f>
        <v/>
      </c>
      <c r="B40" s="16">
        <f>IF(OR(Topraklar!$J$2="Evet",AND(Topraklar!$L$2&lt;&gt;"Evet",Topraklar!$K$2&lt;&gt;Bitkiler!$C$39)),0,MAX(0,1-(Ayarlar!$B$2*ABS(Bitkiler!$D$39-Topraklar!$D$2)+Ayarlar!$B$3*ABS(Bitkiler!$E$39-Topraklar!$E$2)+Ayarlar!$B$4*ABS(Bitkiler!$F$39-Topraklar!$F$2)+Ayarlar!$B$5*ABS(Bitkiler!$G$39-Topraklar!$G$2)+Ayarlar!$B$6*IF(Bitkiler!$H$39=Topraklar!$H$2,0,1))/Ayarlar!$B$7)+IF(Topraklar!$K$2=Bitkiler!$C$39,0.002,IF(Topraklar!$L$2="Evet",0.001,0)))</f>
        <v/>
      </c>
      <c r="C40" s="16">
        <f>IF(OR(Topraklar!$J$3="Evet",AND(Topraklar!$L$3&lt;&gt;"Evet",Topraklar!$K$3&lt;&gt;Bitkiler!$C$39)),0,MAX(0,1-(Ayarlar!$B$2*ABS(Bitkiler!$D$39-Topraklar!$D$3)+Ayarlar!$B$3*ABS(Bitkiler!$E$39-Topraklar!$E$3)+Ayarlar!$B$4*ABS(Bitkiler!$F$39-Topraklar!$F$3)+Ayarlar!$B$5*ABS(Bitkiler!$G$39-Topraklar!$G$3)+Ayarlar!$B$6*IF(Bitkiler!$H$39=Topraklar!$H$3,0,1))/Ayarlar!$B$7)+IF(Topraklar!$K$3=Bitkiler!$C$39,0.002,IF(Topraklar!$L$3="Evet",0.001,0)))</f>
        <v/>
      </c>
      <c r="D40" s="16">
        <f>IF(OR(Topraklar!$J$4="Evet",AND(Topraklar!$L$4&lt;&gt;"Evet",Topraklar!$K$4&lt;&gt;Bitkiler!$C$39)),0,MAX(0,1-(Ayarlar!$B$2*ABS(Bitkiler!$D$39-Topraklar!$D$4)+Ayarlar!$B$3*ABS(Bitkiler!$E$39-Topraklar!$E$4)+Ayarlar!$B$4*ABS(Bitkiler!$F$39-Topraklar!$F$4)+Ayarlar!$B$5*ABS(Bitkiler!$G$39-Topraklar!$G$4)+Ayarlar!$B$6*IF(Bitkiler!$H$39=Topraklar!$H$4,0,1))/Ayarlar!$B$7)+IF(Topraklar!$K$4=Bitkiler!$C$39,0.002,IF(Topraklar!$L$4="Evet",0.001,0)))</f>
        <v/>
      </c>
      <c r="E40" s="16">
        <f>IF(OR(Topraklar!$J$5="Evet",AND(Topraklar!$L$5&lt;&gt;"Evet",Topraklar!$K$5&lt;&gt;Bitkiler!$C$39)),0,MAX(0,1-(Ayarlar!$B$2*ABS(Bitkiler!$D$39-Topraklar!$D$5)+Ayarlar!$B$3*ABS(Bitkiler!$E$39-Topraklar!$E$5)+Ayarlar!$B$4*ABS(Bitkiler!$F$39-Topraklar!$F$5)+Ayarlar!$B$5*ABS(Bitkiler!$G$39-Topraklar!$G$5)+Ayarlar!$B$6*IF(Bitkiler!$H$39=Topraklar!$H$5,0,1))/Ayarlar!$B$7)+IF(Topraklar!$K$5=Bitkiler!$C$39,0.002,IF(Topraklar!$L$5="Evet",0.001,0)))</f>
        <v/>
      </c>
      <c r="F40" s="16">
        <f>IF(OR(Topraklar!$J$6="Evet",AND(Topraklar!$L$6&lt;&gt;"Evet",Topraklar!$K$6&lt;&gt;Bitkiler!$C$39)),0,MAX(0,1-(Ayarlar!$B$2*ABS(Bitkiler!$D$39-Topraklar!$D$6)+Ayarlar!$B$3*ABS(Bitkiler!$E$39-Topraklar!$E$6)+Ayarlar!$B$4*ABS(Bitkiler!$F$39-Topraklar!$F$6)+Ayarlar!$B$5*ABS(Bitkiler!$G$39-Topraklar!$G$6)+Ayarlar!$B$6*IF(Bitkiler!$H$39=Topraklar!$H$6,0,1))/Ayarlar!$B$7)+IF(Topraklar!$K$6=Bitkiler!$C$39,0.002,IF(Topraklar!$L$6="Evet",0.001,0)))</f>
        <v/>
      </c>
      <c r="G40" s="16">
        <f>IF(OR(Topraklar!$J$7="Evet",AND(Topraklar!$L$7&lt;&gt;"Evet",Topraklar!$K$7&lt;&gt;Bitkiler!$C$39)),0,MAX(0,1-(Ayarlar!$B$2*ABS(Bitkiler!$D$39-Topraklar!$D$7)+Ayarlar!$B$3*ABS(Bitkiler!$E$39-Topraklar!$E$7)+Ayarlar!$B$4*ABS(Bitkiler!$F$39-Topraklar!$F$7)+Ayarlar!$B$5*ABS(Bitkiler!$G$39-Topraklar!$G$7)+Ayarlar!$B$6*IF(Bitkiler!$H$39=Topraklar!$H$7,0,1))/Ayarlar!$B$7)+IF(Topraklar!$K$7=Bitkiler!$C$39,0.002,IF(Topraklar!$L$7="Evet",0.001,0)))</f>
        <v/>
      </c>
      <c r="H40" s="16">
        <f>IF(OR(Topraklar!$J$8="Evet",AND(Topraklar!$L$8&lt;&gt;"Evet",Topraklar!$K$8&lt;&gt;Bitkiler!$C$39)),0,MAX(0,1-(Ayarlar!$B$2*ABS(Bitkiler!$D$39-Topraklar!$D$8)+Ayarlar!$B$3*ABS(Bitkiler!$E$39-Topraklar!$E$8)+Ayarlar!$B$4*ABS(Bitkiler!$F$39-Topraklar!$F$8)+Ayarlar!$B$5*ABS(Bitkiler!$G$39-Topraklar!$G$8)+Ayarlar!$B$6*IF(Bitkiler!$H$39=Topraklar!$H$8,0,1))/Ayarlar!$B$7)+IF(Topraklar!$K$8=Bitkiler!$C$39,0.002,IF(Topraklar!$L$8="Evet",0.001,0)))</f>
        <v/>
      </c>
      <c r="I40" s="16">
        <f>IF(OR(Topraklar!$J$9="Evet",AND(Topraklar!$L$9&lt;&gt;"Evet",Topraklar!$K$9&lt;&gt;Bitkiler!$C$39)),0,MAX(0,1-(Ayarlar!$B$2*ABS(Bitkiler!$D$39-Topraklar!$D$9)+Ayarlar!$B$3*ABS(Bitkiler!$E$39-Topraklar!$E$9)+Ayarlar!$B$4*ABS(Bitkiler!$F$39-Topraklar!$F$9)+Ayarlar!$B$5*ABS(Bitkiler!$G$39-Topraklar!$G$9)+Ayarlar!$B$6*IF(Bitkiler!$H$39=Topraklar!$H$9,0,1))/Ayarlar!$B$7)+IF(Topraklar!$K$9=Bitkiler!$C$39,0.002,IF(Topraklar!$L$9="Evet",0.001,0)))</f>
        <v/>
      </c>
      <c r="J40" s="16">
        <f>IF(OR(Topraklar!$J$10="Evet",AND(Topraklar!$L$10&lt;&gt;"Evet",Topraklar!$K$10&lt;&gt;Bitkiler!$C$39)),0,MAX(0,1-(Ayarlar!$B$2*ABS(Bitkiler!$D$39-Topraklar!$D$10)+Ayarlar!$B$3*ABS(Bitkiler!$E$39-Topraklar!$E$10)+Ayarlar!$B$4*ABS(Bitkiler!$F$39-Topraklar!$F$10)+Ayarlar!$B$5*ABS(Bitkiler!$G$39-Topraklar!$G$10)+Ayarlar!$B$6*IF(Bitkiler!$H$39=Topraklar!$H$10,0,1))/Ayarlar!$B$7)+IF(Topraklar!$K$10=Bitkiler!$C$39,0.002,IF(Topraklar!$L$10="Evet",0.001,0)))</f>
        <v/>
      </c>
      <c r="K40" s="16">
        <f>IF(OR(Topraklar!$J$11="Evet",AND(Topraklar!$L$11&lt;&gt;"Evet",Topraklar!$K$11&lt;&gt;Bitkiler!$C$39)),0,MAX(0,1-(Ayarlar!$B$2*ABS(Bitkiler!$D$39-Topraklar!$D$11)+Ayarlar!$B$3*ABS(Bitkiler!$E$39-Topraklar!$E$11)+Ayarlar!$B$4*ABS(Bitkiler!$F$39-Topraklar!$F$11)+Ayarlar!$B$5*ABS(Bitkiler!$G$39-Topraklar!$G$11)+Ayarlar!$B$6*IF(Bitkiler!$H$39=Topraklar!$H$11,0,1))/Ayarlar!$B$7)+IF(Topraklar!$K$11=Bitkiler!$C$39,0.002,IF(Topraklar!$L$11="Evet",0.001,0)))</f>
        <v/>
      </c>
      <c r="L40" s="16">
        <f>IF(OR(Topraklar!$J$12="Evet",AND(Topraklar!$L$12&lt;&gt;"Evet",Topraklar!$K$12&lt;&gt;Bitkiler!$C$39)),0,MAX(0,1-(Ayarlar!$B$2*ABS(Bitkiler!$D$39-Topraklar!$D$12)+Ayarlar!$B$3*ABS(Bitkiler!$E$39-Topraklar!$E$12)+Ayarlar!$B$4*ABS(Bitkiler!$F$39-Topraklar!$F$12)+Ayarlar!$B$5*ABS(Bitkiler!$G$39-Topraklar!$G$12)+Ayarlar!$B$6*IF(Bitkiler!$H$39=Topraklar!$H$12,0,1))/Ayarlar!$B$7)+IF(Topraklar!$K$12=Bitkiler!$C$39,0.002,IF(Topraklar!$L$12="Evet",0.001,0)))</f>
        <v/>
      </c>
      <c r="M40" s="16">
        <f>IF(OR(Topraklar!$J$13="Evet",AND(Topraklar!$L$13&lt;&gt;"Evet",Topraklar!$K$13&lt;&gt;Bitkiler!$C$39)),0,MAX(0,1-(Ayarlar!$B$2*ABS(Bitkiler!$D$39-Topraklar!$D$13)+Ayarlar!$B$3*ABS(Bitkiler!$E$39-Topraklar!$E$13)+Ayarlar!$B$4*ABS(Bitkiler!$F$39-Topraklar!$F$13)+Ayarlar!$B$5*ABS(Bitkiler!$G$39-Topraklar!$G$13)+Ayarlar!$B$6*IF(Bitkiler!$H$39=Topraklar!$H$13,0,1))/Ayarlar!$B$7)+IF(Topraklar!$K$13=Bitkiler!$C$39,0.002,IF(Topraklar!$L$13="Evet",0.001,0)))</f>
        <v/>
      </c>
      <c r="N40" s="16">
        <f>IF(OR(Topraklar!$J$14="Evet",AND(Topraklar!$L$14&lt;&gt;"Evet",Topraklar!$K$14&lt;&gt;Bitkiler!$C$39)),0,MAX(0,1-(Ayarlar!$B$2*ABS(Bitkiler!$D$39-Topraklar!$D$14)+Ayarlar!$B$3*ABS(Bitkiler!$E$39-Topraklar!$E$14)+Ayarlar!$B$4*ABS(Bitkiler!$F$39-Topraklar!$F$14)+Ayarlar!$B$5*ABS(Bitkiler!$G$39-Topraklar!$G$14)+Ayarlar!$B$6*IF(Bitkiler!$H$39=Topraklar!$H$14,0,1))/Ayarlar!$B$7)+IF(Topraklar!$K$14=Bitkiler!$C$39,0.002,IF(Topraklar!$L$14="Evet",0.001,0)))</f>
        <v/>
      </c>
      <c r="O40" s="16">
        <f>IF(OR(Topraklar!$J$15="Evet",AND(Topraklar!$L$15&lt;&gt;"Evet",Topraklar!$K$15&lt;&gt;Bitkiler!$C$39)),0,MAX(0,1-(Ayarlar!$B$2*ABS(Bitkiler!$D$39-Topraklar!$D$15)+Ayarlar!$B$3*ABS(Bitkiler!$E$39-Topraklar!$E$15)+Ayarlar!$B$4*ABS(Bitkiler!$F$39-Topraklar!$F$15)+Ayarlar!$B$5*ABS(Bitkiler!$G$39-Topraklar!$G$15)+Ayarlar!$B$6*IF(Bitkiler!$H$39=Topraklar!$H$15,0,1))/Ayarlar!$B$7)+IF(Topraklar!$K$15=Bitkiler!$C$39,0.002,IF(Topraklar!$L$15="Evet",0.001,0)))</f>
        <v/>
      </c>
      <c r="P40" s="16">
        <f>IF(OR(Topraklar!$J$16="Evet",AND(Topraklar!$L$16&lt;&gt;"Evet",Topraklar!$K$16&lt;&gt;Bitkiler!$C$39)),0,MAX(0,1-(Ayarlar!$B$2*ABS(Bitkiler!$D$39-Topraklar!$D$16)+Ayarlar!$B$3*ABS(Bitkiler!$E$39-Topraklar!$E$16)+Ayarlar!$B$4*ABS(Bitkiler!$F$39-Topraklar!$F$16)+Ayarlar!$B$5*ABS(Bitkiler!$G$39-Topraklar!$G$16)+Ayarlar!$B$6*IF(Bitkiler!$H$39=Topraklar!$H$16,0,1))/Ayarlar!$B$7)+IF(Topraklar!$K$16=Bitkiler!$C$39,0.002,IF(Topraklar!$L$16="Evet",0.001,0)))</f>
        <v/>
      </c>
      <c r="Q40" s="16">
        <f>IF(OR(Topraklar!$J$17="Evet",AND(Topraklar!$L$17&lt;&gt;"Evet",Topraklar!$K$17&lt;&gt;Bitkiler!$C$39)),0,MAX(0,1-(Ayarlar!$B$2*ABS(Bitkiler!$D$39-Topraklar!$D$17)+Ayarlar!$B$3*ABS(Bitkiler!$E$39-Topraklar!$E$17)+Ayarlar!$B$4*ABS(Bitkiler!$F$39-Topraklar!$F$17)+Ayarlar!$B$5*ABS(Bitkiler!$G$39-Topraklar!$G$17)+Ayarlar!$B$6*IF(Bitkiler!$H$39=Topraklar!$H$17,0,1))/Ayarlar!$B$7)+IF(Topraklar!$K$17=Bitkiler!$C$39,0.002,IF(Topraklar!$L$17="Evet",0.001,0)))</f>
        <v/>
      </c>
      <c r="R40" s="16">
        <f>IF(OR(Topraklar!$J$18="Evet",AND(Topraklar!$L$18&lt;&gt;"Evet",Topraklar!$K$18&lt;&gt;Bitkiler!$C$39)),0,MAX(0,1-(Ayarlar!$B$2*ABS(Bitkiler!$D$39-Topraklar!$D$18)+Ayarlar!$B$3*ABS(Bitkiler!$E$39-Topraklar!$E$18)+Ayarlar!$B$4*ABS(Bitkiler!$F$39-Topraklar!$F$18)+Ayarlar!$B$5*ABS(Bitkiler!$G$39-Topraklar!$G$18)+Ayarlar!$B$6*IF(Bitkiler!$H$39=Topraklar!$H$18,0,1))/Ayarlar!$B$7)+IF(Topraklar!$K$18=Bitkiler!$C$39,0.002,IF(Topraklar!$L$18="Evet",0.001,0)))</f>
        <v/>
      </c>
      <c r="S40" s="16">
        <f>IF(OR(Topraklar!$J$19="Evet",AND(Topraklar!$L$19&lt;&gt;"Evet",Topraklar!$K$19&lt;&gt;Bitkiler!$C$39)),0,MAX(0,1-(Ayarlar!$B$2*ABS(Bitkiler!$D$39-Topraklar!$D$19)+Ayarlar!$B$3*ABS(Bitkiler!$E$39-Topraklar!$E$19)+Ayarlar!$B$4*ABS(Bitkiler!$F$39-Topraklar!$F$19)+Ayarlar!$B$5*ABS(Bitkiler!$G$39-Topraklar!$G$19)+Ayarlar!$B$6*IF(Bitkiler!$H$39=Topraklar!$H$19,0,1))/Ayarlar!$B$7)+IF(Topraklar!$K$19=Bitkiler!$C$39,0.002,IF(Topraklar!$L$19="Evet",0.001,0)))</f>
        <v/>
      </c>
      <c r="T40" s="16">
        <f>IF(OR(Topraklar!$J$20="Evet",AND(Topraklar!$L$20&lt;&gt;"Evet",Topraklar!$K$20&lt;&gt;Bitkiler!$C$39)),0,MAX(0,1-(Ayarlar!$B$2*ABS(Bitkiler!$D$39-Topraklar!$D$20)+Ayarlar!$B$3*ABS(Bitkiler!$E$39-Topraklar!$E$20)+Ayarlar!$B$4*ABS(Bitkiler!$F$39-Topraklar!$F$20)+Ayarlar!$B$5*ABS(Bitkiler!$G$39-Topraklar!$G$20)+Ayarlar!$B$6*IF(Bitkiler!$H$39=Topraklar!$H$20,0,1))/Ayarlar!$B$7)+IF(Topraklar!$K$20=Bitkiler!$C$39,0.002,IF(Topraklar!$L$20="Evet",0.001,0)))</f>
        <v/>
      </c>
      <c r="U40" s="16">
        <f>IF(OR(Topraklar!$J$21="Evet",AND(Topraklar!$L$21&lt;&gt;"Evet",Topraklar!$K$21&lt;&gt;Bitkiler!$C$39)),0,MAX(0,1-(Ayarlar!$B$2*ABS(Bitkiler!$D$39-Topraklar!$D$21)+Ayarlar!$B$3*ABS(Bitkiler!$E$39-Topraklar!$E$21)+Ayarlar!$B$4*ABS(Bitkiler!$F$39-Topraklar!$F$21)+Ayarlar!$B$5*ABS(Bitkiler!$G$39-Topraklar!$G$21)+Ayarlar!$B$6*IF(Bitkiler!$H$39=Topraklar!$H$21,0,1))/Ayarlar!$B$7)+IF(Topraklar!$K$21=Bitkiler!$C$39,0.002,IF(Topraklar!$L$21="Evet",0.001,0)))</f>
        <v/>
      </c>
      <c r="V40" s="16">
        <f>IF(OR(Topraklar!$J$22="Evet",AND(Topraklar!$L$22&lt;&gt;"Evet",Topraklar!$K$22&lt;&gt;Bitkiler!$C$39)),0,MAX(0,1-(Ayarlar!$B$2*ABS(Bitkiler!$D$39-Topraklar!$D$22)+Ayarlar!$B$3*ABS(Bitkiler!$E$39-Topraklar!$E$22)+Ayarlar!$B$4*ABS(Bitkiler!$F$39-Topraklar!$F$22)+Ayarlar!$B$5*ABS(Bitkiler!$G$39-Topraklar!$G$22)+Ayarlar!$B$6*IF(Bitkiler!$H$39=Topraklar!$H$22,0,1))/Ayarlar!$B$7)+IF(Topraklar!$K$22=Bitkiler!$C$39,0.002,IF(Topraklar!$L$22="Evet",0.001,0)))</f>
        <v/>
      </c>
      <c r="W40" s="16">
        <f>IF(OR(Topraklar!$J$23="Evet",AND(Topraklar!$L$23&lt;&gt;"Evet",Topraklar!$K$23&lt;&gt;Bitkiler!$C$39)),0,MAX(0,1-(Ayarlar!$B$2*ABS(Bitkiler!$D$39-Topraklar!$D$23)+Ayarlar!$B$3*ABS(Bitkiler!$E$39-Topraklar!$E$23)+Ayarlar!$B$4*ABS(Bitkiler!$F$39-Topraklar!$F$23)+Ayarlar!$B$5*ABS(Bitkiler!$G$39-Topraklar!$G$23)+Ayarlar!$B$6*IF(Bitkiler!$H$39=Topraklar!$H$23,0,1))/Ayarlar!$B$7)+IF(Topraklar!$K$23=Bitkiler!$C$39,0.002,IF(Topraklar!$L$23="Evet",0.001,0)))</f>
        <v/>
      </c>
      <c r="X40" s="16">
        <f>IF(OR(Topraklar!$J$24="Evet",AND(Topraklar!$L$24&lt;&gt;"Evet",Topraklar!$K$24&lt;&gt;Bitkiler!$C$39)),0,MAX(0,1-(Ayarlar!$B$2*ABS(Bitkiler!$D$39-Topraklar!$D$24)+Ayarlar!$B$3*ABS(Bitkiler!$E$39-Topraklar!$E$24)+Ayarlar!$B$4*ABS(Bitkiler!$F$39-Topraklar!$F$24)+Ayarlar!$B$5*ABS(Bitkiler!$G$39-Topraklar!$G$24)+Ayarlar!$B$6*IF(Bitkiler!$H$39=Topraklar!$H$24,0,1))/Ayarlar!$B$7)+IF(Topraklar!$K$24=Bitkiler!$C$39,0.002,IF(Topraklar!$L$24="Evet",0.001,0)))</f>
        <v/>
      </c>
      <c r="Y40" s="16">
        <f>IF(OR(Topraklar!$J$25="Evet",AND(Topraklar!$L$25&lt;&gt;"Evet",Topraklar!$K$25&lt;&gt;Bitkiler!$C$39)),0,MAX(0,1-(Ayarlar!$B$2*ABS(Bitkiler!$D$39-Topraklar!$D$25)+Ayarlar!$B$3*ABS(Bitkiler!$E$39-Topraklar!$E$25)+Ayarlar!$B$4*ABS(Bitkiler!$F$39-Topraklar!$F$25)+Ayarlar!$B$5*ABS(Bitkiler!$G$39-Topraklar!$G$25)+Ayarlar!$B$6*IF(Bitkiler!$H$39=Topraklar!$H$25,0,1))/Ayarlar!$B$7)+IF(Topraklar!$K$25=Bitkiler!$C$39,0.002,IF(Topraklar!$L$25="Evet",0.001,0)))</f>
        <v/>
      </c>
      <c r="Z40" s="16">
        <f>IF(OR(Topraklar!$J$26="Evet",AND(Topraklar!$L$26&lt;&gt;"Evet",Topraklar!$K$26&lt;&gt;Bitkiler!$C$39)),0,MAX(0,1-(Ayarlar!$B$2*ABS(Bitkiler!$D$39-Topraklar!$D$26)+Ayarlar!$B$3*ABS(Bitkiler!$E$39-Topraklar!$E$26)+Ayarlar!$B$4*ABS(Bitkiler!$F$39-Topraklar!$F$26)+Ayarlar!$B$5*ABS(Bitkiler!$G$39-Topraklar!$G$26)+Ayarlar!$B$6*IF(Bitkiler!$H$39=Topraklar!$H$26,0,1))/Ayarlar!$B$7)+IF(Topraklar!$K$26=Bitkiler!$C$39,0.002,IF(Topraklar!$L$26="Evet",0.001,0)))</f>
        <v/>
      </c>
      <c r="AA40" s="16">
        <f>IF(OR(Topraklar!$J$27="Evet",AND(Topraklar!$L$27&lt;&gt;"Evet",Topraklar!$K$27&lt;&gt;Bitkiler!$C$39)),0,MAX(0,1-(Ayarlar!$B$2*ABS(Bitkiler!$D$39-Topraklar!$D$27)+Ayarlar!$B$3*ABS(Bitkiler!$E$39-Topraklar!$E$27)+Ayarlar!$B$4*ABS(Bitkiler!$F$39-Topraklar!$F$27)+Ayarlar!$B$5*ABS(Bitkiler!$G$39-Topraklar!$G$27)+Ayarlar!$B$6*IF(Bitkiler!$H$39=Topraklar!$H$27,0,1))/Ayarlar!$B$7)+IF(Topraklar!$K$27=Bitkiler!$C$39,0.002,IF(Topraklar!$L$27="Evet",0.001,0)))</f>
        <v/>
      </c>
      <c r="AB40" s="16">
        <f>IF(OR(Topraklar!$J$28="Evet",AND(Topraklar!$L$28&lt;&gt;"Evet",Topraklar!$K$28&lt;&gt;Bitkiler!$C$39)),0,MAX(0,1-(Ayarlar!$B$2*ABS(Bitkiler!$D$39-Topraklar!$D$28)+Ayarlar!$B$3*ABS(Bitkiler!$E$39-Topraklar!$E$28)+Ayarlar!$B$4*ABS(Bitkiler!$F$39-Topraklar!$F$28)+Ayarlar!$B$5*ABS(Bitkiler!$G$39-Topraklar!$G$28)+Ayarlar!$B$6*IF(Bitkiler!$H$39=Topraklar!$H$28,0,1))/Ayarlar!$B$7)+IF(Topraklar!$K$28=Bitkiler!$C$39,0.002,IF(Topraklar!$L$28="Evet",0.001,0)))</f>
        <v/>
      </c>
      <c r="AC40" s="16">
        <f>IF(OR(Topraklar!$J$29="Evet",AND(Topraklar!$L$29&lt;&gt;"Evet",Topraklar!$K$29&lt;&gt;Bitkiler!$C$39)),0,MAX(0,1-(Ayarlar!$B$2*ABS(Bitkiler!$D$39-Topraklar!$D$29)+Ayarlar!$B$3*ABS(Bitkiler!$E$39-Topraklar!$E$29)+Ayarlar!$B$4*ABS(Bitkiler!$F$39-Topraklar!$F$29)+Ayarlar!$B$5*ABS(Bitkiler!$G$39-Topraklar!$G$29)+Ayarlar!$B$6*IF(Bitkiler!$H$39=Topraklar!$H$29,0,1))/Ayarlar!$B$7)+IF(Topraklar!$K$29=Bitkiler!$C$39,0.002,IF(Topraklar!$L$29="Evet",0.001,0)))</f>
        <v/>
      </c>
      <c r="AD40" s="16">
        <f>IF(OR(Topraklar!$J$30="Evet",AND(Topraklar!$L$30&lt;&gt;"Evet",Topraklar!$K$30&lt;&gt;Bitkiler!$C$39)),0,MAX(0,1-(Ayarlar!$B$2*ABS(Bitkiler!$D$39-Topraklar!$D$30)+Ayarlar!$B$3*ABS(Bitkiler!$E$39-Topraklar!$E$30)+Ayarlar!$B$4*ABS(Bitkiler!$F$39-Topraklar!$F$30)+Ayarlar!$B$5*ABS(Bitkiler!$G$39-Topraklar!$G$30)+Ayarlar!$B$6*IF(Bitkiler!$H$39=Topraklar!$H$30,0,1))/Ayarlar!$B$7)+IF(Topraklar!$K$30=Bitkiler!$C$39,0.002,IF(Topraklar!$L$30="Evet",0.001,0)))</f>
        <v/>
      </c>
      <c r="AE40" s="16">
        <f>IF(OR(Topraklar!$J$31="Evet",AND(Topraklar!$L$31&lt;&gt;"Evet",Topraklar!$K$31&lt;&gt;Bitkiler!$C$39)),0,MAX(0,1-(Ayarlar!$B$2*ABS(Bitkiler!$D$39-Topraklar!$D$31)+Ayarlar!$B$3*ABS(Bitkiler!$E$39-Topraklar!$E$31)+Ayarlar!$B$4*ABS(Bitkiler!$F$39-Topraklar!$F$31)+Ayarlar!$B$5*ABS(Bitkiler!$G$39-Topraklar!$G$31)+Ayarlar!$B$6*IF(Bitkiler!$H$39=Topraklar!$H$31,0,1))/Ayarlar!$B$7)+IF(Topraklar!$K$31=Bitkiler!$C$39,0.002,IF(Topraklar!$L$31="Evet",0.001,0)))</f>
        <v/>
      </c>
      <c r="AF40" s="16">
        <f>IF(OR(Topraklar!$J$32="Evet",AND(Topraklar!$L$32&lt;&gt;"Evet",Topraklar!$K$32&lt;&gt;Bitkiler!$C$39)),0,MAX(0,1-(Ayarlar!$B$2*ABS(Bitkiler!$D$39-Topraklar!$D$32)+Ayarlar!$B$3*ABS(Bitkiler!$E$39-Topraklar!$E$32)+Ayarlar!$B$4*ABS(Bitkiler!$F$39-Topraklar!$F$32)+Ayarlar!$B$5*ABS(Bitkiler!$G$39-Topraklar!$G$32)+Ayarlar!$B$6*IF(Bitkiler!$H$39=Topraklar!$H$32,0,1))/Ayarlar!$B$7)+IF(Topraklar!$K$32=Bitkiler!$C$39,0.002,IF(Topraklar!$L$32="Evet",0.001,0)))</f>
        <v/>
      </c>
      <c r="AG40" s="16">
        <f>IF(OR(Topraklar!$J$33="Evet",AND(Topraklar!$L$33&lt;&gt;"Evet",Topraklar!$K$33&lt;&gt;Bitkiler!$C$39)),0,MAX(0,1-(Ayarlar!$B$2*ABS(Bitkiler!$D$39-Topraklar!$D$33)+Ayarlar!$B$3*ABS(Bitkiler!$E$39-Topraklar!$E$33)+Ayarlar!$B$4*ABS(Bitkiler!$F$39-Topraklar!$F$33)+Ayarlar!$B$5*ABS(Bitkiler!$G$39-Topraklar!$G$33)+Ayarlar!$B$6*IF(Bitkiler!$H$39=Topraklar!$H$33,0,1))/Ayarlar!$B$7)+IF(Topraklar!$K$33=Bitkiler!$C$39,0.002,IF(Topraklar!$L$33="Evet",0.001,0)))</f>
        <v/>
      </c>
      <c r="AH40" s="16">
        <f>IF(OR(Topraklar!$J$34="Evet",AND(Topraklar!$L$34&lt;&gt;"Evet",Topraklar!$K$34&lt;&gt;Bitkiler!$C$39)),0,MAX(0,1-(Ayarlar!$B$2*ABS(Bitkiler!$D$39-Topraklar!$D$34)+Ayarlar!$B$3*ABS(Bitkiler!$E$39-Topraklar!$E$34)+Ayarlar!$B$4*ABS(Bitkiler!$F$39-Topraklar!$F$34)+Ayarlar!$B$5*ABS(Bitkiler!$G$39-Topraklar!$G$34)+Ayarlar!$B$6*IF(Bitkiler!$H$39=Topraklar!$H$34,0,1))/Ayarlar!$B$7)+IF(Topraklar!$K$34=Bitkiler!$C$39,0.002,IF(Topraklar!$L$34="Evet",0.001,0)))</f>
        <v/>
      </c>
      <c r="AI40" s="16">
        <f>IF(OR(Topraklar!$J$35="Evet",AND(Topraklar!$L$35&lt;&gt;"Evet",Topraklar!$K$35&lt;&gt;Bitkiler!$C$39)),0,MAX(0,1-(Ayarlar!$B$2*ABS(Bitkiler!$D$39-Topraklar!$D$35)+Ayarlar!$B$3*ABS(Bitkiler!$E$39-Topraklar!$E$35)+Ayarlar!$B$4*ABS(Bitkiler!$F$39-Topraklar!$F$35)+Ayarlar!$B$5*ABS(Bitkiler!$G$39-Topraklar!$G$35)+Ayarlar!$B$6*IF(Bitkiler!$H$39=Topraklar!$H$35,0,1))/Ayarlar!$B$7)+IF(Topraklar!$K$35=Bitkiler!$C$39,0.002,IF(Topraklar!$L$35="Evet",0.001,0)))</f>
        <v/>
      </c>
      <c r="AJ40" s="16">
        <f>IF(OR(Topraklar!$J$36="Evet",AND(Topraklar!$L$36&lt;&gt;"Evet",Topraklar!$K$36&lt;&gt;Bitkiler!$C$39)),0,MAX(0,1-(Ayarlar!$B$2*ABS(Bitkiler!$D$39-Topraklar!$D$36)+Ayarlar!$B$3*ABS(Bitkiler!$E$39-Topraklar!$E$36)+Ayarlar!$B$4*ABS(Bitkiler!$F$39-Topraklar!$F$36)+Ayarlar!$B$5*ABS(Bitkiler!$G$39-Topraklar!$G$36)+Ayarlar!$B$6*IF(Bitkiler!$H$39=Topraklar!$H$36,0,1))/Ayarlar!$B$7)+IF(Topraklar!$K$36=Bitkiler!$C$39,0.002,IF(Topraklar!$L$36="Evet",0.001,0)))</f>
        <v/>
      </c>
      <c r="AK40" s="16">
        <f>IF(OR(Topraklar!$J$37="Evet",AND(Topraklar!$L$37&lt;&gt;"Evet",Topraklar!$K$37&lt;&gt;Bitkiler!$C$39)),0,MAX(0,1-(Ayarlar!$B$2*ABS(Bitkiler!$D$39-Topraklar!$D$37)+Ayarlar!$B$3*ABS(Bitkiler!$E$39-Topraklar!$E$37)+Ayarlar!$B$4*ABS(Bitkiler!$F$39-Topraklar!$F$37)+Ayarlar!$B$5*ABS(Bitkiler!$G$39-Topraklar!$G$37)+Ayarlar!$B$6*IF(Bitkiler!$H$39=Topraklar!$H$37,0,1))/Ayarlar!$B$7)+IF(Topraklar!$K$37=Bitkiler!$C$39,0.002,IF(Topraklar!$L$37="Evet",0.001,0)))</f>
        <v/>
      </c>
      <c r="AL40" s="16">
        <f>IF(OR(Topraklar!$J$38="Evet",AND(Topraklar!$L$38&lt;&gt;"Evet",Topraklar!$K$38&lt;&gt;Bitkiler!$C$39)),0,MAX(0,1-(Ayarlar!$B$2*ABS(Bitkiler!$D$39-Topraklar!$D$38)+Ayarlar!$B$3*ABS(Bitkiler!$E$39-Topraklar!$E$38)+Ayarlar!$B$4*ABS(Bitkiler!$F$39-Topraklar!$F$38)+Ayarlar!$B$5*ABS(Bitkiler!$G$39-Topraklar!$G$38)+Ayarlar!$B$6*IF(Bitkiler!$H$39=Topraklar!$H$38,0,1))/Ayarlar!$B$7)+IF(Topraklar!$K$38=Bitkiler!$C$39,0.002,IF(Topraklar!$L$38="Evet",0.001,0)))</f>
        <v/>
      </c>
      <c r="AM40" s="16">
        <f>IF(OR(Topraklar!$J$39="Evet",AND(Topraklar!$L$39&lt;&gt;"Evet",Topraklar!$K$39&lt;&gt;Bitkiler!$C$39)),0,MAX(0,1-(Ayarlar!$B$2*ABS(Bitkiler!$D$39-Topraklar!$D$39)+Ayarlar!$B$3*ABS(Bitkiler!$E$39-Topraklar!$E$39)+Ayarlar!$B$4*ABS(Bitkiler!$F$39-Topraklar!$F$39)+Ayarlar!$B$5*ABS(Bitkiler!$G$39-Topraklar!$G$39)+Ayarlar!$B$6*IF(Bitkiler!$H$39=Topraklar!$H$39,0,1))/Ayarlar!$B$7)+IF(Topraklar!$K$39=Bitkiler!$C$39,0.002,IF(Topraklar!$L$39="Evet",0.001,0)))</f>
        <v/>
      </c>
      <c r="AN40" s="16">
        <f>IF(OR(Topraklar!$J$40="Evet",AND(Topraklar!$L$40&lt;&gt;"Evet",Topraklar!$K$40&lt;&gt;Bitkiler!$C$39)),0,MAX(0,1-(Ayarlar!$B$2*ABS(Bitkiler!$D$39-Topraklar!$D$40)+Ayarlar!$B$3*ABS(Bitkiler!$E$39-Topraklar!$E$40)+Ayarlar!$B$4*ABS(Bitkiler!$F$39-Topraklar!$F$40)+Ayarlar!$B$5*ABS(Bitkiler!$G$39-Topraklar!$G$40)+Ayarlar!$B$6*IF(Bitkiler!$H$39=Topraklar!$H$40,0,1))/Ayarlar!$B$7)+IF(Topraklar!$K$40=Bitkiler!$C$39,0.002,IF(Topraklar!$L$40="Evet",0.001,0)))</f>
        <v/>
      </c>
      <c r="AO40" s="16">
        <f>IF(OR(Topraklar!$J$41="Evet",AND(Topraklar!$L$41&lt;&gt;"Evet",Topraklar!$K$41&lt;&gt;Bitkiler!$C$39)),0,MAX(0,1-(Ayarlar!$B$2*ABS(Bitkiler!$D$39-Topraklar!$D$41)+Ayarlar!$B$3*ABS(Bitkiler!$E$39-Topraklar!$E$41)+Ayarlar!$B$4*ABS(Bitkiler!$F$39-Topraklar!$F$41)+Ayarlar!$B$5*ABS(Bitkiler!$G$39-Topraklar!$G$41)+Ayarlar!$B$6*IF(Bitkiler!$H$39=Topraklar!$H$41,0,1))/Ayarlar!$B$7)+IF(Topraklar!$K$41=Bitkiler!$C$39,0.002,IF(Topraklar!$L$41="Evet",0.001,0)))</f>
        <v/>
      </c>
      <c r="AP40" s="16">
        <f>IF(OR(Topraklar!$J$42="Evet",AND(Topraklar!$L$42&lt;&gt;"Evet",Topraklar!$K$42&lt;&gt;Bitkiler!$C$39)),0,MAX(0,1-(Ayarlar!$B$2*ABS(Bitkiler!$D$39-Topraklar!$D$42)+Ayarlar!$B$3*ABS(Bitkiler!$E$39-Topraklar!$E$42)+Ayarlar!$B$4*ABS(Bitkiler!$F$39-Topraklar!$F$42)+Ayarlar!$B$5*ABS(Bitkiler!$G$39-Topraklar!$G$42)+Ayarlar!$B$6*IF(Bitkiler!$H$39=Topraklar!$H$42,0,1))/Ayarlar!$B$7)+IF(Topraklar!$K$42=Bitkiler!$C$39,0.002,IF(Topraklar!$L$42="Evet",0.001,0)))</f>
        <v/>
      </c>
      <c r="AQ40" s="16">
        <f>IF(OR(Topraklar!$J$43="Evet",AND(Topraklar!$L$43&lt;&gt;"Evet",Topraklar!$K$43&lt;&gt;Bitkiler!$C$39)),0,MAX(0,1-(Ayarlar!$B$2*ABS(Bitkiler!$D$39-Topraklar!$D$43)+Ayarlar!$B$3*ABS(Bitkiler!$E$39-Topraklar!$E$43)+Ayarlar!$B$4*ABS(Bitkiler!$F$39-Topraklar!$F$43)+Ayarlar!$B$5*ABS(Bitkiler!$G$39-Topraklar!$G$43)+Ayarlar!$B$6*IF(Bitkiler!$H$39=Topraklar!$H$43,0,1))/Ayarlar!$B$7)+IF(Topraklar!$K$43=Bitkiler!$C$39,0.002,IF(Topraklar!$L$43="Evet",0.001,0)))</f>
        <v/>
      </c>
      <c r="AR40" s="16">
        <f>IF(OR(Topraklar!$J$44="Evet",AND(Topraklar!$L$44&lt;&gt;"Evet",Topraklar!$K$44&lt;&gt;Bitkiler!$C$39)),0,MAX(0,1-(Ayarlar!$B$2*ABS(Bitkiler!$D$39-Topraklar!$D$44)+Ayarlar!$B$3*ABS(Bitkiler!$E$39-Topraklar!$E$44)+Ayarlar!$B$4*ABS(Bitkiler!$F$39-Topraklar!$F$44)+Ayarlar!$B$5*ABS(Bitkiler!$G$39-Topraklar!$G$44)+Ayarlar!$B$6*IF(Bitkiler!$H$39=Topraklar!$H$44,0,1))/Ayarlar!$B$7)+IF(Topraklar!$K$44=Bitkiler!$C$39,0.002,IF(Topraklar!$L$44="Evet",0.001,0)))</f>
        <v/>
      </c>
      <c r="AS40" s="16">
        <f>IF(OR(Topraklar!$J$45="Evet",AND(Topraklar!$L$45&lt;&gt;"Evet",Topraklar!$K$45&lt;&gt;Bitkiler!$C$39)),0,MAX(0,1-(Ayarlar!$B$2*ABS(Bitkiler!$D$39-Topraklar!$D$45)+Ayarlar!$B$3*ABS(Bitkiler!$E$39-Topraklar!$E$45)+Ayarlar!$B$4*ABS(Bitkiler!$F$39-Topraklar!$F$45)+Ayarlar!$B$5*ABS(Bitkiler!$G$39-Topraklar!$G$45)+Ayarlar!$B$6*IF(Bitkiler!$H$39=Topraklar!$H$45,0,1))/Ayarlar!$B$7)+IF(Topraklar!$K$45=Bitkiler!$C$39,0.002,IF(Topraklar!$L$45="Evet",0.001,0)))</f>
        <v/>
      </c>
      <c r="AT40" s="16">
        <f>IF(OR(Topraklar!$J$46="Evet",AND(Topraklar!$L$46&lt;&gt;"Evet",Topraklar!$K$46&lt;&gt;Bitkiler!$C$39)),0,MAX(0,1-(Ayarlar!$B$2*ABS(Bitkiler!$D$39-Topraklar!$D$46)+Ayarlar!$B$3*ABS(Bitkiler!$E$39-Topraklar!$E$46)+Ayarlar!$B$4*ABS(Bitkiler!$F$39-Topraklar!$F$46)+Ayarlar!$B$5*ABS(Bitkiler!$G$39-Topraklar!$G$46)+Ayarlar!$B$6*IF(Bitkiler!$H$39=Topraklar!$H$46,0,1))/Ayarlar!$B$7)+IF(Topraklar!$K$46=Bitkiler!$C$39,0.002,IF(Topraklar!$L$46="Evet",0.001,0)))</f>
        <v/>
      </c>
      <c r="AU40" s="16">
        <f>IF(OR(Topraklar!$J$47="Evet",AND(Topraklar!$L$47&lt;&gt;"Evet",Topraklar!$K$47&lt;&gt;Bitkiler!$C$39)),0,MAX(0,1-(Ayarlar!$B$2*ABS(Bitkiler!$D$39-Topraklar!$D$47)+Ayarlar!$B$3*ABS(Bitkiler!$E$39-Topraklar!$E$47)+Ayarlar!$B$4*ABS(Bitkiler!$F$39-Topraklar!$F$47)+Ayarlar!$B$5*ABS(Bitkiler!$G$39-Topraklar!$G$47)+Ayarlar!$B$6*IF(Bitkiler!$H$39=Topraklar!$H$47,0,1))/Ayarlar!$B$7)+IF(Topraklar!$K$47=Bitkiler!$C$39,0.002,IF(Topraklar!$L$47="Evet",0.001,0)))</f>
        <v/>
      </c>
      <c r="AV40" s="16">
        <f>IF(OR(Topraklar!$J$48="Evet",AND(Topraklar!$L$48&lt;&gt;"Evet",Topraklar!$K$48&lt;&gt;Bitkiler!$C$39)),0,MAX(0,1-(Ayarlar!$B$2*ABS(Bitkiler!$D$39-Topraklar!$D$48)+Ayarlar!$B$3*ABS(Bitkiler!$E$39-Topraklar!$E$48)+Ayarlar!$B$4*ABS(Bitkiler!$F$39-Topraklar!$F$48)+Ayarlar!$B$5*ABS(Bitkiler!$G$39-Topraklar!$G$48)+Ayarlar!$B$6*IF(Bitkiler!$H$39=Topraklar!$H$48,0,1))/Ayarlar!$B$7)+IF(Topraklar!$K$48=Bitkiler!$C$39,0.002,IF(Topraklar!$L$48="Evet",0.001,0)))</f>
        <v/>
      </c>
      <c r="AW40" s="16">
        <f>IF(OR(Topraklar!$J$49="Evet",AND(Topraklar!$L$49&lt;&gt;"Evet",Topraklar!$K$49&lt;&gt;Bitkiler!$C$39)),0,MAX(0,1-(Ayarlar!$B$2*ABS(Bitkiler!$D$39-Topraklar!$D$49)+Ayarlar!$B$3*ABS(Bitkiler!$E$39-Topraklar!$E$49)+Ayarlar!$B$4*ABS(Bitkiler!$F$39-Topraklar!$F$49)+Ayarlar!$B$5*ABS(Bitkiler!$G$39-Topraklar!$G$49)+Ayarlar!$B$6*IF(Bitkiler!$H$39=Topraklar!$H$49,0,1))/Ayarlar!$B$7)+IF(Topraklar!$K$49=Bitkiler!$C$39,0.002,IF(Topraklar!$L$49="Evet",0.001,0)))</f>
        <v/>
      </c>
      <c r="AX40" s="16">
        <f>IF(OR(Topraklar!$J$50="Evet",AND(Topraklar!$L$50&lt;&gt;"Evet",Topraklar!$K$50&lt;&gt;Bitkiler!$C$39)),0,MAX(0,1-(Ayarlar!$B$2*ABS(Bitkiler!$D$39-Topraklar!$D$50)+Ayarlar!$B$3*ABS(Bitkiler!$E$39-Topraklar!$E$50)+Ayarlar!$B$4*ABS(Bitkiler!$F$39-Topraklar!$F$50)+Ayarlar!$B$5*ABS(Bitkiler!$G$39-Topraklar!$G$50)+Ayarlar!$B$6*IF(Bitkiler!$H$39=Topraklar!$H$50,0,1))/Ayarlar!$B$7)+IF(Topraklar!$K$50=Bitkiler!$C$39,0.002,IF(Topraklar!$L$50="Evet",0.001,0)))</f>
        <v/>
      </c>
      <c r="AY40" s="16">
        <f>IF(OR(Topraklar!$J$51="Evet",AND(Topraklar!$L$51&lt;&gt;"Evet",Topraklar!$K$51&lt;&gt;Bitkiler!$C$39)),0,MAX(0,1-(Ayarlar!$B$2*ABS(Bitkiler!$D$39-Topraklar!$D$51)+Ayarlar!$B$3*ABS(Bitkiler!$E$39-Topraklar!$E$51)+Ayarlar!$B$4*ABS(Bitkiler!$F$39-Topraklar!$F$51)+Ayarlar!$B$5*ABS(Bitkiler!$G$39-Topraklar!$G$51)+Ayarlar!$B$6*IF(Bitkiler!$H$39=Topraklar!$H$51,0,1))/Ayarlar!$B$7)+IF(Topraklar!$K$51=Bitkiler!$C$39,0.002,IF(Topraklar!$L$51="Evet",0.001,0)))</f>
        <v/>
      </c>
    </row>
    <row r="41">
      <c r="A41" s="15">
        <f>Bitkiler!A40</f>
        <v/>
      </c>
      <c r="B41" s="16">
        <f>IF(OR(Topraklar!$J$2="Evet",AND(Topraklar!$L$2&lt;&gt;"Evet",Topraklar!$K$2&lt;&gt;Bitkiler!$C$40)),0,MAX(0,1-(Ayarlar!$B$2*ABS(Bitkiler!$D$40-Topraklar!$D$2)+Ayarlar!$B$3*ABS(Bitkiler!$E$40-Topraklar!$E$2)+Ayarlar!$B$4*ABS(Bitkiler!$F$40-Topraklar!$F$2)+Ayarlar!$B$5*ABS(Bitkiler!$G$40-Topraklar!$G$2)+Ayarlar!$B$6*IF(Bitkiler!$H$40=Topraklar!$H$2,0,1))/Ayarlar!$B$7)+IF(Topraklar!$K$2=Bitkiler!$C$40,0.002,IF(Topraklar!$L$2="Evet",0.001,0)))</f>
        <v/>
      </c>
      <c r="C41" s="16">
        <f>IF(OR(Topraklar!$J$3="Evet",AND(Topraklar!$L$3&lt;&gt;"Evet",Topraklar!$K$3&lt;&gt;Bitkiler!$C$40)),0,MAX(0,1-(Ayarlar!$B$2*ABS(Bitkiler!$D$40-Topraklar!$D$3)+Ayarlar!$B$3*ABS(Bitkiler!$E$40-Topraklar!$E$3)+Ayarlar!$B$4*ABS(Bitkiler!$F$40-Topraklar!$F$3)+Ayarlar!$B$5*ABS(Bitkiler!$G$40-Topraklar!$G$3)+Ayarlar!$B$6*IF(Bitkiler!$H$40=Topraklar!$H$3,0,1))/Ayarlar!$B$7)+IF(Topraklar!$K$3=Bitkiler!$C$40,0.002,IF(Topraklar!$L$3="Evet",0.001,0)))</f>
        <v/>
      </c>
      <c r="D41" s="16">
        <f>IF(OR(Topraklar!$J$4="Evet",AND(Topraklar!$L$4&lt;&gt;"Evet",Topraklar!$K$4&lt;&gt;Bitkiler!$C$40)),0,MAX(0,1-(Ayarlar!$B$2*ABS(Bitkiler!$D$40-Topraklar!$D$4)+Ayarlar!$B$3*ABS(Bitkiler!$E$40-Topraklar!$E$4)+Ayarlar!$B$4*ABS(Bitkiler!$F$40-Topraklar!$F$4)+Ayarlar!$B$5*ABS(Bitkiler!$G$40-Topraklar!$G$4)+Ayarlar!$B$6*IF(Bitkiler!$H$40=Topraklar!$H$4,0,1))/Ayarlar!$B$7)+IF(Topraklar!$K$4=Bitkiler!$C$40,0.002,IF(Topraklar!$L$4="Evet",0.001,0)))</f>
        <v/>
      </c>
      <c r="E41" s="16">
        <f>IF(OR(Topraklar!$J$5="Evet",AND(Topraklar!$L$5&lt;&gt;"Evet",Topraklar!$K$5&lt;&gt;Bitkiler!$C$40)),0,MAX(0,1-(Ayarlar!$B$2*ABS(Bitkiler!$D$40-Topraklar!$D$5)+Ayarlar!$B$3*ABS(Bitkiler!$E$40-Topraklar!$E$5)+Ayarlar!$B$4*ABS(Bitkiler!$F$40-Topraklar!$F$5)+Ayarlar!$B$5*ABS(Bitkiler!$G$40-Topraklar!$G$5)+Ayarlar!$B$6*IF(Bitkiler!$H$40=Topraklar!$H$5,0,1))/Ayarlar!$B$7)+IF(Topraklar!$K$5=Bitkiler!$C$40,0.002,IF(Topraklar!$L$5="Evet",0.001,0)))</f>
        <v/>
      </c>
      <c r="F41" s="16">
        <f>IF(OR(Topraklar!$J$6="Evet",AND(Topraklar!$L$6&lt;&gt;"Evet",Topraklar!$K$6&lt;&gt;Bitkiler!$C$40)),0,MAX(0,1-(Ayarlar!$B$2*ABS(Bitkiler!$D$40-Topraklar!$D$6)+Ayarlar!$B$3*ABS(Bitkiler!$E$40-Topraklar!$E$6)+Ayarlar!$B$4*ABS(Bitkiler!$F$40-Topraklar!$F$6)+Ayarlar!$B$5*ABS(Bitkiler!$G$40-Topraklar!$G$6)+Ayarlar!$B$6*IF(Bitkiler!$H$40=Topraklar!$H$6,0,1))/Ayarlar!$B$7)+IF(Topraklar!$K$6=Bitkiler!$C$40,0.002,IF(Topraklar!$L$6="Evet",0.001,0)))</f>
        <v/>
      </c>
      <c r="G41" s="16">
        <f>IF(OR(Topraklar!$J$7="Evet",AND(Topraklar!$L$7&lt;&gt;"Evet",Topraklar!$K$7&lt;&gt;Bitkiler!$C$40)),0,MAX(0,1-(Ayarlar!$B$2*ABS(Bitkiler!$D$40-Topraklar!$D$7)+Ayarlar!$B$3*ABS(Bitkiler!$E$40-Topraklar!$E$7)+Ayarlar!$B$4*ABS(Bitkiler!$F$40-Topraklar!$F$7)+Ayarlar!$B$5*ABS(Bitkiler!$G$40-Topraklar!$G$7)+Ayarlar!$B$6*IF(Bitkiler!$H$40=Topraklar!$H$7,0,1))/Ayarlar!$B$7)+IF(Topraklar!$K$7=Bitkiler!$C$40,0.002,IF(Topraklar!$L$7="Evet",0.001,0)))</f>
        <v/>
      </c>
      <c r="H41" s="16">
        <f>IF(OR(Topraklar!$J$8="Evet",AND(Topraklar!$L$8&lt;&gt;"Evet",Topraklar!$K$8&lt;&gt;Bitkiler!$C$40)),0,MAX(0,1-(Ayarlar!$B$2*ABS(Bitkiler!$D$40-Topraklar!$D$8)+Ayarlar!$B$3*ABS(Bitkiler!$E$40-Topraklar!$E$8)+Ayarlar!$B$4*ABS(Bitkiler!$F$40-Topraklar!$F$8)+Ayarlar!$B$5*ABS(Bitkiler!$G$40-Topraklar!$G$8)+Ayarlar!$B$6*IF(Bitkiler!$H$40=Topraklar!$H$8,0,1))/Ayarlar!$B$7)+IF(Topraklar!$K$8=Bitkiler!$C$40,0.002,IF(Topraklar!$L$8="Evet",0.001,0)))</f>
        <v/>
      </c>
      <c r="I41" s="16">
        <f>IF(OR(Topraklar!$J$9="Evet",AND(Topraklar!$L$9&lt;&gt;"Evet",Topraklar!$K$9&lt;&gt;Bitkiler!$C$40)),0,MAX(0,1-(Ayarlar!$B$2*ABS(Bitkiler!$D$40-Topraklar!$D$9)+Ayarlar!$B$3*ABS(Bitkiler!$E$40-Topraklar!$E$9)+Ayarlar!$B$4*ABS(Bitkiler!$F$40-Topraklar!$F$9)+Ayarlar!$B$5*ABS(Bitkiler!$G$40-Topraklar!$G$9)+Ayarlar!$B$6*IF(Bitkiler!$H$40=Topraklar!$H$9,0,1))/Ayarlar!$B$7)+IF(Topraklar!$K$9=Bitkiler!$C$40,0.002,IF(Topraklar!$L$9="Evet",0.001,0)))</f>
        <v/>
      </c>
      <c r="J41" s="16">
        <f>IF(OR(Topraklar!$J$10="Evet",AND(Topraklar!$L$10&lt;&gt;"Evet",Topraklar!$K$10&lt;&gt;Bitkiler!$C$40)),0,MAX(0,1-(Ayarlar!$B$2*ABS(Bitkiler!$D$40-Topraklar!$D$10)+Ayarlar!$B$3*ABS(Bitkiler!$E$40-Topraklar!$E$10)+Ayarlar!$B$4*ABS(Bitkiler!$F$40-Topraklar!$F$10)+Ayarlar!$B$5*ABS(Bitkiler!$G$40-Topraklar!$G$10)+Ayarlar!$B$6*IF(Bitkiler!$H$40=Topraklar!$H$10,0,1))/Ayarlar!$B$7)+IF(Topraklar!$K$10=Bitkiler!$C$40,0.002,IF(Topraklar!$L$10="Evet",0.001,0)))</f>
        <v/>
      </c>
      <c r="K41" s="16">
        <f>IF(OR(Topraklar!$J$11="Evet",AND(Topraklar!$L$11&lt;&gt;"Evet",Topraklar!$K$11&lt;&gt;Bitkiler!$C$40)),0,MAX(0,1-(Ayarlar!$B$2*ABS(Bitkiler!$D$40-Topraklar!$D$11)+Ayarlar!$B$3*ABS(Bitkiler!$E$40-Topraklar!$E$11)+Ayarlar!$B$4*ABS(Bitkiler!$F$40-Topraklar!$F$11)+Ayarlar!$B$5*ABS(Bitkiler!$G$40-Topraklar!$G$11)+Ayarlar!$B$6*IF(Bitkiler!$H$40=Topraklar!$H$11,0,1))/Ayarlar!$B$7)+IF(Topraklar!$K$11=Bitkiler!$C$40,0.002,IF(Topraklar!$L$11="Evet",0.001,0)))</f>
        <v/>
      </c>
      <c r="L41" s="16">
        <f>IF(OR(Topraklar!$J$12="Evet",AND(Topraklar!$L$12&lt;&gt;"Evet",Topraklar!$K$12&lt;&gt;Bitkiler!$C$40)),0,MAX(0,1-(Ayarlar!$B$2*ABS(Bitkiler!$D$40-Topraklar!$D$12)+Ayarlar!$B$3*ABS(Bitkiler!$E$40-Topraklar!$E$12)+Ayarlar!$B$4*ABS(Bitkiler!$F$40-Topraklar!$F$12)+Ayarlar!$B$5*ABS(Bitkiler!$G$40-Topraklar!$G$12)+Ayarlar!$B$6*IF(Bitkiler!$H$40=Topraklar!$H$12,0,1))/Ayarlar!$B$7)+IF(Topraklar!$K$12=Bitkiler!$C$40,0.002,IF(Topraklar!$L$12="Evet",0.001,0)))</f>
        <v/>
      </c>
      <c r="M41" s="16">
        <f>IF(OR(Topraklar!$J$13="Evet",AND(Topraklar!$L$13&lt;&gt;"Evet",Topraklar!$K$13&lt;&gt;Bitkiler!$C$40)),0,MAX(0,1-(Ayarlar!$B$2*ABS(Bitkiler!$D$40-Topraklar!$D$13)+Ayarlar!$B$3*ABS(Bitkiler!$E$40-Topraklar!$E$13)+Ayarlar!$B$4*ABS(Bitkiler!$F$40-Topraklar!$F$13)+Ayarlar!$B$5*ABS(Bitkiler!$G$40-Topraklar!$G$13)+Ayarlar!$B$6*IF(Bitkiler!$H$40=Topraklar!$H$13,0,1))/Ayarlar!$B$7)+IF(Topraklar!$K$13=Bitkiler!$C$40,0.002,IF(Topraklar!$L$13="Evet",0.001,0)))</f>
        <v/>
      </c>
      <c r="N41" s="16">
        <f>IF(OR(Topraklar!$J$14="Evet",AND(Topraklar!$L$14&lt;&gt;"Evet",Topraklar!$K$14&lt;&gt;Bitkiler!$C$40)),0,MAX(0,1-(Ayarlar!$B$2*ABS(Bitkiler!$D$40-Topraklar!$D$14)+Ayarlar!$B$3*ABS(Bitkiler!$E$40-Topraklar!$E$14)+Ayarlar!$B$4*ABS(Bitkiler!$F$40-Topraklar!$F$14)+Ayarlar!$B$5*ABS(Bitkiler!$G$40-Topraklar!$G$14)+Ayarlar!$B$6*IF(Bitkiler!$H$40=Topraklar!$H$14,0,1))/Ayarlar!$B$7)+IF(Topraklar!$K$14=Bitkiler!$C$40,0.002,IF(Topraklar!$L$14="Evet",0.001,0)))</f>
        <v/>
      </c>
      <c r="O41" s="16">
        <f>IF(OR(Topraklar!$J$15="Evet",AND(Topraklar!$L$15&lt;&gt;"Evet",Topraklar!$K$15&lt;&gt;Bitkiler!$C$40)),0,MAX(0,1-(Ayarlar!$B$2*ABS(Bitkiler!$D$40-Topraklar!$D$15)+Ayarlar!$B$3*ABS(Bitkiler!$E$40-Topraklar!$E$15)+Ayarlar!$B$4*ABS(Bitkiler!$F$40-Topraklar!$F$15)+Ayarlar!$B$5*ABS(Bitkiler!$G$40-Topraklar!$G$15)+Ayarlar!$B$6*IF(Bitkiler!$H$40=Topraklar!$H$15,0,1))/Ayarlar!$B$7)+IF(Topraklar!$K$15=Bitkiler!$C$40,0.002,IF(Topraklar!$L$15="Evet",0.001,0)))</f>
        <v/>
      </c>
      <c r="P41" s="16">
        <f>IF(OR(Topraklar!$J$16="Evet",AND(Topraklar!$L$16&lt;&gt;"Evet",Topraklar!$K$16&lt;&gt;Bitkiler!$C$40)),0,MAX(0,1-(Ayarlar!$B$2*ABS(Bitkiler!$D$40-Topraklar!$D$16)+Ayarlar!$B$3*ABS(Bitkiler!$E$40-Topraklar!$E$16)+Ayarlar!$B$4*ABS(Bitkiler!$F$40-Topraklar!$F$16)+Ayarlar!$B$5*ABS(Bitkiler!$G$40-Topraklar!$G$16)+Ayarlar!$B$6*IF(Bitkiler!$H$40=Topraklar!$H$16,0,1))/Ayarlar!$B$7)+IF(Topraklar!$K$16=Bitkiler!$C$40,0.002,IF(Topraklar!$L$16="Evet",0.001,0)))</f>
        <v/>
      </c>
      <c r="Q41" s="16">
        <f>IF(OR(Topraklar!$J$17="Evet",AND(Topraklar!$L$17&lt;&gt;"Evet",Topraklar!$K$17&lt;&gt;Bitkiler!$C$40)),0,MAX(0,1-(Ayarlar!$B$2*ABS(Bitkiler!$D$40-Topraklar!$D$17)+Ayarlar!$B$3*ABS(Bitkiler!$E$40-Topraklar!$E$17)+Ayarlar!$B$4*ABS(Bitkiler!$F$40-Topraklar!$F$17)+Ayarlar!$B$5*ABS(Bitkiler!$G$40-Topraklar!$G$17)+Ayarlar!$B$6*IF(Bitkiler!$H$40=Topraklar!$H$17,0,1))/Ayarlar!$B$7)+IF(Topraklar!$K$17=Bitkiler!$C$40,0.002,IF(Topraklar!$L$17="Evet",0.001,0)))</f>
        <v/>
      </c>
      <c r="R41" s="16">
        <f>IF(OR(Topraklar!$J$18="Evet",AND(Topraklar!$L$18&lt;&gt;"Evet",Topraklar!$K$18&lt;&gt;Bitkiler!$C$40)),0,MAX(0,1-(Ayarlar!$B$2*ABS(Bitkiler!$D$40-Topraklar!$D$18)+Ayarlar!$B$3*ABS(Bitkiler!$E$40-Topraklar!$E$18)+Ayarlar!$B$4*ABS(Bitkiler!$F$40-Topraklar!$F$18)+Ayarlar!$B$5*ABS(Bitkiler!$G$40-Topraklar!$G$18)+Ayarlar!$B$6*IF(Bitkiler!$H$40=Topraklar!$H$18,0,1))/Ayarlar!$B$7)+IF(Topraklar!$K$18=Bitkiler!$C$40,0.002,IF(Topraklar!$L$18="Evet",0.001,0)))</f>
        <v/>
      </c>
      <c r="S41" s="16">
        <f>IF(OR(Topraklar!$J$19="Evet",AND(Topraklar!$L$19&lt;&gt;"Evet",Topraklar!$K$19&lt;&gt;Bitkiler!$C$40)),0,MAX(0,1-(Ayarlar!$B$2*ABS(Bitkiler!$D$40-Topraklar!$D$19)+Ayarlar!$B$3*ABS(Bitkiler!$E$40-Topraklar!$E$19)+Ayarlar!$B$4*ABS(Bitkiler!$F$40-Topraklar!$F$19)+Ayarlar!$B$5*ABS(Bitkiler!$G$40-Topraklar!$G$19)+Ayarlar!$B$6*IF(Bitkiler!$H$40=Topraklar!$H$19,0,1))/Ayarlar!$B$7)+IF(Topraklar!$K$19=Bitkiler!$C$40,0.002,IF(Topraklar!$L$19="Evet",0.001,0)))</f>
        <v/>
      </c>
      <c r="T41" s="16">
        <f>IF(OR(Topraklar!$J$20="Evet",AND(Topraklar!$L$20&lt;&gt;"Evet",Topraklar!$K$20&lt;&gt;Bitkiler!$C$40)),0,MAX(0,1-(Ayarlar!$B$2*ABS(Bitkiler!$D$40-Topraklar!$D$20)+Ayarlar!$B$3*ABS(Bitkiler!$E$40-Topraklar!$E$20)+Ayarlar!$B$4*ABS(Bitkiler!$F$40-Topraklar!$F$20)+Ayarlar!$B$5*ABS(Bitkiler!$G$40-Topraklar!$G$20)+Ayarlar!$B$6*IF(Bitkiler!$H$40=Topraklar!$H$20,0,1))/Ayarlar!$B$7)+IF(Topraklar!$K$20=Bitkiler!$C$40,0.002,IF(Topraklar!$L$20="Evet",0.001,0)))</f>
        <v/>
      </c>
      <c r="U41" s="16">
        <f>IF(OR(Topraklar!$J$21="Evet",AND(Topraklar!$L$21&lt;&gt;"Evet",Topraklar!$K$21&lt;&gt;Bitkiler!$C$40)),0,MAX(0,1-(Ayarlar!$B$2*ABS(Bitkiler!$D$40-Topraklar!$D$21)+Ayarlar!$B$3*ABS(Bitkiler!$E$40-Topraklar!$E$21)+Ayarlar!$B$4*ABS(Bitkiler!$F$40-Topraklar!$F$21)+Ayarlar!$B$5*ABS(Bitkiler!$G$40-Topraklar!$G$21)+Ayarlar!$B$6*IF(Bitkiler!$H$40=Topraklar!$H$21,0,1))/Ayarlar!$B$7)+IF(Topraklar!$K$21=Bitkiler!$C$40,0.002,IF(Topraklar!$L$21="Evet",0.001,0)))</f>
        <v/>
      </c>
      <c r="V41" s="16">
        <f>IF(OR(Topraklar!$J$22="Evet",AND(Topraklar!$L$22&lt;&gt;"Evet",Topraklar!$K$22&lt;&gt;Bitkiler!$C$40)),0,MAX(0,1-(Ayarlar!$B$2*ABS(Bitkiler!$D$40-Topraklar!$D$22)+Ayarlar!$B$3*ABS(Bitkiler!$E$40-Topraklar!$E$22)+Ayarlar!$B$4*ABS(Bitkiler!$F$40-Topraklar!$F$22)+Ayarlar!$B$5*ABS(Bitkiler!$G$40-Topraklar!$G$22)+Ayarlar!$B$6*IF(Bitkiler!$H$40=Topraklar!$H$22,0,1))/Ayarlar!$B$7)+IF(Topraklar!$K$22=Bitkiler!$C$40,0.002,IF(Topraklar!$L$22="Evet",0.001,0)))</f>
        <v/>
      </c>
      <c r="W41" s="16">
        <f>IF(OR(Topraklar!$J$23="Evet",AND(Topraklar!$L$23&lt;&gt;"Evet",Topraklar!$K$23&lt;&gt;Bitkiler!$C$40)),0,MAX(0,1-(Ayarlar!$B$2*ABS(Bitkiler!$D$40-Topraklar!$D$23)+Ayarlar!$B$3*ABS(Bitkiler!$E$40-Topraklar!$E$23)+Ayarlar!$B$4*ABS(Bitkiler!$F$40-Topraklar!$F$23)+Ayarlar!$B$5*ABS(Bitkiler!$G$40-Topraklar!$G$23)+Ayarlar!$B$6*IF(Bitkiler!$H$40=Topraklar!$H$23,0,1))/Ayarlar!$B$7)+IF(Topraklar!$K$23=Bitkiler!$C$40,0.002,IF(Topraklar!$L$23="Evet",0.001,0)))</f>
        <v/>
      </c>
      <c r="X41" s="16">
        <f>IF(OR(Topraklar!$J$24="Evet",AND(Topraklar!$L$24&lt;&gt;"Evet",Topraklar!$K$24&lt;&gt;Bitkiler!$C$40)),0,MAX(0,1-(Ayarlar!$B$2*ABS(Bitkiler!$D$40-Topraklar!$D$24)+Ayarlar!$B$3*ABS(Bitkiler!$E$40-Topraklar!$E$24)+Ayarlar!$B$4*ABS(Bitkiler!$F$40-Topraklar!$F$24)+Ayarlar!$B$5*ABS(Bitkiler!$G$40-Topraklar!$G$24)+Ayarlar!$B$6*IF(Bitkiler!$H$40=Topraklar!$H$24,0,1))/Ayarlar!$B$7)+IF(Topraklar!$K$24=Bitkiler!$C$40,0.002,IF(Topraklar!$L$24="Evet",0.001,0)))</f>
        <v/>
      </c>
      <c r="Y41" s="16">
        <f>IF(OR(Topraklar!$J$25="Evet",AND(Topraklar!$L$25&lt;&gt;"Evet",Topraklar!$K$25&lt;&gt;Bitkiler!$C$40)),0,MAX(0,1-(Ayarlar!$B$2*ABS(Bitkiler!$D$40-Topraklar!$D$25)+Ayarlar!$B$3*ABS(Bitkiler!$E$40-Topraklar!$E$25)+Ayarlar!$B$4*ABS(Bitkiler!$F$40-Topraklar!$F$25)+Ayarlar!$B$5*ABS(Bitkiler!$G$40-Topraklar!$G$25)+Ayarlar!$B$6*IF(Bitkiler!$H$40=Topraklar!$H$25,0,1))/Ayarlar!$B$7)+IF(Topraklar!$K$25=Bitkiler!$C$40,0.002,IF(Topraklar!$L$25="Evet",0.001,0)))</f>
        <v/>
      </c>
      <c r="Z41" s="16">
        <f>IF(OR(Topraklar!$J$26="Evet",AND(Topraklar!$L$26&lt;&gt;"Evet",Topraklar!$K$26&lt;&gt;Bitkiler!$C$40)),0,MAX(0,1-(Ayarlar!$B$2*ABS(Bitkiler!$D$40-Topraklar!$D$26)+Ayarlar!$B$3*ABS(Bitkiler!$E$40-Topraklar!$E$26)+Ayarlar!$B$4*ABS(Bitkiler!$F$40-Topraklar!$F$26)+Ayarlar!$B$5*ABS(Bitkiler!$G$40-Topraklar!$G$26)+Ayarlar!$B$6*IF(Bitkiler!$H$40=Topraklar!$H$26,0,1))/Ayarlar!$B$7)+IF(Topraklar!$K$26=Bitkiler!$C$40,0.002,IF(Topraklar!$L$26="Evet",0.001,0)))</f>
        <v/>
      </c>
      <c r="AA41" s="16">
        <f>IF(OR(Topraklar!$J$27="Evet",AND(Topraklar!$L$27&lt;&gt;"Evet",Topraklar!$K$27&lt;&gt;Bitkiler!$C$40)),0,MAX(0,1-(Ayarlar!$B$2*ABS(Bitkiler!$D$40-Topraklar!$D$27)+Ayarlar!$B$3*ABS(Bitkiler!$E$40-Topraklar!$E$27)+Ayarlar!$B$4*ABS(Bitkiler!$F$40-Topraklar!$F$27)+Ayarlar!$B$5*ABS(Bitkiler!$G$40-Topraklar!$G$27)+Ayarlar!$B$6*IF(Bitkiler!$H$40=Topraklar!$H$27,0,1))/Ayarlar!$B$7)+IF(Topraklar!$K$27=Bitkiler!$C$40,0.002,IF(Topraklar!$L$27="Evet",0.001,0)))</f>
        <v/>
      </c>
      <c r="AB41" s="16">
        <f>IF(OR(Topraklar!$J$28="Evet",AND(Topraklar!$L$28&lt;&gt;"Evet",Topraklar!$K$28&lt;&gt;Bitkiler!$C$40)),0,MAX(0,1-(Ayarlar!$B$2*ABS(Bitkiler!$D$40-Topraklar!$D$28)+Ayarlar!$B$3*ABS(Bitkiler!$E$40-Topraklar!$E$28)+Ayarlar!$B$4*ABS(Bitkiler!$F$40-Topraklar!$F$28)+Ayarlar!$B$5*ABS(Bitkiler!$G$40-Topraklar!$G$28)+Ayarlar!$B$6*IF(Bitkiler!$H$40=Topraklar!$H$28,0,1))/Ayarlar!$B$7)+IF(Topraklar!$K$28=Bitkiler!$C$40,0.002,IF(Topraklar!$L$28="Evet",0.001,0)))</f>
        <v/>
      </c>
      <c r="AC41" s="16">
        <f>IF(OR(Topraklar!$J$29="Evet",AND(Topraklar!$L$29&lt;&gt;"Evet",Topraklar!$K$29&lt;&gt;Bitkiler!$C$40)),0,MAX(0,1-(Ayarlar!$B$2*ABS(Bitkiler!$D$40-Topraklar!$D$29)+Ayarlar!$B$3*ABS(Bitkiler!$E$40-Topraklar!$E$29)+Ayarlar!$B$4*ABS(Bitkiler!$F$40-Topraklar!$F$29)+Ayarlar!$B$5*ABS(Bitkiler!$G$40-Topraklar!$G$29)+Ayarlar!$B$6*IF(Bitkiler!$H$40=Topraklar!$H$29,0,1))/Ayarlar!$B$7)+IF(Topraklar!$K$29=Bitkiler!$C$40,0.002,IF(Topraklar!$L$29="Evet",0.001,0)))</f>
        <v/>
      </c>
      <c r="AD41" s="16">
        <f>IF(OR(Topraklar!$J$30="Evet",AND(Topraklar!$L$30&lt;&gt;"Evet",Topraklar!$K$30&lt;&gt;Bitkiler!$C$40)),0,MAX(0,1-(Ayarlar!$B$2*ABS(Bitkiler!$D$40-Topraklar!$D$30)+Ayarlar!$B$3*ABS(Bitkiler!$E$40-Topraklar!$E$30)+Ayarlar!$B$4*ABS(Bitkiler!$F$40-Topraklar!$F$30)+Ayarlar!$B$5*ABS(Bitkiler!$G$40-Topraklar!$G$30)+Ayarlar!$B$6*IF(Bitkiler!$H$40=Topraklar!$H$30,0,1))/Ayarlar!$B$7)+IF(Topraklar!$K$30=Bitkiler!$C$40,0.002,IF(Topraklar!$L$30="Evet",0.001,0)))</f>
        <v/>
      </c>
      <c r="AE41" s="16">
        <f>IF(OR(Topraklar!$J$31="Evet",AND(Topraklar!$L$31&lt;&gt;"Evet",Topraklar!$K$31&lt;&gt;Bitkiler!$C$40)),0,MAX(0,1-(Ayarlar!$B$2*ABS(Bitkiler!$D$40-Topraklar!$D$31)+Ayarlar!$B$3*ABS(Bitkiler!$E$40-Topraklar!$E$31)+Ayarlar!$B$4*ABS(Bitkiler!$F$40-Topraklar!$F$31)+Ayarlar!$B$5*ABS(Bitkiler!$G$40-Topraklar!$G$31)+Ayarlar!$B$6*IF(Bitkiler!$H$40=Topraklar!$H$31,0,1))/Ayarlar!$B$7)+IF(Topraklar!$K$31=Bitkiler!$C$40,0.002,IF(Topraklar!$L$31="Evet",0.001,0)))</f>
        <v/>
      </c>
      <c r="AF41" s="16">
        <f>IF(OR(Topraklar!$J$32="Evet",AND(Topraklar!$L$32&lt;&gt;"Evet",Topraklar!$K$32&lt;&gt;Bitkiler!$C$40)),0,MAX(0,1-(Ayarlar!$B$2*ABS(Bitkiler!$D$40-Topraklar!$D$32)+Ayarlar!$B$3*ABS(Bitkiler!$E$40-Topraklar!$E$32)+Ayarlar!$B$4*ABS(Bitkiler!$F$40-Topraklar!$F$32)+Ayarlar!$B$5*ABS(Bitkiler!$G$40-Topraklar!$G$32)+Ayarlar!$B$6*IF(Bitkiler!$H$40=Topraklar!$H$32,0,1))/Ayarlar!$B$7)+IF(Topraklar!$K$32=Bitkiler!$C$40,0.002,IF(Topraklar!$L$32="Evet",0.001,0)))</f>
        <v/>
      </c>
      <c r="AG41" s="16">
        <f>IF(OR(Topraklar!$J$33="Evet",AND(Topraklar!$L$33&lt;&gt;"Evet",Topraklar!$K$33&lt;&gt;Bitkiler!$C$40)),0,MAX(0,1-(Ayarlar!$B$2*ABS(Bitkiler!$D$40-Topraklar!$D$33)+Ayarlar!$B$3*ABS(Bitkiler!$E$40-Topraklar!$E$33)+Ayarlar!$B$4*ABS(Bitkiler!$F$40-Topraklar!$F$33)+Ayarlar!$B$5*ABS(Bitkiler!$G$40-Topraklar!$G$33)+Ayarlar!$B$6*IF(Bitkiler!$H$40=Topraklar!$H$33,0,1))/Ayarlar!$B$7)+IF(Topraklar!$K$33=Bitkiler!$C$40,0.002,IF(Topraklar!$L$33="Evet",0.001,0)))</f>
        <v/>
      </c>
      <c r="AH41" s="16">
        <f>IF(OR(Topraklar!$J$34="Evet",AND(Topraklar!$L$34&lt;&gt;"Evet",Topraklar!$K$34&lt;&gt;Bitkiler!$C$40)),0,MAX(0,1-(Ayarlar!$B$2*ABS(Bitkiler!$D$40-Topraklar!$D$34)+Ayarlar!$B$3*ABS(Bitkiler!$E$40-Topraklar!$E$34)+Ayarlar!$B$4*ABS(Bitkiler!$F$40-Topraklar!$F$34)+Ayarlar!$B$5*ABS(Bitkiler!$G$40-Topraklar!$G$34)+Ayarlar!$B$6*IF(Bitkiler!$H$40=Topraklar!$H$34,0,1))/Ayarlar!$B$7)+IF(Topraklar!$K$34=Bitkiler!$C$40,0.002,IF(Topraklar!$L$34="Evet",0.001,0)))</f>
        <v/>
      </c>
      <c r="AI41" s="16">
        <f>IF(OR(Topraklar!$J$35="Evet",AND(Topraklar!$L$35&lt;&gt;"Evet",Topraklar!$K$35&lt;&gt;Bitkiler!$C$40)),0,MAX(0,1-(Ayarlar!$B$2*ABS(Bitkiler!$D$40-Topraklar!$D$35)+Ayarlar!$B$3*ABS(Bitkiler!$E$40-Topraklar!$E$35)+Ayarlar!$B$4*ABS(Bitkiler!$F$40-Topraklar!$F$35)+Ayarlar!$B$5*ABS(Bitkiler!$G$40-Topraklar!$G$35)+Ayarlar!$B$6*IF(Bitkiler!$H$40=Topraklar!$H$35,0,1))/Ayarlar!$B$7)+IF(Topraklar!$K$35=Bitkiler!$C$40,0.002,IF(Topraklar!$L$35="Evet",0.001,0)))</f>
        <v/>
      </c>
      <c r="AJ41" s="16">
        <f>IF(OR(Topraklar!$J$36="Evet",AND(Topraklar!$L$36&lt;&gt;"Evet",Topraklar!$K$36&lt;&gt;Bitkiler!$C$40)),0,MAX(0,1-(Ayarlar!$B$2*ABS(Bitkiler!$D$40-Topraklar!$D$36)+Ayarlar!$B$3*ABS(Bitkiler!$E$40-Topraklar!$E$36)+Ayarlar!$B$4*ABS(Bitkiler!$F$40-Topraklar!$F$36)+Ayarlar!$B$5*ABS(Bitkiler!$G$40-Topraklar!$G$36)+Ayarlar!$B$6*IF(Bitkiler!$H$40=Topraklar!$H$36,0,1))/Ayarlar!$B$7)+IF(Topraklar!$K$36=Bitkiler!$C$40,0.002,IF(Topraklar!$L$36="Evet",0.001,0)))</f>
        <v/>
      </c>
      <c r="AK41" s="16">
        <f>IF(OR(Topraklar!$J$37="Evet",AND(Topraklar!$L$37&lt;&gt;"Evet",Topraklar!$K$37&lt;&gt;Bitkiler!$C$40)),0,MAX(0,1-(Ayarlar!$B$2*ABS(Bitkiler!$D$40-Topraklar!$D$37)+Ayarlar!$B$3*ABS(Bitkiler!$E$40-Topraklar!$E$37)+Ayarlar!$B$4*ABS(Bitkiler!$F$40-Topraklar!$F$37)+Ayarlar!$B$5*ABS(Bitkiler!$G$40-Topraklar!$G$37)+Ayarlar!$B$6*IF(Bitkiler!$H$40=Topraklar!$H$37,0,1))/Ayarlar!$B$7)+IF(Topraklar!$K$37=Bitkiler!$C$40,0.002,IF(Topraklar!$L$37="Evet",0.001,0)))</f>
        <v/>
      </c>
      <c r="AL41" s="16">
        <f>IF(OR(Topraklar!$J$38="Evet",AND(Topraklar!$L$38&lt;&gt;"Evet",Topraklar!$K$38&lt;&gt;Bitkiler!$C$40)),0,MAX(0,1-(Ayarlar!$B$2*ABS(Bitkiler!$D$40-Topraklar!$D$38)+Ayarlar!$B$3*ABS(Bitkiler!$E$40-Topraklar!$E$38)+Ayarlar!$B$4*ABS(Bitkiler!$F$40-Topraklar!$F$38)+Ayarlar!$B$5*ABS(Bitkiler!$G$40-Topraklar!$G$38)+Ayarlar!$B$6*IF(Bitkiler!$H$40=Topraklar!$H$38,0,1))/Ayarlar!$B$7)+IF(Topraklar!$K$38=Bitkiler!$C$40,0.002,IF(Topraklar!$L$38="Evet",0.001,0)))</f>
        <v/>
      </c>
      <c r="AM41" s="16">
        <f>IF(OR(Topraklar!$J$39="Evet",AND(Topraklar!$L$39&lt;&gt;"Evet",Topraklar!$K$39&lt;&gt;Bitkiler!$C$40)),0,MAX(0,1-(Ayarlar!$B$2*ABS(Bitkiler!$D$40-Topraklar!$D$39)+Ayarlar!$B$3*ABS(Bitkiler!$E$40-Topraklar!$E$39)+Ayarlar!$B$4*ABS(Bitkiler!$F$40-Topraklar!$F$39)+Ayarlar!$B$5*ABS(Bitkiler!$G$40-Topraklar!$G$39)+Ayarlar!$B$6*IF(Bitkiler!$H$40=Topraklar!$H$39,0,1))/Ayarlar!$B$7)+IF(Topraklar!$K$39=Bitkiler!$C$40,0.002,IF(Topraklar!$L$39="Evet",0.001,0)))</f>
        <v/>
      </c>
      <c r="AN41" s="16">
        <f>IF(OR(Topraklar!$J$40="Evet",AND(Topraklar!$L$40&lt;&gt;"Evet",Topraklar!$K$40&lt;&gt;Bitkiler!$C$40)),0,MAX(0,1-(Ayarlar!$B$2*ABS(Bitkiler!$D$40-Topraklar!$D$40)+Ayarlar!$B$3*ABS(Bitkiler!$E$40-Topraklar!$E$40)+Ayarlar!$B$4*ABS(Bitkiler!$F$40-Topraklar!$F$40)+Ayarlar!$B$5*ABS(Bitkiler!$G$40-Topraklar!$G$40)+Ayarlar!$B$6*IF(Bitkiler!$H$40=Topraklar!$H$40,0,1))/Ayarlar!$B$7)+IF(Topraklar!$K$40=Bitkiler!$C$40,0.002,IF(Topraklar!$L$40="Evet",0.001,0)))</f>
        <v/>
      </c>
      <c r="AO41" s="16">
        <f>IF(OR(Topraklar!$J$41="Evet",AND(Topraklar!$L$41&lt;&gt;"Evet",Topraklar!$K$41&lt;&gt;Bitkiler!$C$40)),0,MAX(0,1-(Ayarlar!$B$2*ABS(Bitkiler!$D$40-Topraklar!$D$41)+Ayarlar!$B$3*ABS(Bitkiler!$E$40-Topraklar!$E$41)+Ayarlar!$B$4*ABS(Bitkiler!$F$40-Topraklar!$F$41)+Ayarlar!$B$5*ABS(Bitkiler!$G$40-Topraklar!$G$41)+Ayarlar!$B$6*IF(Bitkiler!$H$40=Topraklar!$H$41,0,1))/Ayarlar!$B$7)+IF(Topraklar!$K$41=Bitkiler!$C$40,0.002,IF(Topraklar!$L$41="Evet",0.001,0)))</f>
        <v/>
      </c>
      <c r="AP41" s="16">
        <f>IF(OR(Topraklar!$J$42="Evet",AND(Topraklar!$L$42&lt;&gt;"Evet",Topraklar!$K$42&lt;&gt;Bitkiler!$C$40)),0,MAX(0,1-(Ayarlar!$B$2*ABS(Bitkiler!$D$40-Topraklar!$D$42)+Ayarlar!$B$3*ABS(Bitkiler!$E$40-Topraklar!$E$42)+Ayarlar!$B$4*ABS(Bitkiler!$F$40-Topraklar!$F$42)+Ayarlar!$B$5*ABS(Bitkiler!$G$40-Topraklar!$G$42)+Ayarlar!$B$6*IF(Bitkiler!$H$40=Topraklar!$H$42,0,1))/Ayarlar!$B$7)+IF(Topraklar!$K$42=Bitkiler!$C$40,0.002,IF(Topraklar!$L$42="Evet",0.001,0)))</f>
        <v/>
      </c>
      <c r="AQ41" s="16">
        <f>IF(OR(Topraklar!$J$43="Evet",AND(Topraklar!$L$43&lt;&gt;"Evet",Topraklar!$K$43&lt;&gt;Bitkiler!$C$40)),0,MAX(0,1-(Ayarlar!$B$2*ABS(Bitkiler!$D$40-Topraklar!$D$43)+Ayarlar!$B$3*ABS(Bitkiler!$E$40-Topraklar!$E$43)+Ayarlar!$B$4*ABS(Bitkiler!$F$40-Topraklar!$F$43)+Ayarlar!$B$5*ABS(Bitkiler!$G$40-Topraklar!$G$43)+Ayarlar!$B$6*IF(Bitkiler!$H$40=Topraklar!$H$43,0,1))/Ayarlar!$B$7)+IF(Topraklar!$K$43=Bitkiler!$C$40,0.002,IF(Topraklar!$L$43="Evet",0.001,0)))</f>
        <v/>
      </c>
      <c r="AR41" s="16">
        <f>IF(OR(Topraklar!$J$44="Evet",AND(Topraklar!$L$44&lt;&gt;"Evet",Topraklar!$K$44&lt;&gt;Bitkiler!$C$40)),0,MAX(0,1-(Ayarlar!$B$2*ABS(Bitkiler!$D$40-Topraklar!$D$44)+Ayarlar!$B$3*ABS(Bitkiler!$E$40-Topraklar!$E$44)+Ayarlar!$B$4*ABS(Bitkiler!$F$40-Topraklar!$F$44)+Ayarlar!$B$5*ABS(Bitkiler!$G$40-Topraklar!$G$44)+Ayarlar!$B$6*IF(Bitkiler!$H$40=Topraklar!$H$44,0,1))/Ayarlar!$B$7)+IF(Topraklar!$K$44=Bitkiler!$C$40,0.002,IF(Topraklar!$L$44="Evet",0.001,0)))</f>
        <v/>
      </c>
      <c r="AS41" s="16">
        <f>IF(OR(Topraklar!$J$45="Evet",AND(Topraklar!$L$45&lt;&gt;"Evet",Topraklar!$K$45&lt;&gt;Bitkiler!$C$40)),0,MAX(0,1-(Ayarlar!$B$2*ABS(Bitkiler!$D$40-Topraklar!$D$45)+Ayarlar!$B$3*ABS(Bitkiler!$E$40-Topraklar!$E$45)+Ayarlar!$B$4*ABS(Bitkiler!$F$40-Topraklar!$F$45)+Ayarlar!$B$5*ABS(Bitkiler!$G$40-Topraklar!$G$45)+Ayarlar!$B$6*IF(Bitkiler!$H$40=Topraklar!$H$45,0,1))/Ayarlar!$B$7)+IF(Topraklar!$K$45=Bitkiler!$C$40,0.002,IF(Topraklar!$L$45="Evet",0.001,0)))</f>
        <v/>
      </c>
      <c r="AT41" s="16">
        <f>IF(OR(Topraklar!$J$46="Evet",AND(Topraklar!$L$46&lt;&gt;"Evet",Topraklar!$K$46&lt;&gt;Bitkiler!$C$40)),0,MAX(0,1-(Ayarlar!$B$2*ABS(Bitkiler!$D$40-Topraklar!$D$46)+Ayarlar!$B$3*ABS(Bitkiler!$E$40-Topraklar!$E$46)+Ayarlar!$B$4*ABS(Bitkiler!$F$40-Topraklar!$F$46)+Ayarlar!$B$5*ABS(Bitkiler!$G$40-Topraklar!$G$46)+Ayarlar!$B$6*IF(Bitkiler!$H$40=Topraklar!$H$46,0,1))/Ayarlar!$B$7)+IF(Topraklar!$K$46=Bitkiler!$C$40,0.002,IF(Topraklar!$L$46="Evet",0.001,0)))</f>
        <v/>
      </c>
      <c r="AU41" s="16">
        <f>IF(OR(Topraklar!$J$47="Evet",AND(Topraklar!$L$47&lt;&gt;"Evet",Topraklar!$K$47&lt;&gt;Bitkiler!$C$40)),0,MAX(0,1-(Ayarlar!$B$2*ABS(Bitkiler!$D$40-Topraklar!$D$47)+Ayarlar!$B$3*ABS(Bitkiler!$E$40-Topraklar!$E$47)+Ayarlar!$B$4*ABS(Bitkiler!$F$40-Topraklar!$F$47)+Ayarlar!$B$5*ABS(Bitkiler!$G$40-Topraklar!$G$47)+Ayarlar!$B$6*IF(Bitkiler!$H$40=Topraklar!$H$47,0,1))/Ayarlar!$B$7)+IF(Topraklar!$K$47=Bitkiler!$C$40,0.002,IF(Topraklar!$L$47="Evet",0.001,0)))</f>
        <v/>
      </c>
      <c r="AV41" s="16">
        <f>IF(OR(Topraklar!$J$48="Evet",AND(Topraklar!$L$48&lt;&gt;"Evet",Topraklar!$K$48&lt;&gt;Bitkiler!$C$40)),0,MAX(0,1-(Ayarlar!$B$2*ABS(Bitkiler!$D$40-Topraklar!$D$48)+Ayarlar!$B$3*ABS(Bitkiler!$E$40-Topraklar!$E$48)+Ayarlar!$B$4*ABS(Bitkiler!$F$40-Topraklar!$F$48)+Ayarlar!$B$5*ABS(Bitkiler!$G$40-Topraklar!$G$48)+Ayarlar!$B$6*IF(Bitkiler!$H$40=Topraklar!$H$48,0,1))/Ayarlar!$B$7)+IF(Topraklar!$K$48=Bitkiler!$C$40,0.002,IF(Topraklar!$L$48="Evet",0.001,0)))</f>
        <v/>
      </c>
      <c r="AW41" s="16">
        <f>IF(OR(Topraklar!$J$49="Evet",AND(Topraklar!$L$49&lt;&gt;"Evet",Topraklar!$K$49&lt;&gt;Bitkiler!$C$40)),0,MAX(0,1-(Ayarlar!$B$2*ABS(Bitkiler!$D$40-Topraklar!$D$49)+Ayarlar!$B$3*ABS(Bitkiler!$E$40-Topraklar!$E$49)+Ayarlar!$B$4*ABS(Bitkiler!$F$40-Topraklar!$F$49)+Ayarlar!$B$5*ABS(Bitkiler!$G$40-Topraklar!$G$49)+Ayarlar!$B$6*IF(Bitkiler!$H$40=Topraklar!$H$49,0,1))/Ayarlar!$B$7)+IF(Topraklar!$K$49=Bitkiler!$C$40,0.002,IF(Topraklar!$L$49="Evet",0.001,0)))</f>
        <v/>
      </c>
      <c r="AX41" s="16">
        <f>IF(OR(Topraklar!$J$50="Evet",AND(Topraklar!$L$50&lt;&gt;"Evet",Topraklar!$K$50&lt;&gt;Bitkiler!$C$40)),0,MAX(0,1-(Ayarlar!$B$2*ABS(Bitkiler!$D$40-Topraklar!$D$50)+Ayarlar!$B$3*ABS(Bitkiler!$E$40-Topraklar!$E$50)+Ayarlar!$B$4*ABS(Bitkiler!$F$40-Topraklar!$F$50)+Ayarlar!$B$5*ABS(Bitkiler!$G$40-Topraklar!$G$50)+Ayarlar!$B$6*IF(Bitkiler!$H$40=Topraklar!$H$50,0,1))/Ayarlar!$B$7)+IF(Topraklar!$K$50=Bitkiler!$C$40,0.002,IF(Topraklar!$L$50="Evet",0.001,0)))</f>
        <v/>
      </c>
      <c r="AY41" s="16">
        <f>IF(OR(Topraklar!$J$51="Evet",AND(Topraklar!$L$51&lt;&gt;"Evet",Topraklar!$K$51&lt;&gt;Bitkiler!$C$40)),0,MAX(0,1-(Ayarlar!$B$2*ABS(Bitkiler!$D$40-Topraklar!$D$51)+Ayarlar!$B$3*ABS(Bitkiler!$E$40-Topraklar!$E$51)+Ayarlar!$B$4*ABS(Bitkiler!$F$40-Topraklar!$F$51)+Ayarlar!$B$5*ABS(Bitkiler!$G$40-Topraklar!$G$51)+Ayarlar!$B$6*IF(Bitkiler!$H$40=Topraklar!$H$51,0,1))/Ayarlar!$B$7)+IF(Topraklar!$K$51=Bitkiler!$C$40,0.002,IF(Topraklar!$L$51="Evet",0.001,0)))</f>
        <v/>
      </c>
    </row>
    <row r="42">
      <c r="A42" s="15">
        <f>Bitkiler!A41</f>
        <v/>
      </c>
      <c r="B42" s="16">
        <f>IF(OR(Topraklar!$J$2="Evet",AND(Topraklar!$L$2&lt;&gt;"Evet",Topraklar!$K$2&lt;&gt;Bitkiler!$C$41)),0,MAX(0,1-(Ayarlar!$B$2*ABS(Bitkiler!$D$41-Topraklar!$D$2)+Ayarlar!$B$3*ABS(Bitkiler!$E$41-Topraklar!$E$2)+Ayarlar!$B$4*ABS(Bitkiler!$F$41-Topraklar!$F$2)+Ayarlar!$B$5*ABS(Bitkiler!$G$41-Topraklar!$G$2)+Ayarlar!$B$6*IF(Bitkiler!$H$41=Topraklar!$H$2,0,1))/Ayarlar!$B$7)+IF(Topraklar!$K$2=Bitkiler!$C$41,0.002,IF(Topraklar!$L$2="Evet",0.001,0)))</f>
        <v/>
      </c>
      <c r="C42" s="16">
        <f>IF(OR(Topraklar!$J$3="Evet",AND(Topraklar!$L$3&lt;&gt;"Evet",Topraklar!$K$3&lt;&gt;Bitkiler!$C$41)),0,MAX(0,1-(Ayarlar!$B$2*ABS(Bitkiler!$D$41-Topraklar!$D$3)+Ayarlar!$B$3*ABS(Bitkiler!$E$41-Topraklar!$E$3)+Ayarlar!$B$4*ABS(Bitkiler!$F$41-Topraklar!$F$3)+Ayarlar!$B$5*ABS(Bitkiler!$G$41-Topraklar!$G$3)+Ayarlar!$B$6*IF(Bitkiler!$H$41=Topraklar!$H$3,0,1))/Ayarlar!$B$7)+IF(Topraklar!$K$3=Bitkiler!$C$41,0.002,IF(Topraklar!$L$3="Evet",0.001,0)))</f>
        <v/>
      </c>
      <c r="D42" s="16">
        <f>IF(OR(Topraklar!$J$4="Evet",AND(Topraklar!$L$4&lt;&gt;"Evet",Topraklar!$K$4&lt;&gt;Bitkiler!$C$41)),0,MAX(0,1-(Ayarlar!$B$2*ABS(Bitkiler!$D$41-Topraklar!$D$4)+Ayarlar!$B$3*ABS(Bitkiler!$E$41-Topraklar!$E$4)+Ayarlar!$B$4*ABS(Bitkiler!$F$41-Topraklar!$F$4)+Ayarlar!$B$5*ABS(Bitkiler!$G$41-Topraklar!$G$4)+Ayarlar!$B$6*IF(Bitkiler!$H$41=Topraklar!$H$4,0,1))/Ayarlar!$B$7)+IF(Topraklar!$K$4=Bitkiler!$C$41,0.002,IF(Topraklar!$L$4="Evet",0.001,0)))</f>
        <v/>
      </c>
      <c r="E42" s="16">
        <f>IF(OR(Topraklar!$J$5="Evet",AND(Topraklar!$L$5&lt;&gt;"Evet",Topraklar!$K$5&lt;&gt;Bitkiler!$C$41)),0,MAX(0,1-(Ayarlar!$B$2*ABS(Bitkiler!$D$41-Topraklar!$D$5)+Ayarlar!$B$3*ABS(Bitkiler!$E$41-Topraklar!$E$5)+Ayarlar!$B$4*ABS(Bitkiler!$F$41-Topraklar!$F$5)+Ayarlar!$B$5*ABS(Bitkiler!$G$41-Topraklar!$G$5)+Ayarlar!$B$6*IF(Bitkiler!$H$41=Topraklar!$H$5,0,1))/Ayarlar!$B$7)+IF(Topraklar!$K$5=Bitkiler!$C$41,0.002,IF(Topraklar!$L$5="Evet",0.001,0)))</f>
        <v/>
      </c>
      <c r="F42" s="16">
        <f>IF(OR(Topraklar!$J$6="Evet",AND(Topraklar!$L$6&lt;&gt;"Evet",Topraklar!$K$6&lt;&gt;Bitkiler!$C$41)),0,MAX(0,1-(Ayarlar!$B$2*ABS(Bitkiler!$D$41-Topraklar!$D$6)+Ayarlar!$B$3*ABS(Bitkiler!$E$41-Topraklar!$E$6)+Ayarlar!$B$4*ABS(Bitkiler!$F$41-Topraklar!$F$6)+Ayarlar!$B$5*ABS(Bitkiler!$G$41-Topraklar!$G$6)+Ayarlar!$B$6*IF(Bitkiler!$H$41=Topraklar!$H$6,0,1))/Ayarlar!$B$7)+IF(Topraklar!$K$6=Bitkiler!$C$41,0.002,IF(Topraklar!$L$6="Evet",0.001,0)))</f>
        <v/>
      </c>
      <c r="G42" s="16">
        <f>IF(OR(Topraklar!$J$7="Evet",AND(Topraklar!$L$7&lt;&gt;"Evet",Topraklar!$K$7&lt;&gt;Bitkiler!$C$41)),0,MAX(0,1-(Ayarlar!$B$2*ABS(Bitkiler!$D$41-Topraklar!$D$7)+Ayarlar!$B$3*ABS(Bitkiler!$E$41-Topraklar!$E$7)+Ayarlar!$B$4*ABS(Bitkiler!$F$41-Topraklar!$F$7)+Ayarlar!$B$5*ABS(Bitkiler!$G$41-Topraklar!$G$7)+Ayarlar!$B$6*IF(Bitkiler!$H$41=Topraklar!$H$7,0,1))/Ayarlar!$B$7)+IF(Topraklar!$K$7=Bitkiler!$C$41,0.002,IF(Topraklar!$L$7="Evet",0.001,0)))</f>
        <v/>
      </c>
      <c r="H42" s="16">
        <f>IF(OR(Topraklar!$J$8="Evet",AND(Topraklar!$L$8&lt;&gt;"Evet",Topraklar!$K$8&lt;&gt;Bitkiler!$C$41)),0,MAX(0,1-(Ayarlar!$B$2*ABS(Bitkiler!$D$41-Topraklar!$D$8)+Ayarlar!$B$3*ABS(Bitkiler!$E$41-Topraklar!$E$8)+Ayarlar!$B$4*ABS(Bitkiler!$F$41-Topraklar!$F$8)+Ayarlar!$B$5*ABS(Bitkiler!$G$41-Topraklar!$G$8)+Ayarlar!$B$6*IF(Bitkiler!$H$41=Topraklar!$H$8,0,1))/Ayarlar!$B$7)+IF(Topraklar!$K$8=Bitkiler!$C$41,0.002,IF(Topraklar!$L$8="Evet",0.001,0)))</f>
        <v/>
      </c>
      <c r="I42" s="16">
        <f>IF(OR(Topraklar!$J$9="Evet",AND(Topraklar!$L$9&lt;&gt;"Evet",Topraklar!$K$9&lt;&gt;Bitkiler!$C$41)),0,MAX(0,1-(Ayarlar!$B$2*ABS(Bitkiler!$D$41-Topraklar!$D$9)+Ayarlar!$B$3*ABS(Bitkiler!$E$41-Topraklar!$E$9)+Ayarlar!$B$4*ABS(Bitkiler!$F$41-Topraklar!$F$9)+Ayarlar!$B$5*ABS(Bitkiler!$G$41-Topraklar!$G$9)+Ayarlar!$B$6*IF(Bitkiler!$H$41=Topraklar!$H$9,0,1))/Ayarlar!$B$7)+IF(Topraklar!$K$9=Bitkiler!$C$41,0.002,IF(Topraklar!$L$9="Evet",0.001,0)))</f>
        <v/>
      </c>
      <c r="J42" s="16">
        <f>IF(OR(Topraklar!$J$10="Evet",AND(Topraklar!$L$10&lt;&gt;"Evet",Topraklar!$K$10&lt;&gt;Bitkiler!$C$41)),0,MAX(0,1-(Ayarlar!$B$2*ABS(Bitkiler!$D$41-Topraklar!$D$10)+Ayarlar!$B$3*ABS(Bitkiler!$E$41-Topraklar!$E$10)+Ayarlar!$B$4*ABS(Bitkiler!$F$41-Topraklar!$F$10)+Ayarlar!$B$5*ABS(Bitkiler!$G$41-Topraklar!$G$10)+Ayarlar!$B$6*IF(Bitkiler!$H$41=Topraklar!$H$10,0,1))/Ayarlar!$B$7)+IF(Topraklar!$K$10=Bitkiler!$C$41,0.002,IF(Topraklar!$L$10="Evet",0.001,0)))</f>
        <v/>
      </c>
      <c r="K42" s="16">
        <f>IF(OR(Topraklar!$J$11="Evet",AND(Topraklar!$L$11&lt;&gt;"Evet",Topraklar!$K$11&lt;&gt;Bitkiler!$C$41)),0,MAX(0,1-(Ayarlar!$B$2*ABS(Bitkiler!$D$41-Topraklar!$D$11)+Ayarlar!$B$3*ABS(Bitkiler!$E$41-Topraklar!$E$11)+Ayarlar!$B$4*ABS(Bitkiler!$F$41-Topraklar!$F$11)+Ayarlar!$B$5*ABS(Bitkiler!$G$41-Topraklar!$G$11)+Ayarlar!$B$6*IF(Bitkiler!$H$41=Topraklar!$H$11,0,1))/Ayarlar!$B$7)+IF(Topraklar!$K$11=Bitkiler!$C$41,0.002,IF(Topraklar!$L$11="Evet",0.001,0)))</f>
        <v/>
      </c>
      <c r="L42" s="16">
        <f>IF(OR(Topraklar!$J$12="Evet",AND(Topraklar!$L$12&lt;&gt;"Evet",Topraklar!$K$12&lt;&gt;Bitkiler!$C$41)),0,MAX(0,1-(Ayarlar!$B$2*ABS(Bitkiler!$D$41-Topraklar!$D$12)+Ayarlar!$B$3*ABS(Bitkiler!$E$41-Topraklar!$E$12)+Ayarlar!$B$4*ABS(Bitkiler!$F$41-Topraklar!$F$12)+Ayarlar!$B$5*ABS(Bitkiler!$G$41-Topraklar!$G$12)+Ayarlar!$B$6*IF(Bitkiler!$H$41=Topraklar!$H$12,0,1))/Ayarlar!$B$7)+IF(Topraklar!$K$12=Bitkiler!$C$41,0.002,IF(Topraklar!$L$12="Evet",0.001,0)))</f>
        <v/>
      </c>
      <c r="M42" s="16">
        <f>IF(OR(Topraklar!$J$13="Evet",AND(Topraklar!$L$13&lt;&gt;"Evet",Topraklar!$K$13&lt;&gt;Bitkiler!$C$41)),0,MAX(0,1-(Ayarlar!$B$2*ABS(Bitkiler!$D$41-Topraklar!$D$13)+Ayarlar!$B$3*ABS(Bitkiler!$E$41-Topraklar!$E$13)+Ayarlar!$B$4*ABS(Bitkiler!$F$41-Topraklar!$F$13)+Ayarlar!$B$5*ABS(Bitkiler!$G$41-Topraklar!$G$13)+Ayarlar!$B$6*IF(Bitkiler!$H$41=Topraklar!$H$13,0,1))/Ayarlar!$B$7)+IF(Topraklar!$K$13=Bitkiler!$C$41,0.002,IF(Topraklar!$L$13="Evet",0.001,0)))</f>
        <v/>
      </c>
      <c r="N42" s="16">
        <f>IF(OR(Topraklar!$J$14="Evet",AND(Topraklar!$L$14&lt;&gt;"Evet",Topraklar!$K$14&lt;&gt;Bitkiler!$C$41)),0,MAX(0,1-(Ayarlar!$B$2*ABS(Bitkiler!$D$41-Topraklar!$D$14)+Ayarlar!$B$3*ABS(Bitkiler!$E$41-Topraklar!$E$14)+Ayarlar!$B$4*ABS(Bitkiler!$F$41-Topraklar!$F$14)+Ayarlar!$B$5*ABS(Bitkiler!$G$41-Topraklar!$G$14)+Ayarlar!$B$6*IF(Bitkiler!$H$41=Topraklar!$H$14,0,1))/Ayarlar!$B$7)+IF(Topraklar!$K$14=Bitkiler!$C$41,0.002,IF(Topraklar!$L$14="Evet",0.001,0)))</f>
        <v/>
      </c>
      <c r="O42" s="16">
        <f>IF(OR(Topraklar!$J$15="Evet",AND(Topraklar!$L$15&lt;&gt;"Evet",Topraklar!$K$15&lt;&gt;Bitkiler!$C$41)),0,MAX(0,1-(Ayarlar!$B$2*ABS(Bitkiler!$D$41-Topraklar!$D$15)+Ayarlar!$B$3*ABS(Bitkiler!$E$41-Topraklar!$E$15)+Ayarlar!$B$4*ABS(Bitkiler!$F$41-Topraklar!$F$15)+Ayarlar!$B$5*ABS(Bitkiler!$G$41-Topraklar!$G$15)+Ayarlar!$B$6*IF(Bitkiler!$H$41=Topraklar!$H$15,0,1))/Ayarlar!$B$7)+IF(Topraklar!$K$15=Bitkiler!$C$41,0.002,IF(Topraklar!$L$15="Evet",0.001,0)))</f>
        <v/>
      </c>
      <c r="P42" s="16">
        <f>IF(OR(Topraklar!$J$16="Evet",AND(Topraklar!$L$16&lt;&gt;"Evet",Topraklar!$K$16&lt;&gt;Bitkiler!$C$41)),0,MAX(0,1-(Ayarlar!$B$2*ABS(Bitkiler!$D$41-Topraklar!$D$16)+Ayarlar!$B$3*ABS(Bitkiler!$E$41-Topraklar!$E$16)+Ayarlar!$B$4*ABS(Bitkiler!$F$41-Topraklar!$F$16)+Ayarlar!$B$5*ABS(Bitkiler!$G$41-Topraklar!$G$16)+Ayarlar!$B$6*IF(Bitkiler!$H$41=Topraklar!$H$16,0,1))/Ayarlar!$B$7)+IF(Topraklar!$K$16=Bitkiler!$C$41,0.002,IF(Topraklar!$L$16="Evet",0.001,0)))</f>
        <v/>
      </c>
      <c r="Q42" s="16">
        <f>IF(OR(Topraklar!$J$17="Evet",AND(Topraklar!$L$17&lt;&gt;"Evet",Topraklar!$K$17&lt;&gt;Bitkiler!$C$41)),0,MAX(0,1-(Ayarlar!$B$2*ABS(Bitkiler!$D$41-Topraklar!$D$17)+Ayarlar!$B$3*ABS(Bitkiler!$E$41-Topraklar!$E$17)+Ayarlar!$B$4*ABS(Bitkiler!$F$41-Topraklar!$F$17)+Ayarlar!$B$5*ABS(Bitkiler!$G$41-Topraklar!$G$17)+Ayarlar!$B$6*IF(Bitkiler!$H$41=Topraklar!$H$17,0,1))/Ayarlar!$B$7)+IF(Topraklar!$K$17=Bitkiler!$C$41,0.002,IF(Topraklar!$L$17="Evet",0.001,0)))</f>
        <v/>
      </c>
      <c r="R42" s="16">
        <f>IF(OR(Topraklar!$J$18="Evet",AND(Topraklar!$L$18&lt;&gt;"Evet",Topraklar!$K$18&lt;&gt;Bitkiler!$C$41)),0,MAX(0,1-(Ayarlar!$B$2*ABS(Bitkiler!$D$41-Topraklar!$D$18)+Ayarlar!$B$3*ABS(Bitkiler!$E$41-Topraklar!$E$18)+Ayarlar!$B$4*ABS(Bitkiler!$F$41-Topraklar!$F$18)+Ayarlar!$B$5*ABS(Bitkiler!$G$41-Topraklar!$G$18)+Ayarlar!$B$6*IF(Bitkiler!$H$41=Topraklar!$H$18,0,1))/Ayarlar!$B$7)+IF(Topraklar!$K$18=Bitkiler!$C$41,0.002,IF(Topraklar!$L$18="Evet",0.001,0)))</f>
        <v/>
      </c>
      <c r="S42" s="16">
        <f>IF(OR(Topraklar!$J$19="Evet",AND(Topraklar!$L$19&lt;&gt;"Evet",Topraklar!$K$19&lt;&gt;Bitkiler!$C$41)),0,MAX(0,1-(Ayarlar!$B$2*ABS(Bitkiler!$D$41-Topraklar!$D$19)+Ayarlar!$B$3*ABS(Bitkiler!$E$41-Topraklar!$E$19)+Ayarlar!$B$4*ABS(Bitkiler!$F$41-Topraklar!$F$19)+Ayarlar!$B$5*ABS(Bitkiler!$G$41-Topraklar!$G$19)+Ayarlar!$B$6*IF(Bitkiler!$H$41=Topraklar!$H$19,0,1))/Ayarlar!$B$7)+IF(Topraklar!$K$19=Bitkiler!$C$41,0.002,IF(Topraklar!$L$19="Evet",0.001,0)))</f>
        <v/>
      </c>
      <c r="T42" s="16">
        <f>IF(OR(Topraklar!$J$20="Evet",AND(Topraklar!$L$20&lt;&gt;"Evet",Topraklar!$K$20&lt;&gt;Bitkiler!$C$41)),0,MAX(0,1-(Ayarlar!$B$2*ABS(Bitkiler!$D$41-Topraklar!$D$20)+Ayarlar!$B$3*ABS(Bitkiler!$E$41-Topraklar!$E$20)+Ayarlar!$B$4*ABS(Bitkiler!$F$41-Topraklar!$F$20)+Ayarlar!$B$5*ABS(Bitkiler!$G$41-Topraklar!$G$20)+Ayarlar!$B$6*IF(Bitkiler!$H$41=Topraklar!$H$20,0,1))/Ayarlar!$B$7)+IF(Topraklar!$K$20=Bitkiler!$C$41,0.002,IF(Topraklar!$L$20="Evet",0.001,0)))</f>
        <v/>
      </c>
      <c r="U42" s="16">
        <f>IF(OR(Topraklar!$J$21="Evet",AND(Topraklar!$L$21&lt;&gt;"Evet",Topraklar!$K$21&lt;&gt;Bitkiler!$C$41)),0,MAX(0,1-(Ayarlar!$B$2*ABS(Bitkiler!$D$41-Topraklar!$D$21)+Ayarlar!$B$3*ABS(Bitkiler!$E$41-Topraklar!$E$21)+Ayarlar!$B$4*ABS(Bitkiler!$F$41-Topraklar!$F$21)+Ayarlar!$B$5*ABS(Bitkiler!$G$41-Topraklar!$G$21)+Ayarlar!$B$6*IF(Bitkiler!$H$41=Topraklar!$H$21,0,1))/Ayarlar!$B$7)+IF(Topraklar!$K$21=Bitkiler!$C$41,0.002,IF(Topraklar!$L$21="Evet",0.001,0)))</f>
        <v/>
      </c>
      <c r="V42" s="16">
        <f>IF(OR(Topraklar!$J$22="Evet",AND(Topraklar!$L$22&lt;&gt;"Evet",Topraklar!$K$22&lt;&gt;Bitkiler!$C$41)),0,MAX(0,1-(Ayarlar!$B$2*ABS(Bitkiler!$D$41-Topraklar!$D$22)+Ayarlar!$B$3*ABS(Bitkiler!$E$41-Topraklar!$E$22)+Ayarlar!$B$4*ABS(Bitkiler!$F$41-Topraklar!$F$22)+Ayarlar!$B$5*ABS(Bitkiler!$G$41-Topraklar!$G$22)+Ayarlar!$B$6*IF(Bitkiler!$H$41=Topraklar!$H$22,0,1))/Ayarlar!$B$7)+IF(Topraklar!$K$22=Bitkiler!$C$41,0.002,IF(Topraklar!$L$22="Evet",0.001,0)))</f>
        <v/>
      </c>
      <c r="W42" s="16">
        <f>IF(OR(Topraklar!$J$23="Evet",AND(Topraklar!$L$23&lt;&gt;"Evet",Topraklar!$K$23&lt;&gt;Bitkiler!$C$41)),0,MAX(0,1-(Ayarlar!$B$2*ABS(Bitkiler!$D$41-Topraklar!$D$23)+Ayarlar!$B$3*ABS(Bitkiler!$E$41-Topraklar!$E$23)+Ayarlar!$B$4*ABS(Bitkiler!$F$41-Topraklar!$F$23)+Ayarlar!$B$5*ABS(Bitkiler!$G$41-Topraklar!$G$23)+Ayarlar!$B$6*IF(Bitkiler!$H$41=Topraklar!$H$23,0,1))/Ayarlar!$B$7)+IF(Topraklar!$K$23=Bitkiler!$C$41,0.002,IF(Topraklar!$L$23="Evet",0.001,0)))</f>
        <v/>
      </c>
      <c r="X42" s="16">
        <f>IF(OR(Topraklar!$J$24="Evet",AND(Topraklar!$L$24&lt;&gt;"Evet",Topraklar!$K$24&lt;&gt;Bitkiler!$C$41)),0,MAX(0,1-(Ayarlar!$B$2*ABS(Bitkiler!$D$41-Topraklar!$D$24)+Ayarlar!$B$3*ABS(Bitkiler!$E$41-Topraklar!$E$24)+Ayarlar!$B$4*ABS(Bitkiler!$F$41-Topraklar!$F$24)+Ayarlar!$B$5*ABS(Bitkiler!$G$41-Topraklar!$G$24)+Ayarlar!$B$6*IF(Bitkiler!$H$41=Topraklar!$H$24,0,1))/Ayarlar!$B$7)+IF(Topraklar!$K$24=Bitkiler!$C$41,0.002,IF(Topraklar!$L$24="Evet",0.001,0)))</f>
        <v/>
      </c>
      <c r="Y42" s="16">
        <f>IF(OR(Topraklar!$J$25="Evet",AND(Topraklar!$L$25&lt;&gt;"Evet",Topraklar!$K$25&lt;&gt;Bitkiler!$C$41)),0,MAX(0,1-(Ayarlar!$B$2*ABS(Bitkiler!$D$41-Topraklar!$D$25)+Ayarlar!$B$3*ABS(Bitkiler!$E$41-Topraklar!$E$25)+Ayarlar!$B$4*ABS(Bitkiler!$F$41-Topraklar!$F$25)+Ayarlar!$B$5*ABS(Bitkiler!$G$41-Topraklar!$G$25)+Ayarlar!$B$6*IF(Bitkiler!$H$41=Topraklar!$H$25,0,1))/Ayarlar!$B$7)+IF(Topraklar!$K$25=Bitkiler!$C$41,0.002,IF(Topraklar!$L$25="Evet",0.001,0)))</f>
        <v/>
      </c>
      <c r="Z42" s="16">
        <f>IF(OR(Topraklar!$J$26="Evet",AND(Topraklar!$L$26&lt;&gt;"Evet",Topraklar!$K$26&lt;&gt;Bitkiler!$C$41)),0,MAX(0,1-(Ayarlar!$B$2*ABS(Bitkiler!$D$41-Topraklar!$D$26)+Ayarlar!$B$3*ABS(Bitkiler!$E$41-Topraklar!$E$26)+Ayarlar!$B$4*ABS(Bitkiler!$F$41-Topraklar!$F$26)+Ayarlar!$B$5*ABS(Bitkiler!$G$41-Topraklar!$G$26)+Ayarlar!$B$6*IF(Bitkiler!$H$41=Topraklar!$H$26,0,1))/Ayarlar!$B$7)+IF(Topraklar!$K$26=Bitkiler!$C$41,0.002,IF(Topraklar!$L$26="Evet",0.001,0)))</f>
        <v/>
      </c>
      <c r="AA42" s="16">
        <f>IF(OR(Topraklar!$J$27="Evet",AND(Topraklar!$L$27&lt;&gt;"Evet",Topraklar!$K$27&lt;&gt;Bitkiler!$C$41)),0,MAX(0,1-(Ayarlar!$B$2*ABS(Bitkiler!$D$41-Topraklar!$D$27)+Ayarlar!$B$3*ABS(Bitkiler!$E$41-Topraklar!$E$27)+Ayarlar!$B$4*ABS(Bitkiler!$F$41-Topraklar!$F$27)+Ayarlar!$B$5*ABS(Bitkiler!$G$41-Topraklar!$G$27)+Ayarlar!$B$6*IF(Bitkiler!$H$41=Topraklar!$H$27,0,1))/Ayarlar!$B$7)+IF(Topraklar!$K$27=Bitkiler!$C$41,0.002,IF(Topraklar!$L$27="Evet",0.001,0)))</f>
        <v/>
      </c>
      <c r="AB42" s="16">
        <f>IF(OR(Topraklar!$J$28="Evet",AND(Topraklar!$L$28&lt;&gt;"Evet",Topraklar!$K$28&lt;&gt;Bitkiler!$C$41)),0,MAX(0,1-(Ayarlar!$B$2*ABS(Bitkiler!$D$41-Topraklar!$D$28)+Ayarlar!$B$3*ABS(Bitkiler!$E$41-Topraklar!$E$28)+Ayarlar!$B$4*ABS(Bitkiler!$F$41-Topraklar!$F$28)+Ayarlar!$B$5*ABS(Bitkiler!$G$41-Topraklar!$G$28)+Ayarlar!$B$6*IF(Bitkiler!$H$41=Topraklar!$H$28,0,1))/Ayarlar!$B$7)+IF(Topraklar!$K$28=Bitkiler!$C$41,0.002,IF(Topraklar!$L$28="Evet",0.001,0)))</f>
        <v/>
      </c>
      <c r="AC42" s="16">
        <f>IF(OR(Topraklar!$J$29="Evet",AND(Topraklar!$L$29&lt;&gt;"Evet",Topraklar!$K$29&lt;&gt;Bitkiler!$C$41)),0,MAX(0,1-(Ayarlar!$B$2*ABS(Bitkiler!$D$41-Topraklar!$D$29)+Ayarlar!$B$3*ABS(Bitkiler!$E$41-Topraklar!$E$29)+Ayarlar!$B$4*ABS(Bitkiler!$F$41-Topraklar!$F$29)+Ayarlar!$B$5*ABS(Bitkiler!$G$41-Topraklar!$G$29)+Ayarlar!$B$6*IF(Bitkiler!$H$41=Topraklar!$H$29,0,1))/Ayarlar!$B$7)+IF(Topraklar!$K$29=Bitkiler!$C$41,0.002,IF(Topraklar!$L$29="Evet",0.001,0)))</f>
        <v/>
      </c>
      <c r="AD42" s="16">
        <f>IF(OR(Topraklar!$J$30="Evet",AND(Topraklar!$L$30&lt;&gt;"Evet",Topraklar!$K$30&lt;&gt;Bitkiler!$C$41)),0,MAX(0,1-(Ayarlar!$B$2*ABS(Bitkiler!$D$41-Topraklar!$D$30)+Ayarlar!$B$3*ABS(Bitkiler!$E$41-Topraklar!$E$30)+Ayarlar!$B$4*ABS(Bitkiler!$F$41-Topraklar!$F$30)+Ayarlar!$B$5*ABS(Bitkiler!$G$41-Topraklar!$G$30)+Ayarlar!$B$6*IF(Bitkiler!$H$41=Topraklar!$H$30,0,1))/Ayarlar!$B$7)+IF(Topraklar!$K$30=Bitkiler!$C$41,0.002,IF(Topraklar!$L$30="Evet",0.001,0)))</f>
        <v/>
      </c>
      <c r="AE42" s="16">
        <f>IF(OR(Topraklar!$J$31="Evet",AND(Topraklar!$L$31&lt;&gt;"Evet",Topraklar!$K$31&lt;&gt;Bitkiler!$C$41)),0,MAX(0,1-(Ayarlar!$B$2*ABS(Bitkiler!$D$41-Topraklar!$D$31)+Ayarlar!$B$3*ABS(Bitkiler!$E$41-Topraklar!$E$31)+Ayarlar!$B$4*ABS(Bitkiler!$F$41-Topraklar!$F$31)+Ayarlar!$B$5*ABS(Bitkiler!$G$41-Topraklar!$G$31)+Ayarlar!$B$6*IF(Bitkiler!$H$41=Topraklar!$H$31,0,1))/Ayarlar!$B$7)+IF(Topraklar!$K$31=Bitkiler!$C$41,0.002,IF(Topraklar!$L$31="Evet",0.001,0)))</f>
        <v/>
      </c>
      <c r="AF42" s="16">
        <f>IF(OR(Topraklar!$J$32="Evet",AND(Topraklar!$L$32&lt;&gt;"Evet",Topraklar!$K$32&lt;&gt;Bitkiler!$C$41)),0,MAX(0,1-(Ayarlar!$B$2*ABS(Bitkiler!$D$41-Topraklar!$D$32)+Ayarlar!$B$3*ABS(Bitkiler!$E$41-Topraklar!$E$32)+Ayarlar!$B$4*ABS(Bitkiler!$F$41-Topraklar!$F$32)+Ayarlar!$B$5*ABS(Bitkiler!$G$41-Topraklar!$G$32)+Ayarlar!$B$6*IF(Bitkiler!$H$41=Topraklar!$H$32,0,1))/Ayarlar!$B$7)+IF(Topraklar!$K$32=Bitkiler!$C$41,0.002,IF(Topraklar!$L$32="Evet",0.001,0)))</f>
        <v/>
      </c>
      <c r="AG42" s="16">
        <f>IF(OR(Topraklar!$J$33="Evet",AND(Topraklar!$L$33&lt;&gt;"Evet",Topraklar!$K$33&lt;&gt;Bitkiler!$C$41)),0,MAX(0,1-(Ayarlar!$B$2*ABS(Bitkiler!$D$41-Topraklar!$D$33)+Ayarlar!$B$3*ABS(Bitkiler!$E$41-Topraklar!$E$33)+Ayarlar!$B$4*ABS(Bitkiler!$F$41-Topraklar!$F$33)+Ayarlar!$B$5*ABS(Bitkiler!$G$41-Topraklar!$G$33)+Ayarlar!$B$6*IF(Bitkiler!$H$41=Topraklar!$H$33,0,1))/Ayarlar!$B$7)+IF(Topraklar!$K$33=Bitkiler!$C$41,0.002,IF(Topraklar!$L$33="Evet",0.001,0)))</f>
        <v/>
      </c>
      <c r="AH42" s="16">
        <f>IF(OR(Topraklar!$J$34="Evet",AND(Topraklar!$L$34&lt;&gt;"Evet",Topraklar!$K$34&lt;&gt;Bitkiler!$C$41)),0,MAX(0,1-(Ayarlar!$B$2*ABS(Bitkiler!$D$41-Topraklar!$D$34)+Ayarlar!$B$3*ABS(Bitkiler!$E$41-Topraklar!$E$34)+Ayarlar!$B$4*ABS(Bitkiler!$F$41-Topraklar!$F$34)+Ayarlar!$B$5*ABS(Bitkiler!$G$41-Topraklar!$G$34)+Ayarlar!$B$6*IF(Bitkiler!$H$41=Topraklar!$H$34,0,1))/Ayarlar!$B$7)+IF(Topraklar!$K$34=Bitkiler!$C$41,0.002,IF(Topraklar!$L$34="Evet",0.001,0)))</f>
        <v/>
      </c>
      <c r="AI42" s="16">
        <f>IF(OR(Topraklar!$J$35="Evet",AND(Topraklar!$L$35&lt;&gt;"Evet",Topraklar!$K$35&lt;&gt;Bitkiler!$C$41)),0,MAX(0,1-(Ayarlar!$B$2*ABS(Bitkiler!$D$41-Topraklar!$D$35)+Ayarlar!$B$3*ABS(Bitkiler!$E$41-Topraklar!$E$35)+Ayarlar!$B$4*ABS(Bitkiler!$F$41-Topraklar!$F$35)+Ayarlar!$B$5*ABS(Bitkiler!$G$41-Topraklar!$G$35)+Ayarlar!$B$6*IF(Bitkiler!$H$41=Topraklar!$H$35,0,1))/Ayarlar!$B$7)+IF(Topraklar!$K$35=Bitkiler!$C$41,0.002,IF(Topraklar!$L$35="Evet",0.001,0)))</f>
        <v/>
      </c>
      <c r="AJ42" s="16">
        <f>IF(OR(Topraklar!$J$36="Evet",AND(Topraklar!$L$36&lt;&gt;"Evet",Topraklar!$K$36&lt;&gt;Bitkiler!$C$41)),0,MAX(0,1-(Ayarlar!$B$2*ABS(Bitkiler!$D$41-Topraklar!$D$36)+Ayarlar!$B$3*ABS(Bitkiler!$E$41-Topraklar!$E$36)+Ayarlar!$B$4*ABS(Bitkiler!$F$41-Topraklar!$F$36)+Ayarlar!$B$5*ABS(Bitkiler!$G$41-Topraklar!$G$36)+Ayarlar!$B$6*IF(Bitkiler!$H$41=Topraklar!$H$36,0,1))/Ayarlar!$B$7)+IF(Topraklar!$K$36=Bitkiler!$C$41,0.002,IF(Topraklar!$L$36="Evet",0.001,0)))</f>
        <v/>
      </c>
      <c r="AK42" s="16">
        <f>IF(OR(Topraklar!$J$37="Evet",AND(Topraklar!$L$37&lt;&gt;"Evet",Topraklar!$K$37&lt;&gt;Bitkiler!$C$41)),0,MAX(0,1-(Ayarlar!$B$2*ABS(Bitkiler!$D$41-Topraklar!$D$37)+Ayarlar!$B$3*ABS(Bitkiler!$E$41-Topraklar!$E$37)+Ayarlar!$B$4*ABS(Bitkiler!$F$41-Topraklar!$F$37)+Ayarlar!$B$5*ABS(Bitkiler!$G$41-Topraklar!$G$37)+Ayarlar!$B$6*IF(Bitkiler!$H$41=Topraklar!$H$37,0,1))/Ayarlar!$B$7)+IF(Topraklar!$K$37=Bitkiler!$C$41,0.002,IF(Topraklar!$L$37="Evet",0.001,0)))</f>
        <v/>
      </c>
      <c r="AL42" s="16">
        <f>IF(OR(Topraklar!$J$38="Evet",AND(Topraklar!$L$38&lt;&gt;"Evet",Topraklar!$K$38&lt;&gt;Bitkiler!$C$41)),0,MAX(0,1-(Ayarlar!$B$2*ABS(Bitkiler!$D$41-Topraklar!$D$38)+Ayarlar!$B$3*ABS(Bitkiler!$E$41-Topraklar!$E$38)+Ayarlar!$B$4*ABS(Bitkiler!$F$41-Topraklar!$F$38)+Ayarlar!$B$5*ABS(Bitkiler!$G$41-Topraklar!$G$38)+Ayarlar!$B$6*IF(Bitkiler!$H$41=Topraklar!$H$38,0,1))/Ayarlar!$B$7)+IF(Topraklar!$K$38=Bitkiler!$C$41,0.002,IF(Topraklar!$L$38="Evet",0.001,0)))</f>
        <v/>
      </c>
      <c r="AM42" s="16">
        <f>IF(OR(Topraklar!$J$39="Evet",AND(Topraklar!$L$39&lt;&gt;"Evet",Topraklar!$K$39&lt;&gt;Bitkiler!$C$41)),0,MAX(0,1-(Ayarlar!$B$2*ABS(Bitkiler!$D$41-Topraklar!$D$39)+Ayarlar!$B$3*ABS(Bitkiler!$E$41-Topraklar!$E$39)+Ayarlar!$B$4*ABS(Bitkiler!$F$41-Topraklar!$F$39)+Ayarlar!$B$5*ABS(Bitkiler!$G$41-Topraklar!$G$39)+Ayarlar!$B$6*IF(Bitkiler!$H$41=Topraklar!$H$39,0,1))/Ayarlar!$B$7)+IF(Topraklar!$K$39=Bitkiler!$C$41,0.002,IF(Topraklar!$L$39="Evet",0.001,0)))</f>
        <v/>
      </c>
      <c r="AN42" s="16">
        <f>IF(OR(Topraklar!$J$40="Evet",AND(Topraklar!$L$40&lt;&gt;"Evet",Topraklar!$K$40&lt;&gt;Bitkiler!$C$41)),0,MAX(0,1-(Ayarlar!$B$2*ABS(Bitkiler!$D$41-Topraklar!$D$40)+Ayarlar!$B$3*ABS(Bitkiler!$E$41-Topraklar!$E$40)+Ayarlar!$B$4*ABS(Bitkiler!$F$41-Topraklar!$F$40)+Ayarlar!$B$5*ABS(Bitkiler!$G$41-Topraklar!$G$40)+Ayarlar!$B$6*IF(Bitkiler!$H$41=Topraklar!$H$40,0,1))/Ayarlar!$B$7)+IF(Topraklar!$K$40=Bitkiler!$C$41,0.002,IF(Topraklar!$L$40="Evet",0.001,0)))</f>
        <v/>
      </c>
      <c r="AO42" s="16">
        <f>IF(OR(Topraklar!$J$41="Evet",AND(Topraklar!$L$41&lt;&gt;"Evet",Topraklar!$K$41&lt;&gt;Bitkiler!$C$41)),0,MAX(0,1-(Ayarlar!$B$2*ABS(Bitkiler!$D$41-Topraklar!$D$41)+Ayarlar!$B$3*ABS(Bitkiler!$E$41-Topraklar!$E$41)+Ayarlar!$B$4*ABS(Bitkiler!$F$41-Topraklar!$F$41)+Ayarlar!$B$5*ABS(Bitkiler!$G$41-Topraklar!$G$41)+Ayarlar!$B$6*IF(Bitkiler!$H$41=Topraklar!$H$41,0,1))/Ayarlar!$B$7)+IF(Topraklar!$K$41=Bitkiler!$C$41,0.002,IF(Topraklar!$L$41="Evet",0.001,0)))</f>
        <v/>
      </c>
      <c r="AP42" s="16">
        <f>IF(OR(Topraklar!$J$42="Evet",AND(Topraklar!$L$42&lt;&gt;"Evet",Topraklar!$K$42&lt;&gt;Bitkiler!$C$41)),0,MAX(0,1-(Ayarlar!$B$2*ABS(Bitkiler!$D$41-Topraklar!$D$42)+Ayarlar!$B$3*ABS(Bitkiler!$E$41-Topraklar!$E$42)+Ayarlar!$B$4*ABS(Bitkiler!$F$41-Topraklar!$F$42)+Ayarlar!$B$5*ABS(Bitkiler!$G$41-Topraklar!$G$42)+Ayarlar!$B$6*IF(Bitkiler!$H$41=Topraklar!$H$42,0,1))/Ayarlar!$B$7)+IF(Topraklar!$K$42=Bitkiler!$C$41,0.002,IF(Topraklar!$L$42="Evet",0.001,0)))</f>
        <v/>
      </c>
      <c r="AQ42" s="16">
        <f>IF(OR(Topraklar!$J$43="Evet",AND(Topraklar!$L$43&lt;&gt;"Evet",Topraklar!$K$43&lt;&gt;Bitkiler!$C$41)),0,MAX(0,1-(Ayarlar!$B$2*ABS(Bitkiler!$D$41-Topraklar!$D$43)+Ayarlar!$B$3*ABS(Bitkiler!$E$41-Topraklar!$E$43)+Ayarlar!$B$4*ABS(Bitkiler!$F$41-Topraklar!$F$43)+Ayarlar!$B$5*ABS(Bitkiler!$G$41-Topraklar!$G$43)+Ayarlar!$B$6*IF(Bitkiler!$H$41=Topraklar!$H$43,0,1))/Ayarlar!$B$7)+IF(Topraklar!$K$43=Bitkiler!$C$41,0.002,IF(Topraklar!$L$43="Evet",0.001,0)))</f>
        <v/>
      </c>
      <c r="AR42" s="16">
        <f>IF(OR(Topraklar!$J$44="Evet",AND(Topraklar!$L$44&lt;&gt;"Evet",Topraklar!$K$44&lt;&gt;Bitkiler!$C$41)),0,MAX(0,1-(Ayarlar!$B$2*ABS(Bitkiler!$D$41-Topraklar!$D$44)+Ayarlar!$B$3*ABS(Bitkiler!$E$41-Topraklar!$E$44)+Ayarlar!$B$4*ABS(Bitkiler!$F$41-Topraklar!$F$44)+Ayarlar!$B$5*ABS(Bitkiler!$G$41-Topraklar!$G$44)+Ayarlar!$B$6*IF(Bitkiler!$H$41=Topraklar!$H$44,0,1))/Ayarlar!$B$7)+IF(Topraklar!$K$44=Bitkiler!$C$41,0.002,IF(Topraklar!$L$44="Evet",0.001,0)))</f>
        <v/>
      </c>
      <c r="AS42" s="16">
        <f>IF(OR(Topraklar!$J$45="Evet",AND(Topraklar!$L$45&lt;&gt;"Evet",Topraklar!$K$45&lt;&gt;Bitkiler!$C$41)),0,MAX(0,1-(Ayarlar!$B$2*ABS(Bitkiler!$D$41-Topraklar!$D$45)+Ayarlar!$B$3*ABS(Bitkiler!$E$41-Topraklar!$E$45)+Ayarlar!$B$4*ABS(Bitkiler!$F$41-Topraklar!$F$45)+Ayarlar!$B$5*ABS(Bitkiler!$G$41-Topraklar!$G$45)+Ayarlar!$B$6*IF(Bitkiler!$H$41=Topraklar!$H$45,0,1))/Ayarlar!$B$7)+IF(Topraklar!$K$45=Bitkiler!$C$41,0.002,IF(Topraklar!$L$45="Evet",0.001,0)))</f>
        <v/>
      </c>
      <c r="AT42" s="16">
        <f>IF(OR(Topraklar!$J$46="Evet",AND(Topraklar!$L$46&lt;&gt;"Evet",Topraklar!$K$46&lt;&gt;Bitkiler!$C$41)),0,MAX(0,1-(Ayarlar!$B$2*ABS(Bitkiler!$D$41-Topraklar!$D$46)+Ayarlar!$B$3*ABS(Bitkiler!$E$41-Topraklar!$E$46)+Ayarlar!$B$4*ABS(Bitkiler!$F$41-Topraklar!$F$46)+Ayarlar!$B$5*ABS(Bitkiler!$G$41-Topraklar!$G$46)+Ayarlar!$B$6*IF(Bitkiler!$H$41=Topraklar!$H$46,0,1))/Ayarlar!$B$7)+IF(Topraklar!$K$46=Bitkiler!$C$41,0.002,IF(Topraklar!$L$46="Evet",0.001,0)))</f>
        <v/>
      </c>
      <c r="AU42" s="16">
        <f>IF(OR(Topraklar!$J$47="Evet",AND(Topraklar!$L$47&lt;&gt;"Evet",Topraklar!$K$47&lt;&gt;Bitkiler!$C$41)),0,MAX(0,1-(Ayarlar!$B$2*ABS(Bitkiler!$D$41-Topraklar!$D$47)+Ayarlar!$B$3*ABS(Bitkiler!$E$41-Topraklar!$E$47)+Ayarlar!$B$4*ABS(Bitkiler!$F$41-Topraklar!$F$47)+Ayarlar!$B$5*ABS(Bitkiler!$G$41-Topraklar!$G$47)+Ayarlar!$B$6*IF(Bitkiler!$H$41=Topraklar!$H$47,0,1))/Ayarlar!$B$7)+IF(Topraklar!$K$47=Bitkiler!$C$41,0.002,IF(Topraklar!$L$47="Evet",0.001,0)))</f>
        <v/>
      </c>
      <c r="AV42" s="16">
        <f>IF(OR(Topraklar!$J$48="Evet",AND(Topraklar!$L$48&lt;&gt;"Evet",Topraklar!$K$48&lt;&gt;Bitkiler!$C$41)),0,MAX(0,1-(Ayarlar!$B$2*ABS(Bitkiler!$D$41-Topraklar!$D$48)+Ayarlar!$B$3*ABS(Bitkiler!$E$41-Topraklar!$E$48)+Ayarlar!$B$4*ABS(Bitkiler!$F$41-Topraklar!$F$48)+Ayarlar!$B$5*ABS(Bitkiler!$G$41-Topraklar!$G$48)+Ayarlar!$B$6*IF(Bitkiler!$H$41=Topraklar!$H$48,0,1))/Ayarlar!$B$7)+IF(Topraklar!$K$48=Bitkiler!$C$41,0.002,IF(Topraklar!$L$48="Evet",0.001,0)))</f>
        <v/>
      </c>
      <c r="AW42" s="16">
        <f>IF(OR(Topraklar!$J$49="Evet",AND(Topraklar!$L$49&lt;&gt;"Evet",Topraklar!$K$49&lt;&gt;Bitkiler!$C$41)),0,MAX(0,1-(Ayarlar!$B$2*ABS(Bitkiler!$D$41-Topraklar!$D$49)+Ayarlar!$B$3*ABS(Bitkiler!$E$41-Topraklar!$E$49)+Ayarlar!$B$4*ABS(Bitkiler!$F$41-Topraklar!$F$49)+Ayarlar!$B$5*ABS(Bitkiler!$G$41-Topraklar!$G$49)+Ayarlar!$B$6*IF(Bitkiler!$H$41=Topraklar!$H$49,0,1))/Ayarlar!$B$7)+IF(Topraklar!$K$49=Bitkiler!$C$41,0.002,IF(Topraklar!$L$49="Evet",0.001,0)))</f>
        <v/>
      </c>
      <c r="AX42" s="16">
        <f>IF(OR(Topraklar!$J$50="Evet",AND(Topraklar!$L$50&lt;&gt;"Evet",Topraklar!$K$50&lt;&gt;Bitkiler!$C$41)),0,MAX(0,1-(Ayarlar!$B$2*ABS(Bitkiler!$D$41-Topraklar!$D$50)+Ayarlar!$B$3*ABS(Bitkiler!$E$41-Topraklar!$E$50)+Ayarlar!$B$4*ABS(Bitkiler!$F$41-Topraklar!$F$50)+Ayarlar!$B$5*ABS(Bitkiler!$G$41-Topraklar!$G$50)+Ayarlar!$B$6*IF(Bitkiler!$H$41=Topraklar!$H$50,0,1))/Ayarlar!$B$7)+IF(Topraklar!$K$50=Bitkiler!$C$41,0.002,IF(Topraklar!$L$50="Evet",0.001,0)))</f>
        <v/>
      </c>
      <c r="AY42" s="16">
        <f>IF(OR(Topraklar!$J$51="Evet",AND(Topraklar!$L$51&lt;&gt;"Evet",Topraklar!$K$51&lt;&gt;Bitkiler!$C$41)),0,MAX(0,1-(Ayarlar!$B$2*ABS(Bitkiler!$D$41-Topraklar!$D$51)+Ayarlar!$B$3*ABS(Bitkiler!$E$41-Topraklar!$E$51)+Ayarlar!$B$4*ABS(Bitkiler!$F$41-Topraklar!$F$51)+Ayarlar!$B$5*ABS(Bitkiler!$G$41-Topraklar!$G$51)+Ayarlar!$B$6*IF(Bitkiler!$H$41=Topraklar!$H$51,0,1))/Ayarlar!$B$7)+IF(Topraklar!$K$51=Bitkiler!$C$41,0.002,IF(Topraklar!$L$51="Evet",0.001,0)))</f>
        <v/>
      </c>
    </row>
    <row r="43">
      <c r="A43" s="15">
        <f>Bitkiler!A42</f>
        <v/>
      </c>
      <c r="B43" s="16">
        <f>IF(OR(Topraklar!$J$2="Evet",AND(Topraklar!$L$2&lt;&gt;"Evet",Topraklar!$K$2&lt;&gt;Bitkiler!$C$42)),0,MAX(0,1-(Ayarlar!$B$2*ABS(Bitkiler!$D$42-Topraklar!$D$2)+Ayarlar!$B$3*ABS(Bitkiler!$E$42-Topraklar!$E$2)+Ayarlar!$B$4*ABS(Bitkiler!$F$42-Topraklar!$F$2)+Ayarlar!$B$5*ABS(Bitkiler!$G$42-Topraklar!$G$2)+Ayarlar!$B$6*IF(Bitkiler!$H$42=Topraklar!$H$2,0,1))/Ayarlar!$B$7)+IF(Topraklar!$K$2=Bitkiler!$C$42,0.002,IF(Topraklar!$L$2="Evet",0.001,0)))</f>
        <v/>
      </c>
      <c r="C43" s="16">
        <f>IF(OR(Topraklar!$J$3="Evet",AND(Topraklar!$L$3&lt;&gt;"Evet",Topraklar!$K$3&lt;&gt;Bitkiler!$C$42)),0,MAX(0,1-(Ayarlar!$B$2*ABS(Bitkiler!$D$42-Topraklar!$D$3)+Ayarlar!$B$3*ABS(Bitkiler!$E$42-Topraklar!$E$3)+Ayarlar!$B$4*ABS(Bitkiler!$F$42-Topraklar!$F$3)+Ayarlar!$B$5*ABS(Bitkiler!$G$42-Topraklar!$G$3)+Ayarlar!$B$6*IF(Bitkiler!$H$42=Topraklar!$H$3,0,1))/Ayarlar!$B$7)+IF(Topraklar!$K$3=Bitkiler!$C$42,0.002,IF(Topraklar!$L$3="Evet",0.001,0)))</f>
        <v/>
      </c>
      <c r="D43" s="16">
        <f>IF(OR(Topraklar!$J$4="Evet",AND(Topraklar!$L$4&lt;&gt;"Evet",Topraklar!$K$4&lt;&gt;Bitkiler!$C$42)),0,MAX(0,1-(Ayarlar!$B$2*ABS(Bitkiler!$D$42-Topraklar!$D$4)+Ayarlar!$B$3*ABS(Bitkiler!$E$42-Topraklar!$E$4)+Ayarlar!$B$4*ABS(Bitkiler!$F$42-Topraklar!$F$4)+Ayarlar!$B$5*ABS(Bitkiler!$G$42-Topraklar!$G$4)+Ayarlar!$B$6*IF(Bitkiler!$H$42=Topraklar!$H$4,0,1))/Ayarlar!$B$7)+IF(Topraklar!$K$4=Bitkiler!$C$42,0.002,IF(Topraklar!$L$4="Evet",0.001,0)))</f>
        <v/>
      </c>
      <c r="E43" s="16">
        <f>IF(OR(Topraklar!$J$5="Evet",AND(Topraklar!$L$5&lt;&gt;"Evet",Topraklar!$K$5&lt;&gt;Bitkiler!$C$42)),0,MAX(0,1-(Ayarlar!$B$2*ABS(Bitkiler!$D$42-Topraklar!$D$5)+Ayarlar!$B$3*ABS(Bitkiler!$E$42-Topraklar!$E$5)+Ayarlar!$B$4*ABS(Bitkiler!$F$42-Topraklar!$F$5)+Ayarlar!$B$5*ABS(Bitkiler!$G$42-Topraklar!$G$5)+Ayarlar!$B$6*IF(Bitkiler!$H$42=Topraklar!$H$5,0,1))/Ayarlar!$B$7)+IF(Topraklar!$K$5=Bitkiler!$C$42,0.002,IF(Topraklar!$L$5="Evet",0.001,0)))</f>
        <v/>
      </c>
      <c r="F43" s="16">
        <f>IF(OR(Topraklar!$J$6="Evet",AND(Topraklar!$L$6&lt;&gt;"Evet",Topraklar!$K$6&lt;&gt;Bitkiler!$C$42)),0,MAX(0,1-(Ayarlar!$B$2*ABS(Bitkiler!$D$42-Topraklar!$D$6)+Ayarlar!$B$3*ABS(Bitkiler!$E$42-Topraklar!$E$6)+Ayarlar!$B$4*ABS(Bitkiler!$F$42-Topraklar!$F$6)+Ayarlar!$B$5*ABS(Bitkiler!$G$42-Topraklar!$G$6)+Ayarlar!$B$6*IF(Bitkiler!$H$42=Topraklar!$H$6,0,1))/Ayarlar!$B$7)+IF(Topraklar!$K$6=Bitkiler!$C$42,0.002,IF(Topraklar!$L$6="Evet",0.001,0)))</f>
        <v/>
      </c>
      <c r="G43" s="16">
        <f>IF(OR(Topraklar!$J$7="Evet",AND(Topraklar!$L$7&lt;&gt;"Evet",Topraklar!$K$7&lt;&gt;Bitkiler!$C$42)),0,MAX(0,1-(Ayarlar!$B$2*ABS(Bitkiler!$D$42-Topraklar!$D$7)+Ayarlar!$B$3*ABS(Bitkiler!$E$42-Topraklar!$E$7)+Ayarlar!$B$4*ABS(Bitkiler!$F$42-Topraklar!$F$7)+Ayarlar!$B$5*ABS(Bitkiler!$G$42-Topraklar!$G$7)+Ayarlar!$B$6*IF(Bitkiler!$H$42=Topraklar!$H$7,0,1))/Ayarlar!$B$7)+IF(Topraklar!$K$7=Bitkiler!$C$42,0.002,IF(Topraklar!$L$7="Evet",0.001,0)))</f>
        <v/>
      </c>
      <c r="H43" s="16">
        <f>IF(OR(Topraklar!$J$8="Evet",AND(Topraklar!$L$8&lt;&gt;"Evet",Topraklar!$K$8&lt;&gt;Bitkiler!$C$42)),0,MAX(0,1-(Ayarlar!$B$2*ABS(Bitkiler!$D$42-Topraklar!$D$8)+Ayarlar!$B$3*ABS(Bitkiler!$E$42-Topraklar!$E$8)+Ayarlar!$B$4*ABS(Bitkiler!$F$42-Topraklar!$F$8)+Ayarlar!$B$5*ABS(Bitkiler!$G$42-Topraklar!$G$8)+Ayarlar!$B$6*IF(Bitkiler!$H$42=Topraklar!$H$8,0,1))/Ayarlar!$B$7)+IF(Topraklar!$K$8=Bitkiler!$C$42,0.002,IF(Topraklar!$L$8="Evet",0.001,0)))</f>
        <v/>
      </c>
      <c r="I43" s="16">
        <f>IF(OR(Topraklar!$J$9="Evet",AND(Topraklar!$L$9&lt;&gt;"Evet",Topraklar!$K$9&lt;&gt;Bitkiler!$C$42)),0,MAX(0,1-(Ayarlar!$B$2*ABS(Bitkiler!$D$42-Topraklar!$D$9)+Ayarlar!$B$3*ABS(Bitkiler!$E$42-Topraklar!$E$9)+Ayarlar!$B$4*ABS(Bitkiler!$F$42-Topraklar!$F$9)+Ayarlar!$B$5*ABS(Bitkiler!$G$42-Topraklar!$G$9)+Ayarlar!$B$6*IF(Bitkiler!$H$42=Topraklar!$H$9,0,1))/Ayarlar!$B$7)+IF(Topraklar!$K$9=Bitkiler!$C$42,0.002,IF(Topraklar!$L$9="Evet",0.001,0)))</f>
        <v/>
      </c>
      <c r="J43" s="16">
        <f>IF(OR(Topraklar!$J$10="Evet",AND(Topraklar!$L$10&lt;&gt;"Evet",Topraklar!$K$10&lt;&gt;Bitkiler!$C$42)),0,MAX(0,1-(Ayarlar!$B$2*ABS(Bitkiler!$D$42-Topraklar!$D$10)+Ayarlar!$B$3*ABS(Bitkiler!$E$42-Topraklar!$E$10)+Ayarlar!$B$4*ABS(Bitkiler!$F$42-Topraklar!$F$10)+Ayarlar!$B$5*ABS(Bitkiler!$G$42-Topraklar!$G$10)+Ayarlar!$B$6*IF(Bitkiler!$H$42=Topraklar!$H$10,0,1))/Ayarlar!$B$7)+IF(Topraklar!$K$10=Bitkiler!$C$42,0.002,IF(Topraklar!$L$10="Evet",0.001,0)))</f>
        <v/>
      </c>
      <c r="K43" s="16">
        <f>IF(OR(Topraklar!$J$11="Evet",AND(Topraklar!$L$11&lt;&gt;"Evet",Topraklar!$K$11&lt;&gt;Bitkiler!$C$42)),0,MAX(0,1-(Ayarlar!$B$2*ABS(Bitkiler!$D$42-Topraklar!$D$11)+Ayarlar!$B$3*ABS(Bitkiler!$E$42-Topraklar!$E$11)+Ayarlar!$B$4*ABS(Bitkiler!$F$42-Topraklar!$F$11)+Ayarlar!$B$5*ABS(Bitkiler!$G$42-Topraklar!$G$11)+Ayarlar!$B$6*IF(Bitkiler!$H$42=Topraklar!$H$11,0,1))/Ayarlar!$B$7)+IF(Topraklar!$K$11=Bitkiler!$C$42,0.002,IF(Topraklar!$L$11="Evet",0.001,0)))</f>
        <v/>
      </c>
      <c r="L43" s="16">
        <f>IF(OR(Topraklar!$J$12="Evet",AND(Topraklar!$L$12&lt;&gt;"Evet",Topraklar!$K$12&lt;&gt;Bitkiler!$C$42)),0,MAX(0,1-(Ayarlar!$B$2*ABS(Bitkiler!$D$42-Topraklar!$D$12)+Ayarlar!$B$3*ABS(Bitkiler!$E$42-Topraklar!$E$12)+Ayarlar!$B$4*ABS(Bitkiler!$F$42-Topraklar!$F$12)+Ayarlar!$B$5*ABS(Bitkiler!$G$42-Topraklar!$G$12)+Ayarlar!$B$6*IF(Bitkiler!$H$42=Topraklar!$H$12,0,1))/Ayarlar!$B$7)+IF(Topraklar!$K$12=Bitkiler!$C$42,0.002,IF(Topraklar!$L$12="Evet",0.001,0)))</f>
        <v/>
      </c>
      <c r="M43" s="16">
        <f>IF(OR(Topraklar!$J$13="Evet",AND(Topraklar!$L$13&lt;&gt;"Evet",Topraklar!$K$13&lt;&gt;Bitkiler!$C$42)),0,MAX(0,1-(Ayarlar!$B$2*ABS(Bitkiler!$D$42-Topraklar!$D$13)+Ayarlar!$B$3*ABS(Bitkiler!$E$42-Topraklar!$E$13)+Ayarlar!$B$4*ABS(Bitkiler!$F$42-Topraklar!$F$13)+Ayarlar!$B$5*ABS(Bitkiler!$G$42-Topraklar!$G$13)+Ayarlar!$B$6*IF(Bitkiler!$H$42=Topraklar!$H$13,0,1))/Ayarlar!$B$7)+IF(Topraklar!$K$13=Bitkiler!$C$42,0.002,IF(Topraklar!$L$13="Evet",0.001,0)))</f>
        <v/>
      </c>
      <c r="N43" s="16">
        <f>IF(OR(Topraklar!$J$14="Evet",AND(Topraklar!$L$14&lt;&gt;"Evet",Topraklar!$K$14&lt;&gt;Bitkiler!$C$42)),0,MAX(0,1-(Ayarlar!$B$2*ABS(Bitkiler!$D$42-Topraklar!$D$14)+Ayarlar!$B$3*ABS(Bitkiler!$E$42-Topraklar!$E$14)+Ayarlar!$B$4*ABS(Bitkiler!$F$42-Topraklar!$F$14)+Ayarlar!$B$5*ABS(Bitkiler!$G$42-Topraklar!$G$14)+Ayarlar!$B$6*IF(Bitkiler!$H$42=Topraklar!$H$14,0,1))/Ayarlar!$B$7)+IF(Topraklar!$K$14=Bitkiler!$C$42,0.002,IF(Topraklar!$L$14="Evet",0.001,0)))</f>
        <v/>
      </c>
      <c r="O43" s="16">
        <f>IF(OR(Topraklar!$J$15="Evet",AND(Topraklar!$L$15&lt;&gt;"Evet",Topraklar!$K$15&lt;&gt;Bitkiler!$C$42)),0,MAX(0,1-(Ayarlar!$B$2*ABS(Bitkiler!$D$42-Topraklar!$D$15)+Ayarlar!$B$3*ABS(Bitkiler!$E$42-Topraklar!$E$15)+Ayarlar!$B$4*ABS(Bitkiler!$F$42-Topraklar!$F$15)+Ayarlar!$B$5*ABS(Bitkiler!$G$42-Topraklar!$G$15)+Ayarlar!$B$6*IF(Bitkiler!$H$42=Topraklar!$H$15,0,1))/Ayarlar!$B$7)+IF(Topraklar!$K$15=Bitkiler!$C$42,0.002,IF(Topraklar!$L$15="Evet",0.001,0)))</f>
        <v/>
      </c>
      <c r="P43" s="16">
        <f>IF(OR(Topraklar!$J$16="Evet",AND(Topraklar!$L$16&lt;&gt;"Evet",Topraklar!$K$16&lt;&gt;Bitkiler!$C$42)),0,MAX(0,1-(Ayarlar!$B$2*ABS(Bitkiler!$D$42-Topraklar!$D$16)+Ayarlar!$B$3*ABS(Bitkiler!$E$42-Topraklar!$E$16)+Ayarlar!$B$4*ABS(Bitkiler!$F$42-Topraklar!$F$16)+Ayarlar!$B$5*ABS(Bitkiler!$G$42-Topraklar!$G$16)+Ayarlar!$B$6*IF(Bitkiler!$H$42=Topraklar!$H$16,0,1))/Ayarlar!$B$7)+IF(Topraklar!$K$16=Bitkiler!$C$42,0.002,IF(Topraklar!$L$16="Evet",0.001,0)))</f>
        <v/>
      </c>
      <c r="Q43" s="16">
        <f>IF(OR(Topraklar!$J$17="Evet",AND(Topraklar!$L$17&lt;&gt;"Evet",Topraklar!$K$17&lt;&gt;Bitkiler!$C$42)),0,MAX(0,1-(Ayarlar!$B$2*ABS(Bitkiler!$D$42-Topraklar!$D$17)+Ayarlar!$B$3*ABS(Bitkiler!$E$42-Topraklar!$E$17)+Ayarlar!$B$4*ABS(Bitkiler!$F$42-Topraklar!$F$17)+Ayarlar!$B$5*ABS(Bitkiler!$G$42-Topraklar!$G$17)+Ayarlar!$B$6*IF(Bitkiler!$H$42=Topraklar!$H$17,0,1))/Ayarlar!$B$7)+IF(Topraklar!$K$17=Bitkiler!$C$42,0.002,IF(Topraklar!$L$17="Evet",0.001,0)))</f>
        <v/>
      </c>
      <c r="R43" s="16">
        <f>IF(OR(Topraklar!$J$18="Evet",AND(Topraklar!$L$18&lt;&gt;"Evet",Topraklar!$K$18&lt;&gt;Bitkiler!$C$42)),0,MAX(0,1-(Ayarlar!$B$2*ABS(Bitkiler!$D$42-Topraklar!$D$18)+Ayarlar!$B$3*ABS(Bitkiler!$E$42-Topraklar!$E$18)+Ayarlar!$B$4*ABS(Bitkiler!$F$42-Topraklar!$F$18)+Ayarlar!$B$5*ABS(Bitkiler!$G$42-Topraklar!$G$18)+Ayarlar!$B$6*IF(Bitkiler!$H$42=Topraklar!$H$18,0,1))/Ayarlar!$B$7)+IF(Topraklar!$K$18=Bitkiler!$C$42,0.002,IF(Topraklar!$L$18="Evet",0.001,0)))</f>
        <v/>
      </c>
      <c r="S43" s="16">
        <f>IF(OR(Topraklar!$J$19="Evet",AND(Topraklar!$L$19&lt;&gt;"Evet",Topraklar!$K$19&lt;&gt;Bitkiler!$C$42)),0,MAX(0,1-(Ayarlar!$B$2*ABS(Bitkiler!$D$42-Topraklar!$D$19)+Ayarlar!$B$3*ABS(Bitkiler!$E$42-Topraklar!$E$19)+Ayarlar!$B$4*ABS(Bitkiler!$F$42-Topraklar!$F$19)+Ayarlar!$B$5*ABS(Bitkiler!$G$42-Topraklar!$G$19)+Ayarlar!$B$6*IF(Bitkiler!$H$42=Topraklar!$H$19,0,1))/Ayarlar!$B$7)+IF(Topraklar!$K$19=Bitkiler!$C$42,0.002,IF(Topraklar!$L$19="Evet",0.001,0)))</f>
        <v/>
      </c>
      <c r="T43" s="16">
        <f>IF(OR(Topraklar!$J$20="Evet",AND(Topraklar!$L$20&lt;&gt;"Evet",Topraklar!$K$20&lt;&gt;Bitkiler!$C$42)),0,MAX(0,1-(Ayarlar!$B$2*ABS(Bitkiler!$D$42-Topraklar!$D$20)+Ayarlar!$B$3*ABS(Bitkiler!$E$42-Topraklar!$E$20)+Ayarlar!$B$4*ABS(Bitkiler!$F$42-Topraklar!$F$20)+Ayarlar!$B$5*ABS(Bitkiler!$G$42-Topraklar!$G$20)+Ayarlar!$B$6*IF(Bitkiler!$H$42=Topraklar!$H$20,0,1))/Ayarlar!$B$7)+IF(Topraklar!$K$20=Bitkiler!$C$42,0.002,IF(Topraklar!$L$20="Evet",0.001,0)))</f>
        <v/>
      </c>
      <c r="U43" s="16">
        <f>IF(OR(Topraklar!$J$21="Evet",AND(Topraklar!$L$21&lt;&gt;"Evet",Topraklar!$K$21&lt;&gt;Bitkiler!$C$42)),0,MAX(0,1-(Ayarlar!$B$2*ABS(Bitkiler!$D$42-Topraklar!$D$21)+Ayarlar!$B$3*ABS(Bitkiler!$E$42-Topraklar!$E$21)+Ayarlar!$B$4*ABS(Bitkiler!$F$42-Topraklar!$F$21)+Ayarlar!$B$5*ABS(Bitkiler!$G$42-Topraklar!$G$21)+Ayarlar!$B$6*IF(Bitkiler!$H$42=Topraklar!$H$21,0,1))/Ayarlar!$B$7)+IF(Topraklar!$K$21=Bitkiler!$C$42,0.002,IF(Topraklar!$L$21="Evet",0.001,0)))</f>
        <v/>
      </c>
      <c r="V43" s="16">
        <f>IF(OR(Topraklar!$J$22="Evet",AND(Topraklar!$L$22&lt;&gt;"Evet",Topraklar!$K$22&lt;&gt;Bitkiler!$C$42)),0,MAX(0,1-(Ayarlar!$B$2*ABS(Bitkiler!$D$42-Topraklar!$D$22)+Ayarlar!$B$3*ABS(Bitkiler!$E$42-Topraklar!$E$22)+Ayarlar!$B$4*ABS(Bitkiler!$F$42-Topraklar!$F$22)+Ayarlar!$B$5*ABS(Bitkiler!$G$42-Topraklar!$G$22)+Ayarlar!$B$6*IF(Bitkiler!$H$42=Topraklar!$H$22,0,1))/Ayarlar!$B$7)+IF(Topraklar!$K$22=Bitkiler!$C$42,0.002,IF(Topraklar!$L$22="Evet",0.001,0)))</f>
        <v/>
      </c>
      <c r="W43" s="16">
        <f>IF(OR(Topraklar!$J$23="Evet",AND(Topraklar!$L$23&lt;&gt;"Evet",Topraklar!$K$23&lt;&gt;Bitkiler!$C$42)),0,MAX(0,1-(Ayarlar!$B$2*ABS(Bitkiler!$D$42-Topraklar!$D$23)+Ayarlar!$B$3*ABS(Bitkiler!$E$42-Topraklar!$E$23)+Ayarlar!$B$4*ABS(Bitkiler!$F$42-Topraklar!$F$23)+Ayarlar!$B$5*ABS(Bitkiler!$G$42-Topraklar!$G$23)+Ayarlar!$B$6*IF(Bitkiler!$H$42=Topraklar!$H$23,0,1))/Ayarlar!$B$7)+IF(Topraklar!$K$23=Bitkiler!$C$42,0.002,IF(Topraklar!$L$23="Evet",0.001,0)))</f>
        <v/>
      </c>
      <c r="X43" s="16">
        <f>IF(OR(Topraklar!$J$24="Evet",AND(Topraklar!$L$24&lt;&gt;"Evet",Topraklar!$K$24&lt;&gt;Bitkiler!$C$42)),0,MAX(0,1-(Ayarlar!$B$2*ABS(Bitkiler!$D$42-Topraklar!$D$24)+Ayarlar!$B$3*ABS(Bitkiler!$E$42-Topraklar!$E$24)+Ayarlar!$B$4*ABS(Bitkiler!$F$42-Topraklar!$F$24)+Ayarlar!$B$5*ABS(Bitkiler!$G$42-Topraklar!$G$24)+Ayarlar!$B$6*IF(Bitkiler!$H$42=Topraklar!$H$24,0,1))/Ayarlar!$B$7)+IF(Topraklar!$K$24=Bitkiler!$C$42,0.002,IF(Topraklar!$L$24="Evet",0.001,0)))</f>
        <v/>
      </c>
      <c r="Y43" s="16">
        <f>IF(OR(Topraklar!$J$25="Evet",AND(Topraklar!$L$25&lt;&gt;"Evet",Topraklar!$K$25&lt;&gt;Bitkiler!$C$42)),0,MAX(0,1-(Ayarlar!$B$2*ABS(Bitkiler!$D$42-Topraklar!$D$25)+Ayarlar!$B$3*ABS(Bitkiler!$E$42-Topraklar!$E$25)+Ayarlar!$B$4*ABS(Bitkiler!$F$42-Topraklar!$F$25)+Ayarlar!$B$5*ABS(Bitkiler!$G$42-Topraklar!$G$25)+Ayarlar!$B$6*IF(Bitkiler!$H$42=Topraklar!$H$25,0,1))/Ayarlar!$B$7)+IF(Topraklar!$K$25=Bitkiler!$C$42,0.002,IF(Topraklar!$L$25="Evet",0.001,0)))</f>
        <v/>
      </c>
      <c r="Z43" s="16">
        <f>IF(OR(Topraklar!$J$26="Evet",AND(Topraklar!$L$26&lt;&gt;"Evet",Topraklar!$K$26&lt;&gt;Bitkiler!$C$42)),0,MAX(0,1-(Ayarlar!$B$2*ABS(Bitkiler!$D$42-Topraklar!$D$26)+Ayarlar!$B$3*ABS(Bitkiler!$E$42-Topraklar!$E$26)+Ayarlar!$B$4*ABS(Bitkiler!$F$42-Topraklar!$F$26)+Ayarlar!$B$5*ABS(Bitkiler!$G$42-Topraklar!$G$26)+Ayarlar!$B$6*IF(Bitkiler!$H$42=Topraklar!$H$26,0,1))/Ayarlar!$B$7)+IF(Topraklar!$K$26=Bitkiler!$C$42,0.002,IF(Topraklar!$L$26="Evet",0.001,0)))</f>
        <v/>
      </c>
      <c r="AA43" s="16">
        <f>IF(OR(Topraklar!$J$27="Evet",AND(Topraklar!$L$27&lt;&gt;"Evet",Topraklar!$K$27&lt;&gt;Bitkiler!$C$42)),0,MAX(0,1-(Ayarlar!$B$2*ABS(Bitkiler!$D$42-Topraklar!$D$27)+Ayarlar!$B$3*ABS(Bitkiler!$E$42-Topraklar!$E$27)+Ayarlar!$B$4*ABS(Bitkiler!$F$42-Topraklar!$F$27)+Ayarlar!$B$5*ABS(Bitkiler!$G$42-Topraklar!$G$27)+Ayarlar!$B$6*IF(Bitkiler!$H$42=Topraklar!$H$27,0,1))/Ayarlar!$B$7)+IF(Topraklar!$K$27=Bitkiler!$C$42,0.002,IF(Topraklar!$L$27="Evet",0.001,0)))</f>
        <v/>
      </c>
      <c r="AB43" s="16">
        <f>IF(OR(Topraklar!$J$28="Evet",AND(Topraklar!$L$28&lt;&gt;"Evet",Topraklar!$K$28&lt;&gt;Bitkiler!$C$42)),0,MAX(0,1-(Ayarlar!$B$2*ABS(Bitkiler!$D$42-Topraklar!$D$28)+Ayarlar!$B$3*ABS(Bitkiler!$E$42-Topraklar!$E$28)+Ayarlar!$B$4*ABS(Bitkiler!$F$42-Topraklar!$F$28)+Ayarlar!$B$5*ABS(Bitkiler!$G$42-Topraklar!$G$28)+Ayarlar!$B$6*IF(Bitkiler!$H$42=Topraklar!$H$28,0,1))/Ayarlar!$B$7)+IF(Topraklar!$K$28=Bitkiler!$C$42,0.002,IF(Topraklar!$L$28="Evet",0.001,0)))</f>
        <v/>
      </c>
      <c r="AC43" s="16">
        <f>IF(OR(Topraklar!$J$29="Evet",AND(Topraklar!$L$29&lt;&gt;"Evet",Topraklar!$K$29&lt;&gt;Bitkiler!$C$42)),0,MAX(0,1-(Ayarlar!$B$2*ABS(Bitkiler!$D$42-Topraklar!$D$29)+Ayarlar!$B$3*ABS(Bitkiler!$E$42-Topraklar!$E$29)+Ayarlar!$B$4*ABS(Bitkiler!$F$42-Topraklar!$F$29)+Ayarlar!$B$5*ABS(Bitkiler!$G$42-Topraklar!$G$29)+Ayarlar!$B$6*IF(Bitkiler!$H$42=Topraklar!$H$29,0,1))/Ayarlar!$B$7)+IF(Topraklar!$K$29=Bitkiler!$C$42,0.002,IF(Topraklar!$L$29="Evet",0.001,0)))</f>
        <v/>
      </c>
      <c r="AD43" s="16">
        <f>IF(OR(Topraklar!$J$30="Evet",AND(Topraklar!$L$30&lt;&gt;"Evet",Topraklar!$K$30&lt;&gt;Bitkiler!$C$42)),0,MAX(0,1-(Ayarlar!$B$2*ABS(Bitkiler!$D$42-Topraklar!$D$30)+Ayarlar!$B$3*ABS(Bitkiler!$E$42-Topraklar!$E$30)+Ayarlar!$B$4*ABS(Bitkiler!$F$42-Topraklar!$F$30)+Ayarlar!$B$5*ABS(Bitkiler!$G$42-Topraklar!$G$30)+Ayarlar!$B$6*IF(Bitkiler!$H$42=Topraklar!$H$30,0,1))/Ayarlar!$B$7)+IF(Topraklar!$K$30=Bitkiler!$C$42,0.002,IF(Topraklar!$L$30="Evet",0.001,0)))</f>
        <v/>
      </c>
      <c r="AE43" s="16">
        <f>IF(OR(Topraklar!$J$31="Evet",AND(Topraklar!$L$31&lt;&gt;"Evet",Topraklar!$K$31&lt;&gt;Bitkiler!$C$42)),0,MAX(0,1-(Ayarlar!$B$2*ABS(Bitkiler!$D$42-Topraklar!$D$31)+Ayarlar!$B$3*ABS(Bitkiler!$E$42-Topraklar!$E$31)+Ayarlar!$B$4*ABS(Bitkiler!$F$42-Topraklar!$F$31)+Ayarlar!$B$5*ABS(Bitkiler!$G$42-Topraklar!$G$31)+Ayarlar!$B$6*IF(Bitkiler!$H$42=Topraklar!$H$31,0,1))/Ayarlar!$B$7)+IF(Topraklar!$K$31=Bitkiler!$C$42,0.002,IF(Topraklar!$L$31="Evet",0.001,0)))</f>
        <v/>
      </c>
      <c r="AF43" s="16">
        <f>IF(OR(Topraklar!$J$32="Evet",AND(Topraklar!$L$32&lt;&gt;"Evet",Topraklar!$K$32&lt;&gt;Bitkiler!$C$42)),0,MAX(0,1-(Ayarlar!$B$2*ABS(Bitkiler!$D$42-Topraklar!$D$32)+Ayarlar!$B$3*ABS(Bitkiler!$E$42-Topraklar!$E$32)+Ayarlar!$B$4*ABS(Bitkiler!$F$42-Topraklar!$F$32)+Ayarlar!$B$5*ABS(Bitkiler!$G$42-Topraklar!$G$32)+Ayarlar!$B$6*IF(Bitkiler!$H$42=Topraklar!$H$32,0,1))/Ayarlar!$B$7)+IF(Topraklar!$K$32=Bitkiler!$C$42,0.002,IF(Topraklar!$L$32="Evet",0.001,0)))</f>
        <v/>
      </c>
      <c r="AG43" s="16">
        <f>IF(OR(Topraklar!$J$33="Evet",AND(Topraklar!$L$33&lt;&gt;"Evet",Topraklar!$K$33&lt;&gt;Bitkiler!$C$42)),0,MAX(0,1-(Ayarlar!$B$2*ABS(Bitkiler!$D$42-Topraklar!$D$33)+Ayarlar!$B$3*ABS(Bitkiler!$E$42-Topraklar!$E$33)+Ayarlar!$B$4*ABS(Bitkiler!$F$42-Topraklar!$F$33)+Ayarlar!$B$5*ABS(Bitkiler!$G$42-Topraklar!$G$33)+Ayarlar!$B$6*IF(Bitkiler!$H$42=Topraklar!$H$33,0,1))/Ayarlar!$B$7)+IF(Topraklar!$K$33=Bitkiler!$C$42,0.002,IF(Topraklar!$L$33="Evet",0.001,0)))</f>
        <v/>
      </c>
      <c r="AH43" s="16">
        <f>IF(OR(Topraklar!$J$34="Evet",AND(Topraklar!$L$34&lt;&gt;"Evet",Topraklar!$K$34&lt;&gt;Bitkiler!$C$42)),0,MAX(0,1-(Ayarlar!$B$2*ABS(Bitkiler!$D$42-Topraklar!$D$34)+Ayarlar!$B$3*ABS(Bitkiler!$E$42-Topraklar!$E$34)+Ayarlar!$B$4*ABS(Bitkiler!$F$42-Topraklar!$F$34)+Ayarlar!$B$5*ABS(Bitkiler!$G$42-Topraklar!$G$34)+Ayarlar!$B$6*IF(Bitkiler!$H$42=Topraklar!$H$34,0,1))/Ayarlar!$B$7)+IF(Topraklar!$K$34=Bitkiler!$C$42,0.002,IF(Topraklar!$L$34="Evet",0.001,0)))</f>
        <v/>
      </c>
      <c r="AI43" s="16">
        <f>IF(OR(Topraklar!$J$35="Evet",AND(Topraklar!$L$35&lt;&gt;"Evet",Topraklar!$K$35&lt;&gt;Bitkiler!$C$42)),0,MAX(0,1-(Ayarlar!$B$2*ABS(Bitkiler!$D$42-Topraklar!$D$35)+Ayarlar!$B$3*ABS(Bitkiler!$E$42-Topraklar!$E$35)+Ayarlar!$B$4*ABS(Bitkiler!$F$42-Topraklar!$F$35)+Ayarlar!$B$5*ABS(Bitkiler!$G$42-Topraklar!$G$35)+Ayarlar!$B$6*IF(Bitkiler!$H$42=Topraklar!$H$35,0,1))/Ayarlar!$B$7)+IF(Topraklar!$K$35=Bitkiler!$C$42,0.002,IF(Topraklar!$L$35="Evet",0.001,0)))</f>
        <v/>
      </c>
      <c r="AJ43" s="16">
        <f>IF(OR(Topraklar!$J$36="Evet",AND(Topraklar!$L$36&lt;&gt;"Evet",Topraklar!$K$36&lt;&gt;Bitkiler!$C$42)),0,MAX(0,1-(Ayarlar!$B$2*ABS(Bitkiler!$D$42-Topraklar!$D$36)+Ayarlar!$B$3*ABS(Bitkiler!$E$42-Topraklar!$E$36)+Ayarlar!$B$4*ABS(Bitkiler!$F$42-Topraklar!$F$36)+Ayarlar!$B$5*ABS(Bitkiler!$G$42-Topraklar!$G$36)+Ayarlar!$B$6*IF(Bitkiler!$H$42=Topraklar!$H$36,0,1))/Ayarlar!$B$7)+IF(Topraklar!$K$36=Bitkiler!$C$42,0.002,IF(Topraklar!$L$36="Evet",0.001,0)))</f>
        <v/>
      </c>
      <c r="AK43" s="16">
        <f>IF(OR(Topraklar!$J$37="Evet",AND(Topraklar!$L$37&lt;&gt;"Evet",Topraklar!$K$37&lt;&gt;Bitkiler!$C$42)),0,MAX(0,1-(Ayarlar!$B$2*ABS(Bitkiler!$D$42-Topraklar!$D$37)+Ayarlar!$B$3*ABS(Bitkiler!$E$42-Topraklar!$E$37)+Ayarlar!$B$4*ABS(Bitkiler!$F$42-Topraklar!$F$37)+Ayarlar!$B$5*ABS(Bitkiler!$G$42-Topraklar!$G$37)+Ayarlar!$B$6*IF(Bitkiler!$H$42=Topraklar!$H$37,0,1))/Ayarlar!$B$7)+IF(Topraklar!$K$37=Bitkiler!$C$42,0.002,IF(Topraklar!$L$37="Evet",0.001,0)))</f>
        <v/>
      </c>
      <c r="AL43" s="16">
        <f>IF(OR(Topraklar!$J$38="Evet",AND(Topraklar!$L$38&lt;&gt;"Evet",Topraklar!$K$38&lt;&gt;Bitkiler!$C$42)),0,MAX(0,1-(Ayarlar!$B$2*ABS(Bitkiler!$D$42-Topraklar!$D$38)+Ayarlar!$B$3*ABS(Bitkiler!$E$42-Topraklar!$E$38)+Ayarlar!$B$4*ABS(Bitkiler!$F$42-Topraklar!$F$38)+Ayarlar!$B$5*ABS(Bitkiler!$G$42-Topraklar!$G$38)+Ayarlar!$B$6*IF(Bitkiler!$H$42=Topraklar!$H$38,0,1))/Ayarlar!$B$7)+IF(Topraklar!$K$38=Bitkiler!$C$42,0.002,IF(Topraklar!$L$38="Evet",0.001,0)))</f>
        <v/>
      </c>
      <c r="AM43" s="16">
        <f>IF(OR(Topraklar!$J$39="Evet",AND(Topraklar!$L$39&lt;&gt;"Evet",Topraklar!$K$39&lt;&gt;Bitkiler!$C$42)),0,MAX(0,1-(Ayarlar!$B$2*ABS(Bitkiler!$D$42-Topraklar!$D$39)+Ayarlar!$B$3*ABS(Bitkiler!$E$42-Topraklar!$E$39)+Ayarlar!$B$4*ABS(Bitkiler!$F$42-Topraklar!$F$39)+Ayarlar!$B$5*ABS(Bitkiler!$G$42-Topraklar!$G$39)+Ayarlar!$B$6*IF(Bitkiler!$H$42=Topraklar!$H$39,0,1))/Ayarlar!$B$7)+IF(Topraklar!$K$39=Bitkiler!$C$42,0.002,IF(Topraklar!$L$39="Evet",0.001,0)))</f>
        <v/>
      </c>
      <c r="AN43" s="16">
        <f>IF(OR(Topraklar!$J$40="Evet",AND(Topraklar!$L$40&lt;&gt;"Evet",Topraklar!$K$40&lt;&gt;Bitkiler!$C$42)),0,MAX(0,1-(Ayarlar!$B$2*ABS(Bitkiler!$D$42-Topraklar!$D$40)+Ayarlar!$B$3*ABS(Bitkiler!$E$42-Topraklar!$E$40)+Ayarlar!$B$4*ABS(Bitkiler!$F$42-Topraklar!$F$40)+Ayarlar!$B$5*ABS(Bitkiler!$G$42-Topraklar!$G$40)+Ayarlar!$B$6*IF(Bitkiler!$H$42=Topraklar!$H$40,0,1))/Ayarlar!$B$7)+IF(Topraklar!$K$40=Bitkiler!$C$42,0.002,IF(Topraklar!$L$40="Evet",0.001,0)))</f>
        <v/>
      </c>
      <c r="AO43" s="16">
        <f>IF(OR(Topraklar!$J$41="Evet",AND(Topraklar!$L$41&lt;&gt;"Evet",Topraklar!$K$41&lt;&gt;Bitkiler!$C$42)),0,MAX(0,1-(Ayarlar!$B$2*ABS(Bitkiler!$D$42-Topraklar!$D$41)+Ayarlar!$B$3*ABS(Bitkiler!$E$42-Topraklar!$E$41)+Ayarlar!$B$4*ABS(Bitkiler!$F$42-Topraklar!$F$41)+Ayarlar!$B$5*ABS(Bitkiler!$G$42-Topraklar!$G$41)+Ayarlar!$B$6*IF(Bitkiler!$H$42=Topraklar!$H$41,0,1))/Ayarlar!$B$7)+IF(Topraklar!$K$41=Bitkiler!$C$42,0.002,IF(Topraklar!$L$41="Evet",0.001,0)))</f>
        <v/>
      </c>
      <c r="AP43" s="16">
        <f>IF(OR(Topraklar!$J$42="Evet",AND(Topraklar!$L$42&lt;&gt;"Evet",Topraklar!$K$42&lt;&gt;Bitkiler!$C$42)),0,MAX(0,1-(Ayarlar!$B$2*ABS(Bitkiler!$D$42-Topraklar!$D$42)+Ayarlar!$B$3*ABS(Bitkiler!$E$42-Topraklar!$E$42)+Ayarlar!$B$4*ABS(Bitkiler!$F$42-Topraklar!$F$42)+Ayarlar!$B$5*ABS(Bitkiler!$G$42-Topraklar!$G$42)+Ayarlar!$B$6*IF(Bitkiler!$H$42=Topraklar!$H$42,0,1))/Ayarlar!$B$7)+IF(Topraklar!$K$42=Bitkiler!$C$42,0.002,IF(Topraklar!$L$42="Evet",0.001,0)))</f>
        <v/>
      </c>
      <c r="AQ43" s="16">
        <f>IF(OR(Topraklar!$J$43="Evet",AND(Topraklar!$L$43&lt;&gt;"Evet",Topraklar!$K$43&lt;&gt;Bitkiler!$C$42)),0,MAX(0,1-(Ayarlar!$B$2*ABS(Bitkiler!$D$42-Topraklar!$D$43)+Ayarlar!$B$3*ABS(Bitkiler!$E$42-Topraklar!$E$43)+Ayarlar!$B$4*ABS(Bitkiler!$F$42-Topraklar!$F$43)+Ayarlar!$B$5*ABS(Bitkiler!$G$42-Topraklar!$G$43)+Ayarlar!$B$6*IF(Bitkiler!$H$42=Topraklar!$H$43,0,1))/Ayarlar!$B$7)+IF(Topraklar!$K$43=Bitkiler!$C$42,0.002,IF(Topraklar!$L$43="Evet",0.001,0)))</f>
        <v/>
      </c>
      <c r="AR43" s="16">
        <f>IF(OR(Topraklar!$J$44="Evet",AND(Topraklar!$L$44&lt;&gt;"Evet",Topraklar!$K$44&lt;&gt;Bitkiler!$C$42)),0,MAX(0,1-(Ayarlar!$B$2*ABS(Bitkiler!$D$42-Topraklar!$D$44)+Ayarlar!$B$3*ABS(Bitkiler!$E$42-Topraklar!$E$44)+Ayarlar!$B$4*ABS(Bitkiler!$F$42-Topraklar!$F$44)+Ayarlar!$B$5*ABS(Bitkiler!$G$42-Topraklar!$G$44)+Ayarlar!$B$6*IF(Bitkiler!$H$42=Topraklar!$H$44,0,1))/Ayarlar!$B$7)+IF(Topraklar!$K$44=Bitkiler!$C$42,0.002,IF(Topraklar!$L$44="Evet",0.001,0)))</f>
        <v/>
      </c>
      <c r="AS43" s="16">
        <f>IF(OR(Topraklar!$J$45="Evet",AND(Topraklar!$L$45&lt;&gt;"Evet",Topraklar!$K$45&lt;&gt;Bitkiler!$C$42)),0,MAX(0,1-(Ayarlar!$B$2*ABS(Bitkiler!$D$42-Topraklar!$D$45)+Ayarlar!$B$3*ABS(Bitkiler!$E$42-Topraklar!$E$45)+Ayarlar!$B$4*ABS(Bitkiler!$F$42-Topraklar!$F$45)+Ayarlar!$B$5*ABS(Bitkiler!$G$42-Topraklar!$G$45)+Ayarlar!$B$6*IF(Bitkiler!$H$42=Topraklar!$H$45,0,1))/Ayarlar!$B$7)+IF(Topraklar!$K$45=Bitkiler!$C$42,0.002,IF(Topraklar!$L$45="Evet",0.001,0)))</f>
        <v/>
      </c>
      <c r="AT43" s="16">
        <f>IF(OR(Topraklar!$J$46="Evet",AND(Topraklar!$L$46&lt;&gt;"Evet",Topraklar!$K$46&lt;&gt;Bitkiler!$C$42)),0,MAX(0,1-(Ayarlar!$B$2*ABS(Bitkiler!$D$42-Topraklar!$D$46)+Ayarlar!$B$3*ABS(Bitkiler!$E$42-Topraklar!$E$46)+Ayarlar!$B$4*ABS(Bitkiler!$F$42-Topraklar!$F$46)+Ayarlar!$B$5*ABS(Bitkiler!$G$42-Topraklar!$G$46)+Ayarlar!$B$6*IF(Bitkiler!$H$42=Topraklar!$H$46,0,1))/Ayarlar!$B$7)+IF(Topraklar!$K$46=Bitkiler!$C$42,0.002,IF(Topraklar!$L$46="Evet",0.001,0)))</f>
        <v/>
      </c>
      <c r="AU43" s="16">
        <f>IF(OR(Topraklar!$J$47="Evet",AND(Topraklar!$L$47&lt;&gt;"Evet",Topraklar!$K$47&lt;&gt;Bitkiler!$C$42)),0,MAX(0,1-(Ayarlar!$B$2*ABS(Bitkiler!$D$42-Topraklar!$D$47)+Ayarlar!$B$3*ABS(Bitkiler!$E$42-Topraklar!$E$47)+Ayarlar!$B$4*ABS(Bitkiler!$F$42-Topraklar!$F$47)+Ayarlar!$B$5*ABS(Bitkiler!$G$42-Topraklar!$G$47)+Ayarlar!$B$6*IF(Bitkiler!$H$42=Topraklar!$H$47,0,1))/Ayarlar!$B$7)+IF(Topraklar!$K$47=Bitkiler!$C$42,0.002,IF(Topraklar!$L$47="Evet",0.001,0)))</f>
        <v/>
      </c>
      <c r="AV43" s="16">
        <f>IF(OR(Topraklar!$J$48="Evet",AND(Topraklar!$L$48&lt;&gt;"Evet",Topraklar!$K$48&lt;&gt;Bitkiler!$C$42)),0,MAX(0,1-(Ayarlar!$B$2*ABS(Bitkiler!$D$42-Topraklar!$D$48)+Ayarlar!$B$3*ABS(Bitkiler!$E$42-Topraklar!$E$48)+Ayarlar!$B$4*ABS(Bitkiler!$F$42-Topraklar!$F$48)+Ayarlar!$B$5*ABS(Bitkiler!$G$42-Topraklar!$G$48)+Ayarlar!$B$6*IF(Bitkiler!$H$42=Topraklar!$H$48,0,1))/Ayarlar!$B$7)+IF(Topraklar!$K$48=Bitkiler!$C$42,0.002,IF(Topraklar!$L$48="Evet",0.001,0)))</f>
        <v/>
      </c>
      <c r="AW43" s="16">
        <f>IF(OR(Topraklar!$J$49="Evet",AND(Topraklar!$L$49&lt;&gt;"Evet",Topraklar!$K$49&lt;&gt;Bitkiler!$C$42)),0,MAX(0,1-(Ayarlar!$B$2*ABS(Bitkiler!$D$42-Topraklar!$D$49)+Ayarlar!$B$3*ABS(Bitkiler!$E$42-Topraklar!$E$49)+Ayarlar!$B$4*ABS(Bitkiler!$F$42-Topraklar!$F$49)+Ayarlar!$B$5*ABS(Bitkiler!$G$42-Topraklar!$G$49)+Ayarlar!$B$6*IF(Bitkiler!$H$42=Topraklar!$H$49,0,1))/Ayarlar!$B$7)+IF(Topraklar!$K$49=Bitkiler!$C$42,0.002,IF(Topraklar!$L$49="Evet",0.001,0)))</f>
        <v/>
      </c>
      <c r="AX43" s="16">
        <f>IF(OR(Topraklar!$J$50="Evet",AND(Topraklar!$L$50&lt;&gt;"Evet",Topraklar!$K$50&lt;&gt;Bitkiler!$C$42)),0,MAX(0,1-(Ayarlar!$B$2*ABS(Bitkiler!$D$42-Topraklar!$D$50)+Ayarlar!$B$3*ABS(Bitkiler!$E$42-Topraklar!$E$50)+Ayarlar!$B$4*ABS(Bitkiler!$F$42-Topraklar!$F$50)+Ayarlar!$B$5*ABS(Bitkiler!$G$42-Topraklar!$G$50)+Ayarlar!$B$6*IF(Bitkiler!$H$42=Topraklar!$H$50,0,1))/Ayarlar!$B$7)+IF(Topraklar!$K$50=Bitkiler!$C$42,0.002,IF(Topraklar!$L$50="Evet",0.001,0)))</f>
        <v/>
      </c>
      <c r="AY43" s="16">
        <f>IF(OR(Topraklar!$J$51="Evet",AND(Topraklar!$L$51&lt;&gt;"Evet",Topraklar!$K$51&lt;&gt;Bitkiler!$C$42)),0,MAX(0,1-(Ayarlar!$B$2*ABS(Bitkiler!$D$42-Topraklar!$D$51)+Ayarlar!$B$3*ABS(Bitkiler!$E$42-Topraklar!$E$51)+Ayarlar!$B$4*ABS(Bitkiler!$F$42-Topraklar!$F$51)+Ayarlar!$B$5*ABS(Bitkiler!$G$42-Topraklar!$G$51)+Ayarlar!$B$6*IF(Bitkiler!$H$42=Topraklar!$H$51,0,1))/Ayarlar!$B$7)+IF(Topraklar!$K$51=Bitkiler!$C$42,0.002,IF(Topraklar!$L$51="Evet",0.001,0)))</f>
        <v/>
      </c>
    </row>
    <row r="44">
      <c r="A44" s="15">
        <f>Bitkiler!A43</f>
        <v/>
      </c>
      <c r="B44" s="16">
        <f>IF(OR(Topraklar!$J$2="Evet",AND(Topraklar!$L$2&lt;&gt;"Evet",Topraklar!$K$2&lt;&gt;Bitkiler!$C$43)),0,MAX(0,1-(Ayarlar!$B$2*ABS(Bitkiler!$D$43-Topraklar!$D$2)+Ayarlar!$B$3*ABS(Bitkiler!$E$43-Topraklar!$E$2)+Ayarlar!$B$4*ABS(Bitkiler!$F$43-Topraklar!$F$2)+Ayarlar!$B$5*ABS(Bitkiler!$G$43-Topraklar!$G$2)+Ayarlar!$B$6*IF(Bitkiler!$H$43=Topraklar!$H$2,0,1))/Ayarlar!$B$7)+IF(Topraklar!$K$2=Bitkiler!$C$43,0.002,IF(Topraklar!$L$2="Evet",0.001,0)))</f>
        <v/>
      </c>
      <c r="C44" s="16">
        <f>IF(OR(Topraklar!$J$3="Evet",AND(Topraklar!$L$3&lt;&gt;"Evet",Topraklar!$K$3&lt;&gt;Bitkiler!$C$43)),0,MAX(0,1-(Ayarlar!$B$2*ABS(Bitkiler!$D$43-Topraklar!$D$3)+Ayarlar!$B$3*ABS(Bitkiler!$E$43-Topraklar!$E$3)+Ayarlar!$B$4*ABS(Bitkiler!$F$43-Topraklar!$F$3)+Ayarlar!$B$5*ABS(Bitkiler!$G$43-Topraklar!$G$3)+Ayarlar!$B$6*IF(Bitkiler!$H$43=Topraklar!$H$3,0,1))/Ayarlar!$B$7)+IF(Topraklar!$K$3=Bitkiler!$C$43,0.002,IF(Topraklar!$L$3="Evet",0.001,0)))</f>
        <v/>
      </c>
      <c r="D44" s="16">
        <f>IF(OR(Topraklar!$J$4="Evet",AND(Topraklar!$L$4&lt;&gt;"Evet",Topraklar!$K$4&lt;&gt;Bitkiler!$C$43)),0,MAX(0,1-(Ayarlar!$B$2*ABS(Bitkiler!$D$43-Topraklar!$D$4)+Ayarlar!$B$3*ABS(Bitkiler!$E$43-Topraklar!$E$4)+Ayarlar!$B$4*ABS(Bitkiler!$F$43-Topraklar!$F$4)+Ayarlar!$B$5*ABS(Bitkiler!$G$43-Topraklar!$G$4)+Ayarlar!$B$6*IF(Bitkiler!$H$43=Topraklar!$H$4,0,1))/Ayarlar!$B$7)+IF(Topraklar!$K$4=Bitkiler!$C$43,0.002,IF(Topraklar!$L$4="Evet",0.001,0)))</f>
        <v/>
      </c>
      <c r="E44" s="16">
        <f>IF(OR(Topraklar!$J$5="Evet",AND(Topraklar!$L$5&lt;&gt;"Evet",Topraklar!$K$5&lt;&gt;Bitkiler!$C$43)),0,MAX(0,1-(Ayarlar!$B$2*ABS(Bitkiler!$D$43-Topraklar!$D$5)+Ayarlar!$B$3*ABS(Bitkiler!$E$43-Topraklar!$E$5)+Ayarlar!$B$4*ABS(Bitkiler!$F$43-Topraklar!$F$5)+Ayarlar!$B$5*ABS(Bitkiler!$G$43-Topraklar!$G$5)+Ayarlar!$B$6*IF(Bitkiler!$H$43=Topraklar!$H$5,0,1))/Ayarlar!$B$7)+IF(Topraklar!$K$5=Bitkiler!$C$43,0.002,IF(Topraklar!$L$5="Evet",0.001,0)))</f>
        <v/>
      </c>
      <c r="F44" s="16">
        <f>IF(OR(Topraklar!$J$6="Evet",AND(Topraklar!$L$6&lt;&gt;"Evet",Topraklar!$K$6&lt;&gt;Bitkiler!$C$43)),0,MAX(0,1-(Ayarlar!$B$2*ABS(Bitkiler!$D$43-Topraklar!$D$6)+Ayarlar!$B$3*ABS(Bitkiler!$E$43-Topraklar!$E$6)+Ayarlar!$B$4*ABS(Bitkiler!$F$43-Topraklar!$F$6)+Ayarlar!$B$5*ABS(Bitkiler!$G$43-Topraklar!$G$6)+Ayarlar!$B$6*IF(Bitkiler!$H$43=Topraklar!$H$6,0,1))/Ayarlar!$B$7)+IF(Topraklar!$K$6=Bitkiler!$C$43,0.002,IF(Topraklar!$L$6="Evet",0.001,0)))</f>
        <v/>
      </c>
      <c r="G44" s="16">
        <f>IF(OR(Topraklar!$J$7="Evet",AND(Topraklar!$L$7&lt;&gt;"Evet",Topraklar!$K$7&lt;&gt;Bitkiler!$C$43)),0,MAX(0,1-(Ayarlar!$B$2*ABS(Bitkiler!$D$43-Topraklar!$D$7)+Ayarlar!$B$3*ABS(Bitkiler!$E$43-Topraklar!$E$7)+Ayarlar!$B$4*ABS(Bitkiler!$F$43-Topraklar!$F$7)+Ayarlar!$B$5*ABS(Bitkiler!$G$43-Topraklar!$G$7)+Ayarlar!$B$6*IF(Bitkiler!$H$43=Topraklar!$H$7,0,1))/Ayarlar!$B$7)+IF(Topraklar!$K$7=Bitkiler!$C$43,0.002,IF(Topraklar!$L$7="Evet",0.001,0)))</f>
        <v/>
      </c>
      <c r="H44" s="16">
        <f>IF(OR(Topraklar!$J$8="Evet",AND(Topraklar!$L$8&lt;&gt;"Evet",Topraklar!$K$8&lt;&gt;Bitkiler!$C$43)),0,MAX(0,1-(Ayarlar!$B$2*ABS(Bitkiler!$D$43-Topraklar!$D$8)+Ayarlar!$B$3*ABS(Bitkiler!$E$43-Topraklar!$E$8)+Ayarlar!$B$4*ABS(Bitkiler!$F$43-Topraklar!$F$8)+Ayarlar!$B$5*ABS(Bitkiler!$G$43-Topraklar!$G$8)+Ayarlar!$B$6*IF(Bitkiler!$H$43=Topraklar!$H$8,0,1))/Ayarlar!$B$7)+IF(Topraklar!$K$8=Bitkiler!$C$43,0.002,IF(Topraklar!$L$8="Evet",0.001,0)))</f>
        <v/>
      </c>
      <c r="I44" s="16">
        <f>IF(OR(Topraklar!$J$9="Evet",AND(Topraklar!$L$9&lt;&gt;"Evet",Topraklar!$K$9&lt;&gt;Bitkiler!$C$43)),0,MAX(0,1-(Ayarlar!$B$2*ABS(Bitkiler!$D$43-Topraklar!$D$9)+Ayarlar!$B$3*ABS(Bitkiler!$E$43-Topraklar!$E$9)+Ayarlar!$B$4*ABS(Bitkiler!$F$43-Topraklar!$F$9)+Ayarlar!$B$5*ABS(Bitkiler!$G$43-Topraklar!$G$9)+Ayarlar!$B$6*IF(Bitkiler!$H$43=Topraklar!$H$9,0,1))/Ayarlar!$B$7)+IF(Topraklar!$K$9=Bitkiler!$C$43,0.002,IF(Topraklar!$L$9="Evet",0.001,0)))</f>
        <v/>
      </c>
      <c r="J44" s="16">
        <f>IF(OR(Topraklar!$J$10="Evet",AND(Topraklar!$L$10&lt;&gt;"Evet",Topraklar!$K$10&lt;&gt;Bitkiler!$C$43)),0,MAX(0,1-(Ayarlar!$B$2*ABS(Bitkiler!$D$43-Topraklar!$D$10)+Ayarlar!$B$3*ABS(Bitkiler!$E$43-Topraklar!$E$10)+Ayarlar!$B$4*ABS(Bitkiler!$F$43-Topraklar!$F$10)+Ayarlar!$B$5*ABS(Bitkiler!$G$43-Topraklar!$G$10)+Ayarlar!$B$6*IF(Bitkiler!$H$43=Topraklar!$H$10,0,1))/Ayarlar!$B$7)+IF(Topraklar!$K$10=Bitkiler!$C$43,0.002,IF(Topraklar!$L$10="Evet",0.001,0)))</f>
        <v/>
      </c>
      <c r="K44" s="16">
        <f>IF(OR(Topraklar!$J$11="Evet",AND(Topraklar!$L$11&lt;&gt;"Evet",Topraklar!$K$11&lt;&gt;Bitkiler!$C$43)),0,MAX(0,1-(Ayarlar!$B$2*ABS(Bitkiler!$D$43-Topraklar!$D$11)+Ayarlar!$B$3*ABS(Bitkiler!$E$43-Topraklar!$E$11)+Ayarlar!$B$4*ABS(Bitkiler!$F$43-Topraklar!$F$11)+Ayarlar!$B$5*ABS(Bitkiler!$G$43-Topraklar!$G$11)+Ayarlar!$B$6*IF(Bitkiler!$H$43=Topraklar!$H$11,0,1))/Ayarlar!$B$7)+IF(Topraklar!$K$11=Bitkiler!$C$43,0.002,IF(Topraklar!$L$11="Evet",0.001,0)))</f>
        <v/>
      </c>
      <c r="L44" s="16">
        <f>IF(OR(Topraklar!$J$12="Evet",AND(Topraklar!$L$12&lt;&gt;"Evet",Topraklar!$K$12&lt;&gt;Bitkiler!$C$43)),0,MAX(0,1-(Ayarlar!$B$2*ABS(Bitkiler!$D$43-Topraklar!$D$12)+Ayarlar!$B$3*ABS(Bitkiler!$E$43-Topraklar!$E$12)+Ayarlar!$B$4*ABS(Bitkiler!$F$43-Topraklar!$F$12)+Ayarlar!$B$5*ABS(Bitkiler!$G$43-Topraklar!$G$12)+Ayarlar!$B$6*IF(Bitkiler!$H$43=Topraklar!$H$12,0,1))/Ayarlar!$B$7)+IF(Topraklar!$K$12=Bitkiler!$C$43,0.002,IF(Topraklar!$L$12="Evet",0.001,0)))</f>
        <v/>
      </c>
      <c r="M44" s="16">
        <f>IF(OR(Topraklar!$J$13="Evet",AND(Topraklar!$L$13&lt;&gt;"Evet",Topraklar!$K$13&lt;&gt;Bitkiler!$C$43)),0,MAX(0,1-(Ayarlar!$B$2*ABS(Bitkiler!$D$43-Topraklar!$D$13)+Ayarlar!$B$3*ABS(Bitkiler!$E$43-Topraklar!$E$13)+Ayarlar!$B$4*ABS(Bitkiler!$F$43-Topraklar!$F$13)+Ayarlar!$B$5*ABS(Bitkiler!$G$43-Topraklar!$G$13)+Ayarlar!$B$6*IF(Bitkiler!$H$43=Topraklar!$H$13,0,1))/Ayarlar!$B$7)+IF(Topraklar!$K$13=Bitkiler!$C$43,0.002,IF(Topraklar!$L$13="Evet",0.001,0)))</f>
        <v/>
      </c>
      <c r="N44" s="16">
        <f>IF(OR(Topraklar!$J$14="Evet",AND(Topraklar!$L$14&lt;&gt;"Evet",Topraklar!$K$14&lt;&gt;Bitkiler!$C$43)),0,MAX(0,1-(Ayarlar!$B$2*ABS(Bitkiler!$D$43-Topraklar!$D$14)+Ayarlar!$B$3*ABS(Bitkiler!$E$43-Topraklar!$E$14)+Ayarlar!$B$4*ABS(Bitkiler!$F$43-Topraklar!$F$14)+Ayarlar!$B$5*ABS(Bitkiler!$G$43-Topraklar!$G$14)+Ayarlar!$B$6*IF(Bitkiler!$H$43=Topraklar!$H$14,0,1))/Ayarlar!$B$7)+IF(Topraklar!$K$14=Bitkiler!$C$43,0.002,IF(Topraklar!$L$14="Evet",0.001,0)))</f>
        <v/>
      </c>
      <c r="O44" s="16">
        <f>IF(OR(Topraklar!$J$15="Evet",AND(Topraklar!$L$15&lt;&gt;"Evet",Topraklar!$K$15&lt;&gt;Bitkiler!$C$43)),0,MAX(0,1-(Ayarlar!$B$2*ABS(Bitkiler!$D$43-Topraklar!$D$15)+Ayarlar!$B$3*ABS(Bitkiler!$E$43-Topraklar!$E$15)+Ayarlar!$B$4*ABS(Bitkiler!$F$43-Topraklar!$F$15)+Ayarlar!$B$5*ABS(Bitkiler!$G$43-Topraklar!$G$15)+Ayarlar!$B$6*IF(Bitkiler!$H$43=Topraklar!$H$15,0,1))/Ayarlar!$B$7)+IF(Topraklar!$K$15=Bitkiler!$C$43,0.002,IF(Topraklar!$L$15="Evet",0.001,0)))</f>
        <v/>
      </c>
      <c r="P44" s="16">
        <f>IF(OR(Topraklar!$J$16="Evet",AND(Topraklar!$L$16&lt;&gt;"Evet",Topraklar!$K$16&lt;&gt;Bitkiler!$C$43)),0,MAX(0,1-(Ayarlar!$B$2*ABS(Bitkiler!$D$43-Topraklar!$D$16)+Ayarlar!$B$3*ABS(Bitkiler!$E$43-Topraklar!$E$16)+Ayarlar!$B$4*ABS(Bitkiler!$F$43-Topraklar!$F$16)+Ayarlar!$B$5*ABS(Bitkiler!$G$43-Topraklar!$G$16)+Ayarlar!$B$6*IF(Bitkiler!$H$43=Topraklar!$H$16,0,1))/Ayarlar!$B$7)+IF(Topraklar!$K$16=Bitkiler!$C$43,0.002,IF(Topraklar!$L$16="Evet",0.001,0)))</f>
        <v/>
      </c>
      <c r="Q44" s="16">
        <f>IF(OR(Topraklar!$J$17="Evet",AND(Topraklar!$L$17&lt;&gt;"Evet",Topraklar!$K$17&lt;&gt;Bitkiler!$C$43)),0,MAX(0,1-(Ayarlar!$B$2*ABS(Bitkiler!$D$43-Topraklar!$D$17)+Ayarlar!$B$3*ABS(Bitkiler!$E$43-Topraklar!$E$17)+Ayarlar!$B$4*ABS(Bitkiler!$F$43-Topraklar!$F$17)+Ayarlar!$B$5*ABS(Bitkiler!$G$43-Topraklar!$G$17)+Ayarlar!$B$6*IF(Bitkiler!$H$43=Topraklar!$H$17,0,1))/Ayarlar!$B$7)+IF(Topraklar!$K$17=Bitkiler!$C$43,0.002,IF(Topraklar!$L$17="Evet",0.001,0)))</f>
        <v/>
      </c>
      <c r="R44" s="16">
        <f>IF(OR(Topraklar!$J$18="Evet",AND(Topraklar!$L$18&lt;&gt;"Evet",Topraklar!$K$18&lt;&gt;Bitkiler!$C$43)),0,MAX(0,1-(Ayarlar!$B$2*ABS(Bitkiler!$D$43-Topraklar!$D$18)+Ayarlar!$B$3*ABS(Bitkiler!$E$43-Topraklar!$E$18)+Ayarlar!$B$4*ABS(Bitkiler!$F$43-Topraklar!$F$18)+Ayarlar!$B$5*ABS(Bitkiler!$G$43-Topraklar!$G$18)+Ayarlar!$B$6*IF(Bitkiler!$H$43=Topraklar!$H$18,0,1))/Ayarlar!$B$7)+IF(Topraklar!$K$18=Bitkiler!$C$43,0.002,IF(Topraklar!$L$18="Evet",0.001,0)))</f>
        <v/>
      </c>
      <c r="S44" s="16">
        <f>IF(OR(Topraklar!$J$19="Evet",AND(Topraklar!$L$19&lt;&gt;"Evet",Topraklar!$K$19&lt;&gt;Bitkiler!$C$43)),0,MAX(0,1-(Ayarlar!$B$2*ABS(Bitkiler!$D$43-Topraklar!$D$19)+Ayarlar!$B$3*ABS(Bitkiler!$E$43-Topraklar!$E$19)+Ayarlar!$B$4*ABS(Bitkiler!$F$43-Topraklar!$F$19)+Ayarlar!$B$5*ABS(Bitkiler!$G$43-Topraklar!$G$19)+Ayarlar!$B$6*IF(Bitkiler!$H$43=Topraklar!$H$19,0,1))/Ayarlar!$B$7)+IF(Topraklar!$K$19=Bitkiler!$C$43,0.002,IF(Topraklar!$L$19="Evet",0.001,0)))</f>
        <v/>
      </c>
      <c r="T44" s="16">
        <f>IF(OR(Topraklar!$J$20="Evet",AND(Topraklar!$L$20&lt;&gt;"Evet",Topraklar!$K$20&lt;&gt;Bitkiler!$C$43)),0,MAX(0,1-(Ayarlar!$B$2*ABS(Bitkiler!$D$43-Topraklar!$D$20)+Ayarlar!$B$3*ABS(Bitkiler!$E$43-Topraklar!$E$20)+Ayarlar!$B$4*ABS(Bitkiler!$F$43-Topraklar!$F$20)+Ayarlar!$B$5*ABS(Bitkiler!$G$43-Topraklar!$G$20)+Ayarlar!$B$6*IF(Bitkiler!$H$43=Topraklar!$H$20,0,1))/Ayarlar!$B$7)+IF(Topraklar!$K$20=Bitkiler!$C$43,0.002,IF(Topraklar!$L$20="Evet",0.001,0)))</f>
        <v/>
      </c>
      <c r="U44" s="16">
        <f>IF(OR(Topraklar!$J$21="Evet",AND(Topraklar!$L$21&lt;&gt;"Evet",Topraklar!$K$21&lt;&gt;Bitkiler!$C$43)),0,MAX(0,1-(Ayarlar!$B$2*ABS(Bitkiler!$D$43-Topraklar!$D$21)+Ayarlar!$B$3*ABS(Bitkiler!$E$43-Topraklar!$E$21)+Ayarlar!$B$4*ABS(Bitkiler!$F$43-Topraklar!$F$21)+Ayarlar!$B$5*ABS(Bitkiler!$G$43-Topraklar!$G$21)+Ayarlar!$B$6*IF(Bitkiler!$H$43=Topraklar!$H$21,0,1))/Ayarlar!$B$7)+IF(Topraklar!$K$21=Bitkiler!$C$43,0.002,IF(Topraklar!$L$21="Evet",0.001,0)))</f>
        <v/>
      </c>
      <c r="V44" s="16">
        <f>IF(OR(Topraklar!$J$22="Evet",AND(Topraklar!$L$22&lt;&gt;"Evet",Topraklar!$K$22&lt;&gt;Bitkiler!$C$43)),0,MAX(0,1-(Ayarlar!$B$2*ABS(Bitkiler!$D$43-Topraklar!$D$22)+Ayarlar!$B$3*ABS(Bitkiler!$E$43-Topraklar!$E$22)+Ayarlar!$B$4*ABS(Bitkiler!$F$43-Topraklar!$F$22)+Ayarlar!$B$5*ABS(Bitkiler!$G$43-Topraklar!$G$22)+Ayarlar!$B$6*IF(Bitkiler!$H$43=Topraklar!$H$22,0,1))/Ayarlar!$B$7)+IF(Topraklar!$K$22=Bitkiler!$C$43,0.002,IF(Topraklar!$L$22="Evet",0.001,0)))</f>
        <v/>
      </c>
      <c r="W44" s="16">
        <f>IF(OR(Topraklar!$J$23="Evet",AND(Topraklar!$L$23&lt;&gt;"Evet",Topraklar!$K$23&lt;&gt;Bitkiler!$C$43)),0,MAX(0,1-(Ayarlar!$B$2*ABS(Bitkiler!$D$43-Topraklar!$D$23)+Ayarlar!$B$3*ABS(Bitkiler!$E$43-Topraklar!$E$23)+Ayarlar!$B$4*ABS(Bitkiler!$F$43-Topraklar!$F$23)+Ayarlar!$B$5*ABS(Bitkiler!$G$43-Topraklar!$G$23)+Ayarlar!$B$6*IF(Bitkiler!$H$43=Topraklar!$H$23,0,1))/Ayarlar!$B$7)+IF(Topraklar!$K$23=Bitkiler!$C$43,0.002,IF(Topraklar!$L$23="Evet",0.001,0)))</f>
        <v/>
      </c>
      <c r="X44" s="16">
        <f>IF(OR(Topraklar!$J$24="Evet",AND(Topraklar!$L$24&lt;&gt;"Evet",Topraklar!$K$24&lt;&gt;Bitkiler!$C$43)),0,MAX(0,1-(Ayarlar!$B$2*ABS(Bitkiler!$D$43-Topraklar!$D$24)+Ayarlar!$B$3*ABS(Bitkiler!$E$43-Topraklar!$E$24)+Ayarlar!$B$4*ABS(Bitkiler!$F$43-Topraklar!$F$24)+Ayarlar!$B$5*ABS(Bitkiler!$G$43-Topraklar!$G$24)+Ayarlar!$B$6*IF(Bitkiler!$H$43=Topraklar!$H$24,0,1))/Ayarlar!$B$7)+IF(Topraklar!$K$24=Bitkiler!$C$43,0.002,IF(Topraklar!$L$24="Evet",0.001,0)))</f>
        <v/>
      </c>
      <c r="Y44" s="16">
        <f>IF(OR(Topraklar!$J$25="Evet",AND(Topraklar!$L$25&lt;&gt;"Evet",Topraklar!$K$25&lt;&gt;Bitkiler!$C$43)),0,MAX(0,1-(Ayarlar!$B$2*ABS(Bitkiler!$D$43-Topraklar!$D$25)+Ayarlar!$B$3*ABS(Bitkiler!$E$43-Topraklar!$E$25)+Ayarlar!$B$4*ABS(Bitkiler!$F$43-Topraklar!$F$25)+Ayarlar!$B$5*ABS(Bitkiler!$G$43-Topraklar!$G$25)+Ayarlar!$B$6*IF(Bitkiler!$H$43=Topraklar!$H$25,0,1))/Ayarlar!$B$7)+IF(Topraklar!$K$25=Bitkiler!$C$43,0.002,IF(Topraklar!$L$25="Evet",0.001,0)))</f>
        <v/>
      </c>
      <c r="Z44" s="16">
        <f>IF(OR(Topraklar!$J$26="Evet",AND(Topraklar!$L$26&lt;&gt;"Evet",Topraklar!$K$26&lt;&gt;Bitkiler!$C$43)),0,MAX(0,1-(Ayarlar!$B$2*ABS(Bitkiler!$D$43-Topraklar!$D$26)+Ayarlar!$B$3*ABS(Bitkiler!$E$43-Topraklar!$E$26)+Ayarlar!$B$4*ABS(Bitkiler!$F$43-Topraklar!$F$26)+Ayarlar!$B$5*ABS(Bitkiler!$G$43-Topraklar!$G$26)+Ayarlar!$B$6*IF(Bitkiler!$H$43=Topraklar!$H$26,0,1))/Ayarlar!$B$7)+IF(Topraklar!$K$26=Bitkiler!$C$43,0.002,IF(Topraklar!$L$26="Evet",0.001,0)))</f>
        <v/>
      </c>
      <c r="AA44" s="16">
        <f>IF(OR(Topraklar!$J$27="Evet",AND(Topraklar!$L$27&lt;&gt;"Evet",Topraklar!$K$27&lt;&gt;Bitkiler!$C$43)),0,MAX(0,1-(Ayarlar!$B$2*ABS(Bitkiler!$D$43-Topraklar!$D$27)+Ayarlar!$B$3*ABS(Bitkiler!$E$43-Topraklar!$E$27)+Ayarlar!$B$4*ABS(Bitkiler!$F$43-Topraklar!$F$27)+Ayarlar!$B$5*ABS(Bitkiler!$G$43-Topraklar!$G$27)+Ayarlar!$B$6*IF(Bitkiler!$H$43=Topraklar!$H$27,0,1))/Ayarlar!$B$7)+IF(Topraklar!$K$27=Bitkiler!$C$43,0.002,IF(Topraklar!$L$27="Evet",0.001,0)))</f>
        <v/>
      </c>
      <c r="AB44" s="16">
        <f>IF(OR(Topraklar!$J$28="Evet",AND(Topraklar!$L$28&lt;&gt;"Evet",Topraklar!$K$28&lt;&gt;Bitkiler!$C$43)),0,MAX(0,1-(Ayarlar!$B$2*ABS(Bitkiler!$D$43-Topraklar!$D$28)+Ayarlar!$B$3*ABS(Bitkiler!$E$43-Topraklar!$E$28)+Ayarlar!$B$4*ABS(Bitkiler!$F$43-Topraklar!$F$28)+Ayarlar!$B$5*ABS(Bitkiler!$G$43-Topraklar!$G$28)+Ayarlar!$B$6*IF(Bitkiler!$H$43=Topraklar!$H$28,0,1))/Ayarlar!$B$7)+IF(Topraklar!$K$28=Bitkiler!$C$43,0.002,IF(Topraklar!$L$28="Evet",0.001,0)))</f>
        <v/>
      </c>
      <c r="AC44" s="16">
        <f>IF(OR(Topraklar!$J$29="Evet",AND(Topraklar!$L$29&lt;&gt;"Evet",Topraklar!$K$29&lt;&gt;Bitkiler!$C$43)),0,MAX(0,1-(Ayarlar!$B$2*ABS(Bitkiler!$D$43-Topraklar!$D$29)+Ayarlar!$B$3*ABS(Bitkiler!$E$43-Topraklar!$E$29)+Ayarlar!$B$4*ABS(Bitkiler!$F$43-Topraklar!$F$29)+Ayarlar!$B$5*ABS(Bitkiler!$G$43-Topraklar!$G$29)+Ayarlar!$B$6*IF(Bitkiler!$H$43=Topraklar!$H$29,0,1))/Ayarlar!$B$7)+IF(Topraklar!$K$29=Bitkiler!$C$43,0.002,IF(Topraklar!$L$29="Evet",0.001,0)))</f>
        <v/>
      </c>
      <c r="AD44" s="16">
        <f>IF(OR(Topraklar!$J$30="Evet",AND(Topraklar!$L$30&lt;&gt;"Evet",Topraklar!$K$30&lt;&gt;Bitkiler!$C$43)),0,MAX(0,1-(Ayarlar!$B$2*ABS(Bitkiler!$D$43-Topraklar!$D$30)+Ayarlar!$B$3*ABS(Bitkiler!$E$43-Topraklar!$E$30)+Ayarlar!$B$4*ABS(Bitkiler!$F$43-Topraklar!$F$30)+Ayarlar!$B$5*ABS(Bitkiler!$G$43-Topraklar!$G$30)+Ayarlar!$B$6*IF(Bitkiler!$H$43=Topraklar!$H$30,0,1))/Ayarlar!$B$7)+IF(Topraklar!$K$30=Bitkiler!$C$43,0.002,IF(Topraklar!$L$30="Evet",0.001,0)))</f>
        <v/>
      </c>
      <c r="AE44" s="16">
        <f>IF(OR(Topraklar!$J$31="Evet",AND(Topraklar!$L$31&lt;&gt;"Evet",Topraklar!$K$31&lt;&gt;Bitkiler!$C$43)),0,MAX(0,1-(Ayarlar!$B$2*ABS(Bitkiler!$D$43-Topraklar!$D$31)+Ayarlar!$B$3*ABS(Bitkiler!$E$43-Topraklar!$E$31)+Ayarlar!$B$4*ABS(Bitkiler!$F$43-Topraklar!$F$31)+Ayarlar!$B$5*ABS(Bitkiler!$G$43-Topraklar!$G$31)+Ayarlar!$B$6*IF(Bitkiler!$H$43=Topraklar!$H$31,0,1))/Ayarlar!$B$7)+IF(Topraklar!$K$31=Bitkiler!$C$43,0.002,IF(Topraklar!$L$31="Evet",0.001,0)))</f>
        <v/>
      </c>
      <c r="AF44" s="16">
        <f>IF(OR(Topraklar!$J$32="Evet",AND(Topraklar!$L$32&lt;&gt;"Evet",Topraklar!$K$32&lt;&gt;Bitkiler!$C$43)),0,MAX(0,1-(Ayarlar!$B$2*ABS(Bitkiler!$D$43-Topraklar!$D$32)+Ayarlar!$B$3*ABS(Bitkiler!$E$43-Topraklar!$E$32)+Ayarlar!$B$4*ABS(Bitkiler!$F$43-Topraklar!$F$32)+Ayarlar!$B$5*ABS(Bitkiler!$G$43-Topraklar!$G$32)+Ayarlar!$B$6*IF(Bitkiler!$H$43=Topraklar!$H$32,0,1))/Ayarlar!$B$7)+IF(Topraklar!$K$32=Bitkiler!$C$43,0.002,IF(Topraklar!$L$32="Evet",0.001,0)))</f>
        <v/>
      </c>
      <c r="AG44" s="16">
        <f>IF(OR(Topraklar!$J$33="Evet",AND(Topraklar!$L$33&lt;&gt;"Evet",Topraklar!$K$33&lt;&gt;Bitkiler!$C$43)),0,MAX(0,1-(Ayarlar!$B$2*ABS(Bitkiler!$D$43-Topraklar!$D$33)+Ayarlar!$B$3*ABS(Bitkiler!$E$43-Topraklar!$E$33)+Ayarlar!$B$4*ABS(Bitkiler!$F$43-Topraklar!$F$33)+Ayarlar!$B$5*ABS(Bitkiler!$G$43-Topraklar!$G$33)+Ayarlar!$B$6*IF(Bitkiler!$H$43=Topraklar!$H$33,0,1))/Ayarlar!$B$7)+IF(Topraklar!$K$33=Bitkiler!$C$43,0.002,IF(Topraklar!$L$33="Evet",0.001,0)))</f>
        <v/>
      </c>
      <c r="AH44" s="16">
        <f>IF(OR(Topraklar!$J$34="Evet",AND(Topraklar!$L$34&lt;&gt;"Evet",Topraklar!$K$34&lt;&gt;Bitkiler!$C$43)),0,MAX(0,1-(Ayarlar!$B$2*ABS(Bitkiler!$D$43-Topraklar!$D$34)+Ayarlar!$B$3*ABS(Bitkiler!$E$43-Topraklar!$E$34)+Ayarlar!$B$4*ABS(Bitkiler!$F$43-Topraklar!$F$34)+Ayarlar!$B$5*ABS(Bitkiler!$G$43-Topraklar!$G$34)+Ayarlar!$B$6*IF(Bitkiler!$H$43=Topraklar!$H$34,0,1))/Ayarlar!$B$7)+IF(Topraklar!$K$34=Bitkiler!$C$43,0.002,IF(Topraklar!$L$34="Evet",0.001,0)))</f>
        <v/>
      </c>
      <c r="AI44" s="16">
        <f>IF(OR(Topraklar!$J$35="Evet",AND(Topraklar!$L$35&lt;&gt;"Evet",Topraklar!$K$35&lt;&gt;Bitkiler!$C$43)),0,MAX(0,1-(Ayarlar!$B$2*ABS(Bitkiler!$D$43-Topraklar!$D$35)+Ayarlar!$B$3*ABS(Bitkiler!$E$43-Topraklar!$E$35)+Ayarlar!$B$4*ABS(Bitkiler!$F$43-Topraklar!$F$35)+Ayarlar!$B$5*ABS(Bitkiler!$G$43-Topraklar!$G$35)+Ayarlar!$B$6*IF(Bitkiler!$H$43=Topraklar!$H$35,0,1))/Ayarlar!$B$7)+IF(Topraklar!$K$35=Bitkiler!$C$43,0.002,IF(Topraklar!$L$35="Evet",0.001,0)))</f>
        <v/>
      </c>
      <c r="AJ44" s="16">
        <f>IF(OR(Topraklar!$J$36="Evet",AND(Topraklar!$L$36&lt;&gt;"Evet",Topraklar!$K$36&lt;&gt;Bitkiler!$C$43)),0,MAX(0,1-(Ayarlar!$B$2*ABS(Bitkiler!$D$43-Topraklar!$D$36)+Ayarlar!$B$3*ABS(Bitkiler!$E$43-Topraklar!$E$36)+Ayarlar!$B$4*ABS(Bitkiler!$F$43-Topraklar!$F$36)+Ayarlar!$B$5*ABS(Bitkiler!$G$43-Topraklar!$G$36)+Ayarlar!$B$6*IF(Bitkiler!$H$43=Topraklar!$H$36,0,1))/Ayarlar!$B$7)+IF(Topraklar!$K$36=Bitkiler!$C$43,0.002,IF(Topraklar!$L$36="Evet",0.001,0)))</f>
        <v/>
      </c>
      <c r="AK44" s="16">
        <f>IF(OR(Topraklar!$J$37="Evet",AND(Topraklar!$L$37&lt;&gt;"Evet",Topraklar!$K$37&lt;&gt;Bitkiler!$C$43)),0,MAX(0,1-(Ayarlar!$B$2*ABS(Bitkiler!$D$43-Topraklar!$D$37)+Ayarlar!$B$3*ABS(Bitkiler!$E$43-Topraklar!$E$37)+Ayarlar!$B$4*ABS(Bitkiler!$F$43-Topraklar!$F$37)+Ayarlar!$B$5*ABS(Bitkiler!$G$43-Topraklar!$G$37)+Ayarlar!$B$6*IF(Bitkiler!$H$43=Topraklar!$H$37,0,1))/Ayarlar!$B$7)+IF(Topraklar!$K$37=Bitkiler!$C$43,0.002,IF(Topraklar!$L$37="Evet",0.001,0)))</f>
        <v/>
      </c>
      <c r="AL44" s="16">
        <f>IF(OR(Topraklar!$J$38="Evet",AND(Topraklar!$L$38&lt;&gt;"Evet",Topraklar!$K$38&lt;&gt;Bitkiler!$C$43)),0,MAX(0,1-(Ayarlar!$B$2*ABS(Bitkiler!$D$43-Topraklar!$D$38)+Ayarlar!$B$3*ABS(Bitkiler!$E$43-Topraklar!$E$38)+Ayarlar!$B$4*ABS(Bitkiler!$F$43-Topraklar!$F$38)+Ayarlar!$B$5*ABS(Bitkiler!$G$43-Topraklar!$G$38)+Ayarlar!$B$6*IF(Bitkiler!$H$43=Topraklar!$H$38,0,1))/Ayarlar!$B$7)+IF(Topraklar!$K$38=Bitkiler!$C$43,0.002,IF(Topraklar!$L$38="Evet",0.001,0)))</f>
        <v/>
      </c>
      <c r="AM44" s="16">
        <f>IF(OR(Topraklar!$J$39="Evet",AND(Topraklar!$L$39&lt;&gt;"Evet",Topraklar!$K$39&lt;&gt;Bitkiler!$C$43)),0,MAX(0,1-(Ayarlar!$B$2*ABS(Bitkiler!$D$43-Topraklar!$D$39)+Ayarlar!$B$3*ABS(Bitkiler!$E$43-Topraklar!$E$39)+Ayarlar!$B$4*ABS(Bitkiler!$F$43-Topraklar!$F$39)+Ayarlar!$B$5*ABS(Bitkiler!$G$43-Topraklar!$G$39)+Ayarlar!$B$6*IF(Bitkiler!$H$43=Topraklar!$H$39,0,1))/Ayarlar!$B$7)+IF(Topraklar!$K$39=Bitkiler!$C$43,0.002,IF(Topraklar!$L$39="Evet",0.001,0)))</f>
        <v/>
      </c>
      <c r="AN44" s="16">
        <f>IF(OR(Topraklar!$J$40="Evet",AND(Topraklar!$L$40&lt;&gt;"Evet",Topraklar!$K$40&lt;&gt;Bitkiler!$C$43)),0,MAX(0,1-(Ayarlar!$B$2*ABS(Bitkiler!$D$43-Topraklar!$D$40)+Ayarlar!$B$3*ABS(Bitkiler!$E$43-Topraklar!$E$40)+Ayarlar!$B$4*ABS(Bitkiler!$F$43-Topraklar!$F$40)+Ayarlar!$B$5*ABS(Bitkiler!$G$43-Topraklar!$G$40)+Ayarlar!$B$6*IF(Bitkiler!$H$43=Topraklar!$H$40,0,1))/Ayarlar!$B$7)+IF(Topraklar!$K$40=Bitkiler!$C$43,0.002,IF(Topraklar!$L$40="Evet",0.001,0)))</f>
        <v/>
      </c>
      <c r="AO44" s="16">
        <f>IF(OR(Topraklar!$J$41="Evet",AND(Topraklar!$L$41&lt;&gt;"Evet",Topraklar!$K$41&lt;&gt;Bitkiler!$C$43)),0,MAX(0,1-(Ayarlar!$B$2*ABS(Bitkiler!$D$43-Topraklar!$D$41)+Ayarlar!$B$3*ABS(Bitkiler!$E$43-Topraklar!$E$41)+Ayarlar!$B$4*ABS(Bitkiler!$F$43-Topraklar!$F$41)+Ayarlar!$B$5*ABS(Bitkiler!$G$43-Topraklar!$G$41)+Ayarlar!$B$6*IF(Bitkiler!$H$43=Topraklar!$H$41,0,1))/Ayarlar!$B$7)+IF(Topraklar!$K$41=Bitkiler!$C$43,0.002,IF(Topraklar!$L$41="Evet",0.001,0)))</f>
        <v/>
      </c>
      <c r="AP44" s="16">
        <f>IF(OR(Topraklar!$J$42="Evet",AND(Topraklar!$L$42&lt;&gt;"Evet",Topraklar!$K$42&lt;&gt;Bitkiler!$C$43)),0,MAX(0,1-(Ayarlar!$B$2*ABS(Bitkiler!$D$43-Topraklar!$D$42)+Ayarlar!$B$3*ABS(Bitkiler!$E$43-Topraklar!$E$42)+Ayarlar!$B$4*ABS(Bitkiler!$F$43-Topraklar!$F$42)+Ayarlar!$B$5*ABS(Bitkiler!$G$43-Topraklar!$G$42)+Ayarlar!$B$6*IF(Bitkiler!$H$43=Topraklar!$H$42,0,1))/Ayarlar!$B$7)+IF(Topraklar!$K$42=Bitkiler!$C$43,0.002,IF(Topraklar!$L$42="Evet",0.001,0)))</f>
        <v/>
      </c>
      <c r="AQ44" s="16">
        <f>IF(OR(Topraklar!$J$43="Evet",AND(Topraklar!$L$43&lt;&gt;"Evet",Topraklar!$K$43&lt;&gt;Bitkiler!$C$43)),0,MAX(0,1-(Ayarlar!$B$2*ABS(Bitkiler!$D$43-Topraklar!$D$43)+Ayarlar!$B$3*ABS(Bitkiler!$E$43-Topraklar!$E$43)+Ayarlar!$B$4*ABS(Bitkiler!$F$43-Topraklar!$F$43)+Ayarlar!$B$5*ABS(Bitkiler!$G$43-Topraklar!$G$43)+Ayarlar!$B$6*IF(Bitkiler!$H$43=Topraklar!$H$43,0,1))/Ayarlar!$B$7)+IF(Topraklar!$K$43=Bitkiler!$C$43,0.002,IF(Topraklar!$L$43="Evet",0.001,0)))</f>
        <v/>
      </c>
      <c r="AR44" s="16">
        <f>IF(OR(Topraklar!$J$44="Evet",AND(Topraklar!$L$44&lt;&gt;"Evet",Topraklar!$K$44&lt;&gt;Bitkiler!$C$43)),0,MAX(0,1-(Ayarlar!$B$2*ABS(Bitkiler!$D$43-Topraklar!$D$44)+Ayarlar!$B$3*ABS(Bitkiler!$E$43-Topraklar!$E$44)+Ayarlar!$B$4*ABS(Bitkiler!$F$43-Topraklar!$F$44)+Ayarlar!$B$5*ABS(Bitkiler!$G$43-Topraklar!$G$44)+Ayarlar!$B$6*IF(Bitkiler!$H$43=Topraklar!$H$44,0,1))/Ayarlar!$B$7)+IF(Topraklar!$K$44=Bitkiler!$C$43,0.002,IF(Topraklar!$L$44="Evet",0.001,0)))</f>
        <v/>
      </c>
      <c r="AS44" s="16">
        <f>IF(OR(Topraklar!$J$45="Evet",AND(Topraklar!$L$45&lt;&gt;"Evet",Topraklar!$K$45&lt;&gt;Bitkiler!$C$43)),0,MAX(0,1-(Ayarlar!$B$2*ABS(Bitkiler!$D$43-Topraklar!$D$45)+Ayarlar!$B$3*ABS(Bitkiler!$E$43-Topraklar!$E$45)+Ayarlar!$B$4*ABS(Bitkiler!$F$43-Topraklar!$F$45)+Ayarlar!$B$5*ABS(Bitkiler!$G$43-Topraklar!$G$45)+Ayarlar!$B$6*IF(Bitkiler!$H$43=Topraklar!$H$45,0,1))/Ayarlar!$B$7)+IF(Topraklar!$K$45=Bitkiler!$C$43,0.002,IF(Topraklar!$L$45="Evet",0.001,0)))</f>
        <v/>
      </c>
      <c r="AT44" s="16">
        <f>IF(OR(Topraklar!$J$46="Evet",AND(Topraklar!$L$46&lt;&gt;"Evet",Topraklar!$K$46&lt;&gt;Bitkiler!$C$43)),0,MAX(0,1-(Ayarlar!$B$2*ABS(Bitkiler!$D$43-Topraklar!$D$46)+Ayarlar!$B$3*ABS(Bitkiler!$E$43-Topraklar!$E$46)+Ayarlar!$B$4*ABS(Bitkiler!$F$43-Topraklar!$F$46)+Ayarlar!$B$5*ABS(Bitkiler!$G$43-Topraklar!$G$46)+Ayarlar!$B$6*IF(Bitkiler!$H$43=Topraklar!$H$46,0,1))/Ayarlar!$B$7)+IF(Topraklar!$K$46=Bitkiler!$C$43,0.002,IF(Topraklar!$L$46="Evet",0.001,0)))</f>
        <v/>
      </c>
      <c r="AU44" s="16">
        <f>IF(OR(Topraklar!$J$47="Evet",AND(Topraklar!$L$47&lt;&gt;"Evet",Topraklar!$K$47&lt;&gt;Bitkiler!$C$43)),0,MAX(0,1-(Ayarlar!$B$2*ABS(Bitkiler!$D$43-Topraklar!$D$47)+Ayarlar!$B$3*ABS(Bitkiler!$E$43-Topraklar!$E$47)+Ayarlar!$B$4*ABS(Bitkiler!$F$43-Topraklar!$F$47)+Ayarlar!$B$5*ABS(Bitkiler!$G$43-Topraklar!$G$47)+Ayarlar!$B$6*IF(Bitkiler!$H$43=Topraklar!$H$47,0,1))/Ayarlar!$B$7)+IF(Topraklar!$K$47=Bitkiler!$C$43,0.002,IF(Topraklar!$L$47="Evet",0.001,0)))</f>
        <v/>
      </c>
      <c r="AV44" s="16">
        <f>IF(OR(Topraklar!$J$48="Evet",AND(Topraklar!$L$48&lt;&gt;"Evet",Topraklar!$K$48&lt;&gt;Bitkiler!$C$43)),0,MAX(0,1-(Ayarlar!$B$2*ABS(Bitkiler!$D$43-Topraklar!$D$48)+Ayarlar!$B$3*ABS(Bitkiler!$E$43-Topraklar!$E$48)+Ayarlar!$B$4*ABS(Bitkiler!$F$43-Topraklar!$F$48)+Ayarlar!$B$5*ABS(Bitkiler!$G$43-Topraklar!$G$48)+Ayarlar!$B$6*IF(Bitkiler!$H$43=Topraklar!$H$48,0,1))/Ayarlar!$B$7)+IF(Topraklar!$K$48=Bitkiler!$C$43,0.002,IF(Topraklar!$L$48="Evet",0.001,0)))</f>
        <v/>
      </c>
      <c r="AW44" s="16">
        <f>IF(OR(Topraklar!$J$49="Evet",AND(Topraklar!$L$49&lt;&gt;"Evet",Topraklar!$K$49&lt;&gt;Bitkiler!$C$43)),0,MAX(0,1-(Ayarlar!$B$2*ABS(Bitkiler!$D$43-Topraklar!$D$49)+Ayarlar!$B$3*ABS(Bitkiler!$E$43-Topraklar!$E$49)+Ayarlar!$B$4*ABS(Bitkiler!$F$43-Topraklar!$F$49)+Ayarlar!$B$5*ABS(Bitkiler!$G$43-Topraklar!$G$49)+Ayarlar!$B$6*IF(Bitkiler!$H$43=Topraklar!$H$49,0,1))/Ayarlar!$B$7)+IF(Topraklar!$K$49=Bitkiler!$C$43,0.002,IF(Topraklar!$L$49="Evet",0.001,0)))</f>
        <v/>
      </c>
      <c r="AX44" s="16">
        <f>IF(OR(Topraklar!$J$50="Evet",AND(Topraklar!$L$50&lt;&gt;"Evet",Topraklar!$K$50&lt;&gt;Bitkiler!$C$43)),0,MAX(0,1-(Ayarlar!$B$2*ABS(Bitkiler!$D$43-Topraklar!$D$50)+Ayarlar!$B$3*ABS(Bitkiler!$E$43-Topraklar!$E$50)+Ayarlar!$B$4*ABS(Bitkiler!$F$43-Topraklar!$F$50)+Ayarlar!$B$5*ABS(Bitkiler!$G$43-Topraklar!$G$50)+Ayarlar!$B$6*IF(Bitkiler!$H$43=Topraklar!$H$50,0,1))/Ayarlar!$B$7)+IF(Topraklar!$K$50=Bitkiler!$C$43,0.002,IF(Topraklar!$L$50="Evet",0.001,0)))</f>
        <v/>
      </c>
      <c r="AY44" s="16">
        <f>IF(OR(Topraklar!$J$51="Evet",AND(Topraklar!$L$51&lt;&gt;"Evet",Topraklar!$K$51&lt;&gt;Bitkiler!$C$43)),0,MAX(0,1-(Ayarlar!$B$2*ABS(Bitkiler!$D$43-Topraklar!$D$51)+Ayarlar!$B$3*ABS(Bitkiler!$E$43-Topraklar!$E$51)+Ayarlar!$B$4*ABS(Bitkiler!$F$43-Topraklar!$F$51)+Ayarlar!$B$5*ABS(Bitkiler!$G$43-Topraklar!$G$51)+Ayarlar!$B$6*IF(Bitkiler!$H$43=Topraklar!$H$51,0,1))/Ayarlar!$B$7)+IF(Topraklar!$K$51=Bitkiler!$C$43,0.002,IF(Topraklar!$L$51="Evet",0.001,0)))</f>
        <v/>
      </c>
    </row>
    <row r="45">
      <c r="A45" s="15">
        <f>Bitkiler!A44</f>
        <v/>
      </c>
      <c r="B45" s="16">
        <f>IF(OR(Topraklar!$J$2="Evet",AND(Topraklar!$L$2&lt;&gt;"Evet",Topraklar!$K$2&lt;&gt;Bitkiler!$C$44)),0,MAX(0,1-(Ayarlar!$B$2*ABS(Bitkiler!$D$44-Topraklar!$D$2)+Ayarlar!$B$3*ABS(Bitkiler!$E$44-Topraklar!$E$2)+Ayarlar!$B$4*ABS(Bitkiler!$F$44-Topraklar!$F$2)+Ayarlar!$B$5*ABS(Bitkiler!$G$44-Topraklar!$G$2)+Ayarlar!$B$6*IF(Bitkiler!$H$44=Topraklar!$H$2,0,1))/Ayarlar!$B$7)+IF(Topraklar!$K$2=Bitkiler!$C$44,0.002,IF(Topraklar!$L$2="Evet",0.001,0)))</f>
        <v/>
      </c>
      <c r="C45" s="16">
        <f>IF(OR(Topraklar!$J$3="Evet",AND(Topraklar!$L$3&lt;&gt;"Evet",Topraklar!$K$3&lt;&gt;Bitkiler!$C$44)),0,MAX(0,1-(Ayarlar!$B$2*ABS(Bitkiler!$D$44-Topraklar!$D$3)+Ayarlar!$B$3*ABS(Bitkiler!$E$44-Topraklar!$E$3)+Ayarlar!$B$4*ABS(Bitkiler!$F$44-Topraklar!$F$3)+Ayarlar!$B$5*ABS(Bitkiler!$G$44-Topraklar!$G$3)+Ayarlar!$B$6*IF(Bitkiler!$H$44=Topraklar!$H$3,0,1))/Ayarlar!$B$7)+IF(Topraklar!$K$3=Bitkiler!$C$44,0.002,IF(Topraklar!$L$3="Evet",0.001,0)))</f>
        <v/>
      </c>
      <c r="D45" s="16">
        <f>IF(OR(Topraklar!$J$4="Evet",AND(Topraklar!$L$4&lt;&gt;"Evet",Topraklar!$K$4&lt;&gt;Bitkiler!$C$44)),0,MAX(0,1-(Ayarlar!$B$2*ABS(Bitkiler!$D$44-Topraklar!$D$4)+Ayarlar!$B$3*ABS(Bitkiler!$E$44-Topraklar!$E$4)+Ayarlar!$B$4*ABS(Bitkiler!$F$44-Topraklar!$F$4)+Ayarlar!$B$5*ABS(Bitkiler!$G$44-Topraklar!$G$4)+Ayarlar!$B$6*IF(Bitkiler!$H$44=Topraklar!$H$4,0,1))/Ayarlar!$B$7)+IF(Topraklar!$K$4=Bitkiler!$C$44,0.002,IF(Topraklar!$L$4="Evet",0.001,0)))</f>
        <v/>
      </c>
      <c r="E45" s="16">
        <f>IF(OR(Topraklar!$J$5="Evet",AND(Topraklar!$L$5&lt;&gt;"Evet",Topraklar!$K$5&lt;&gt;Bitkiler!$C$44)),0,MAX(0,1-(Ayarlar!$B$2*ABS(Bitkiler!$D$44-Topraklar!$D$5)+Ayarlar!$B$3*ABS(Bitkiler!$E$44-Topraklar!$E$5)+Ayarlar!$B$4*ABS(Bitkiler!$F$44-Topraklar!$F$5)+Ayarlar!$B$5*ABS(Bitkiler!$G$44-Topraklar!$G$5)+Ayarlar!$B$6*IF(Bitkiler!$H$44=Topraklar!$H$5,0,1))/Ayarlar!$B$7)+IF(Topraklar!$K$5=Bitkiler!$C$44,0.002,IF(Topraklar!$L$5="Evet",0.001,0)))</f>
        <v/>
      </c>
      <c r="F45" s="16">
        <f>IF(OR(Topraklar!$J$6="Evet",AND(Topraklar!$L$6&lt;&gt;"Evet",Topraklar!$K$6&lt;&gt;Bitkiler!$C$44)),0,MAX(0,1-(Ayarlar!$B$2*ABS(Bitkiler!$D$44-Topraklar!$D$6)+Ayarlar!$B$3*ABS(Bitkiler!$E$44-Topraklar!$E$6)+Ayarlar!$B$4*ABS(Bitkiler!$F$44-Topraklar!$F$6)+Ayarlar!$B$5*ABS(Bitkiler!$G$44-Topraklar!$G$6)+Ayarlar!$B$6*IF(Bitkiler!$H$44=Topraklar!$H$6,0,1))/Ayarlar!$B$7)+IF(Topraklar!$K$6=Bitkiler!$C$44,0.002,IF(Topraklar!$L$6="Evet",0.001,0)))</f>
        <v/>
      </c>
      <c r="G45" s="16">
        <f>IF(OR(Topraklar!$J$7="Evet",AND(Topraklar!$L$7&lt;&gt;"Evet",Topraklar!$K$7&lt;&gt;Bitkiler!$C$44)),0,MAX(0,1-(Ayarlar!$B$2*ABS(Bitkiler!$D$44-Topraklar!$D$7)+Ayarlar!$B$3*ABS(Bitkiler!$E$44-Topraklar!$E$7)+Ayarlar!$B$4*ABS(Bitkiler!$F$44-Topraklar!$F$7)+Ayarlar!$B$5*ABS(Bitkiler!$G$44-Topraklar!$G$7)+Ayarlar!$B$6*IF(Bitkiler!$H$44=Topraklar!$H$7,0,1))/Ayarlar!$B$7)+IF(Topraklar!$K$7=Bitkiler!$C$44,0.002,IF(Topraklar!$L$7="Evet",0.001,0)))</f>
        <v/>
      </c>
      <c r="H45" s="16">
        <f>IF(OR(Topraklar!$J$8="Evet",AND(Topraklar!$L$8&lt;&gt;"Evet",Topraklar!$K$8&lt;&gt;Bitkiler!$C$44)),0,MAX(0,1-(Ayarlar!$B$2*ABS(Bitkiler!$D$44-Topraklar!$D$8)+Ayarlar!$B$3*ABS(Bitkiler!$E$44-Topraklar!$E$8)+Ayarlar!$B$4*ABS(Bitkiler!$F$44-Topraklar!$F$8)+Ayarlar!$B$5*ABS(Bitkiler!$G$44-Topraklar!$G$8)+Ayarlar!$B$6*IF(Bitkiler!$H$44=Topraklar!$H$8,0,1))/Ayarlar!$B$7)+IF(Topraklar!$K$8=Bitkiler!$C$44,0.002,IF(Topraklar!$L$8="Evet",0.001,0)))</f>
        <v/>
      </c>
      <c r="I45" s="16">
        <f>IF(OR(Topraklar!$J$9="Evet",AND(Topraklar!$L$9&lt;&gt;"Evet",Topraklar!$K$9&lt;&gt;Bitkiler!$C$44)),0,MAX(0,1-(Ayarlar!$B$2*ABS(Bitkiler!$D$44-Topraklar!$D$9)+Ayarlar!$B$3*ABS(Bitkiler!$E$44-Topraklar!$E$9)+Ayarlar!$B$4*ABS(Bitkiler!$F$44-Topraklar!$F$9)+Ayarlar!$B$5*ABS(Bitkiler!$G$44-Topraklar!$G$9)+Ayarlar!$B$6*IF(Bitkiler!$H$44=Topraklar!$H$9,0,1))/Ayarlar!$B$7)+IF(Topraklar!$K$9=Bitkiler!$C$44,0.002,IF(Topraklar!$L$9="Evet",0.001,0)))</f>
        <v/>
      </c>
      <c r="J45" s="16">
        <f>IF(OR(Topraklar!$J$10="Evet",AND(Topraklar!$L$10&lt;&gt;"Evet",Topraklar!$K$10&lt;&gt;Bitkiler!$C$44)),0,MAX(0,1-(Ayarlar!$B$2*ABS(Bitkiler!$D$44-Topraklar!$D$10)+Ayarlar!$B$3*ABS(Bitkiler!$E$44-Topraklar!$E$10)+Ayarlar!$B$4*ABS(Bitkiler!$F$44-Topraklar!$F$10)+Ayarlar!$B$5*ABS(Bitkiler!$G$44-Topraklar!$G$10)+Ayarlar!$B$6*IF(Bitkiler!$H$44=Topraklar!$H$10,0,1))/Ayarlar!$B$7)+IF(Topraklar!$K$10=Bitkiler!$C$44,0.002,IF(Topraklar!$L$10="Evet",0.001,0)))</f>
        <v/>
      </c>
      <c r="K45" s="16">
        <f>IF(OR(Topraklar!$J$11="Evet",AND(Topraklar!$L$11&lt;&gt;"Evet",Topraklar!$K$11&lt;&gt;Bitkiler!$C$44)),0,MAX(0,1-(Ayarlar!$B$2*ABS(Bitkiler!$D$44-Topraklar!$D$11)+Ayarlar!$B$3*ABS(Bitkiler!$E$44-Topraklar!$E$11)+Ayarlar!$B$4*ABS(Bitkiler!$F$44-Topraklar!$F$11)+Ayarlar!$B$5*ABS(Bitkiler!$G$44-Topraklar!$G$11)+Ayarlar!$B$6*IF(Bitkiler!$H$44=Topraklar!$H$11,0,1))/Ayarlar!$B$7)+IF(Topraklar!$K$11=Bitkiler!$C$44,0.002,IF(Topraklar!$L$11="Evet",0.001,0)))</f>
        <v/>
      </c>
      <c r="L45" s="16">
        <f>IF(OR(Topraklar!$J$12="Evet",AND(Topraklar!$L$12&lt;&gt;"Evet",Topraklar!$K$12&lt;&gt;Bitkiler!$C$44)),0,MAX(0,1-(Ayarlar!$B$2*ABS(Bitkiler!$D$44-Topraklar!$D$12)+Ayarlar!$B$3*ABS(Bitkiler!$E$44-Topraklar!$E$12)+Ayarlar!$B$4*ABS(Bitkiler!$F$44-Topraklar!$F$12)+Ayarlar!$B$5*ABS(Bitkiler!$G$44-Topraklar!$G$12)+Ayarlar!$B$6*IF(Bitkiler!$H$44=Topraklar!$H$12,0,1))/Ayarlar!$B$7)+IF(Topraklar!$K$12=Bitkiler!$C$44,0.002,IF(Topraklar!$L$12="Evet",0.001,0)))</f>
        <v/>
      </c>
      <c r="M45" s="16">
        <f>IF(OR(Topraklar!$J$13="Evet",AND(Topraklar!$L$13&lt;&gt;"Evet",Topraklar!$K$13&lt;&gt;Bitkiler!$C$44)),0,MAX(0,1-(Ayarlar!$B$2*ABS(Bitkiler!$D$44-Topraklar!$D$13)+Ayarlar!$B$3*ABS(Bitkiler!$E$44-Topraklar!$E$13)+Ayarlar!$B$4*ABS(Bitkiler!$F$44-Topraklar!$F$13)+Ayarlar!$B$5*ABS(Bitkiler!$G$44-Topraklar!$G$13)+Ayarlar!$B$6*IF(Bitkiler!$H$44=Topraklar!$H$13,0,1))/Ayarlar!$B$7)+IF(Topraklar!$K$13=Bitkiler!$C$44,0.002,IF(Topraklar!$L$13="Evet",0.001,0)))</f>
        <v/>
      </c>
      <c r="N45" s="16">
        <f>IF(OR(Topraklar!$J$14="Evet",AND(Topraklar!$L$14&lt;&gt;"Evet",Topraklar!$K$14&lt;&gt;Bitkiler!$C$44)),0,MAX(0,1-(Ayarlar!$B$2*ABS(Bitkiler!$D$44-Topraklar!$D$14)+Ayarlar!$B$3*ABS(Bitkiler!$E$44-Topraklar!$E$14)+Ayarlar!$B$4*ABS(Bitkiler!$F$44-Topraklar!$F$14)+Ayarlar!$B$5*ABS(Bitkiler!$G$44-Topraklar!$G$14)+Ayarlar!$B$6*IF(Bitkiler!$H$44=Topraklar!$H$14,0,1))/Ayarlar!$B$7)+IF(Topraklar!$K$14=Bitkiler!$C$44,0.002,IF(Topraklar!$L$14="Evet",0.001,0)))</f>
        <v/>
      </c>
      <c r="O45" s="16">
        <f>IF(OR(Topraklar!$J$15="Evet",AND(Topraklar!$L$15&lt;&gt;"Evet",Topraklar!$K$15&lt;&gt;Bitkiler!$C$44)),0,MAX(0,1-(Ayarlar!$B$2*ABS(Bitkiler!$D$44-Topraklar!$D$15)+Ayarlar!$B$3*ABS(Bitkiler!$E$44-Topraklar!$E$15)+Ayarlar!$B$4*ABS(Bitkiler!$F$44-Topraklar!$F$15)+Ayarlar!$B$5*ABS(Bitkiler!$G$44-Topraklar!$G$15)+Ayarlar!$B$6*IF(Bitkiler!$H$44=Topraklar!$H$15,0,1))/Ayarlar!$B$7)+IF(Topraklar!$K$15=Bitkiler!$C$44,0.002,IF(Topraklar!$L$15="Evet",0.001,0)))</f>
        <v/>
      </c>
      <c r="P45" s="16">
        <f>IF(OR(Topraklar!$J$16="Evet",AND(Topraklar!$L$16&lt;&gt;"Evet",Topraklar!$K$16&lt;&gt;Bitkiler!$C$44)),0,MAX(0,1-(Ayarlar!$B$2*ABS(Bitkiler!$D$44-Topraklar!$D$16)+Ayarlar!$B$3*ABS(Bitkiler!$E$44-Topraklar!$E$16)+Ayarlar!$B$4*ABS(Bitkiler!$F$44-Topraklar!$F$16)+Ayarlar!$B$5*ABS(Bitkiler!$G$44-Topraklar!$G$16)+Ayarlar!$B$6*IF(Bitkiler!$H$44=Topraklar!$H$16,0,1))/Ayarlar!$B$7)+IF(Topraklar!$K$16=Bitkiler!$C$44,0.002,IF(Topraklar!$L$16="Evet",0.001,0)))</f>
        <v/>
      </c>
      <c r="Q45" s="16">
        <f>IF(OR(Topraklar!$J$17="Evet",AND(Topraklar!$L$17&lt;&gt;"Evet",Topraklar!$K$17&lt;&gt;Bitkiler!$C$44)),0,MAX(0,1-(Ayarlar!$B$2*ABS(Bitkiler!$D$44-Topraklar!$D$17)+Ayarlar!$B$3*ABS(Bitkiler!$E$44-Topraklar!$E$17)+Ayarlar!$B$4*ABS(Bitkiler!$F$44-Topraklar!$F$17)+Ayarlar!$B$5*ABS(Bitkiler!$G$44-Topraklar!$G$17)+Ayarlar!$B$6*IF(Bitkiler!$H$44=Topraklar!$H$17,0,1))/Ayarlar!$B$7)+IF(Topraklar!$K$17=Bitkiler!$C$44,0.002,IF(Topraklar!$L$17="Evet",0.001,0)))</f>
        <v/>
      </c>
      <c r="R45" s="16">
        <f>IF(OR(Topraklar!$J$18="Evet",AND(Topraklar!$L$18&lt;&gt;"Evet",Topraklar!$K$18&lt;&gt;Bitkiler!$C$44)),0,MAX(0,1-(Ayarlar!$B$2*ABS(Bitkiler!$D$44-Topraklar!$D$18)+Ayarlar!$B$3*ABS(Bitkiler!$E$44-Topraklar!$E$18)+Ayarlar!$B$4*ABS(Bitkiler!$F$44-Topraklar!$F$18)+Ayarlar!$B$5*ABS(Bitkiler!$G$44-Topraklar!$G$18)+Ayarlar!$B$6*IF(Bitkiler!$H$44=Topraklar!$H$18,0,1))/Ayarlar!$B$7)+IF(Topraklar!$K$18=Bitkiler!$C$44,0.002,IF(Topraklar!$L$18="Evet",0.001,0)))</f>
        <v/>
      </c>
      <c r="S45" s="16">
        <f>IF(OR(Topraklar!$J$19="Evet",AND(Topraklar!$L$19&lt;&gt;"Evet",Topraklar!$K$19&lt;&gt;Bitkiler!$C$44)),0,MAX(0,1-(Ayarlar!$B$2*ABS(Bitkiler!$D$44-Topraklar!$D$19)+Ayarlar!$B$3*ABS(Bitkiler!$E$44-Topraklar!$E$19)+Ayarlar!$B$4*ABS(Bitkiler!$F$44-Topraklar!$F$19)+Ayarlar!$B$5*ABS(Bitkiler!$G$44-Topraklar!$G$19)+Ayarlar!$B$6*IF(Bitkiler!$H$44=Topraklar!$H$19,0,1))/Ayarlar!$B$7)+IF(Topraklar!$K$19=Bitkiler!$C$44,0.002,IF(Topraklar!$L$19="Evet",0.001,0)))</f>
        <v/>
      </c>
      <c r="T45" s="16">
        <f>IF(OR(Topraklar!$J$20="Evet",AND(Topraklar!$L$20&lt;&gt;"Evet",Topraklar!$K$20&lt;&gt;Bitkiler!$C$44)),0,MAX(0,1-(Ayarlar!$B$2*ABS(Bitkiler!$D$44-Topraklar!$D$20)+Ayarlar!$B$3*ABS(Bitkiler!$E$44-Topraklar!$E$20)+Ayarlar!$B$4*ABS(Bitkiler!$F$44-Topraklar!$F$20)+Ayarlar!$B$5*ABS(Bitkiler!$G$44-Topraklar!$G$20)+Ayarlar!$B$6*IF(Bitkiler!$H$44=Topraklar!$H$20,0,1))/Ayarlar!$B$7)+IF(Topraklar!$K$20=Bitkiler!$C$44,0.002,IF(Topraklar!$L$20="Evet",0.001,0)))</f>
        <v/>
      </c>
      <c r="U45" s="16">
        <f>IF(OR(Topraklar!$J$21="Evet",AND(Topraklar!$L$21&lt;&gt;"Evet",Topraklar!$K$21&lt;&gt;Bitkiler!$C$44)),0,MAX(0,1-(Ayarlar!$B$2*ABS(Bitkiler!$D$44-Topraklar!$D$21)+Ayarlar!$B$3*ABS(Bitkiler!$E$44-Topraklar!$E$21)+Ayarlar!$B$4*ABS(Bitkiler!$F$44-Topraklar!$F$21)+Ayarlar!$B$5*ABS(Bitkiler!$G$44-Topraklar!$G$21)+Ayarlar!$B$6*IF(Bitkiler!$H$44=Topraklar!$H$21,0,1))/Ayarlar!$B$7)+IF(Topraklar!$K$21=Bitkiler!$C$44,0.002,IF(Topraklar!$L$21="Evet",0.001,0)))</f>
        <v/>
      </c>
      <c r="V45" s="16">
        <f>IF(OR(Topraklar!$J$22="Evet",AND(Topraklar!$L$22&lt;&gt;"Evet",Topraklar!$K$22&lt;&gt;Bitkiler!$C$44)),0,MAX(0,1-(Ayarlar!$B$2*ABS(Bitkiler!$D$44-Topraklar!$D$22)+Ayarlar!$B$3*ABS(Bitkiler!$E$44-Topraklar!$E$22)+Ayarlar!$B$4*ABS(Bitkiler!$F$44-Topraklar!$F$22)+Ayarlar!$B$5*ABS(Bitkiler!$G$44-Topraklar!$G$22)+Ayarlar!$B$6*IF(Bitkiler!$H$44=Topraklar!$H$22,0,1))/Ayarlar!$B$7)+IF(Topraklar!$K$22=Bitkiler!$C$44,0.002,IF(Topraklar!$L$22="Evet",0.001,0)))</f>
        <v/>
      </c>
      <c r="W45" s="16">
        <f>IF(OR(Topraklar!$J$23="Evet",AND(Topraklar!$L$23&lt;&gt;"Evet",Topraklar!$K$23&lt;&gt;Bitkiler!$C$44)),0,MAX(0,1-(Ayarlar!$B$2*ABS(Bitkiler!$D$44-Topraklar!$D$23)+Ayarlar!$B$3*ABS(Bitkiler!$E$44-Topraklar!$E$23)+Ayarlar!$B$4*ABS(Bitkiler!$F$44-Topraklar!$F$23)+Ayarlar!$B$5*ABS(Bitkiler!$G$44-Topraklar!$G$23)+Ayarlar!$B$6*IF(Bitkiler!$H$44=Topraklar!$H$23,0,1))/Ayarlar!$B$7)+IF(Topraklar!$K$23=Bitkiler!$C$44,0.002,IF(Topraklar!$L$23="Evet",0.001,0)))</f>
        <v/>
      </c>
      <c r="X45" s="16">
        <f>IF(OR(Topraklar!$J$24="Evet",AND(Topraklar!$L$24&lt;&gt;"Evet",Topraklar!$K$24&lt;&gt;Bitkiler!$C$44)),0,MAX(0,1-(Ayarlar!$B$2*ABS(Bitkiler!$D$44-Topraklar!$D$24)+Ayarlar!$B$3*ABS(Bitkiler!$E$44-Topraklar!$E$24)+Ayarlar!$B$4*ABS(Bitkiler!$F$44-Topraklar!$F$24)+Ayarlar!$B$5*ABS(Bitkiler!$G$44-Topraklar!$G$24)+Ayarlar!$B$6*IF(Bitkiler!$H$44=Topraklar!$H$24,0,1))/Ayarlar!$B$7)+IF(Topraklar!$K$24=Bitkiler!$C$44,0.002,IF(Topraklar!$L$24="Evet",0.001,0)))</f>
        <v/>
      </c>
      <c r="Y45" s="16">
        <f>IF(OR(Topraklar!$J$25="Evet",AND(Topraklar!$L$25&lt;&gt;"Evet",Topraklar!$K$25&lt;&gt;Bitkiler!$C$44)),0,MAX(0,1-(Ayarlar!$B$2*ABS(Bitkiler!$D$44-Topraklar!$D$25)+Ayarlar!$B$3*ABS(Bitkiler!$E$44-Topraklar!$E$25)+Ayarlar!$B$4*ABS(Bitkiler!$F$44-Topraklar!$F$25)+Ayarlar!$B$5*ABS(Bitkiler!$G$44-Topraklar!$G$25)+Ayarlar!$B$6*IF(Bitkiler!$H$44=Topraklar!$H$25,0,1))/Ayarlar!$B$7)+IF(Topraklar!$K$25=Bitkiler!$C$44,0.002,IF(Topraklar!$L$25="Evet",0.001,0)))</f>
        <v/>
      </c>
      <c r="Z45" s="16">
        <f>IF(OR(Topraklar!$J$26="Evet",AND(Topraklar!$L$26&lt;&gt;"Evet",Topraklar!$K$26&lt;&gt;Bitkiler!$C$44)),0,MAX(0,1-(Ayarlar!$B$2*ABS(Bitkiler!$D$44-Topraklar!$D$26)+Ayarlar!$B$3*ABS(Bitkiler!$E$44-Topraklar!$E$26)+Ayarlar!$B$4*ABS(Bitkiler!$F$44-Topraklar!$F$26)+Ayarlar!$B$5*ABS(Bitkiler!$G$44-Topraklar!$G$26)+Ayarlar!$B$6*IF(Bitkiler!$H$44=Topraklar!$H$26,0,1))/Ayarlar!$B$7)+IF(Topraklar!$K$26=Bitkiler!$C$44,0.002,IF(Topraklar!$L$26="Evet",0.001,0)))</f>
        <v/>
      </c>
      <c r="AA45" s="16">
        <f>IF(OR(Topraklar!$J$27="Evet",AND(Topraklar!$L$27&lt;&gt;"Evet",Topraklar!$K$27&lt;&gt;Bitkiler!$C$44)),0,MAX(0,1-(Ayarlar!$B$2*ABS(Bitkiler!$D$44-Topraklar!$D$27)+Ayarlar!$B$3*ABS(Bitkiler!$E$44-Topraklar!$E$27)+Ayarlar!$B$4*ABS(Bitkiler!$F$44-Topraklar!$F$27)+Ayarlar!$B$5*ABS(Bitkiler!$G$44-Topraklar!$G$27)+Ayarlar!$B$6*IF(Bitkiler!$H$44=Topraklar!$H$27,0,1))/Ayarlar!$B$7)+IF(Topraklar!$K$27=Bitkiler!$C$44,0.002,IF(Topraklar!$L$27="Evet",0.001,0)))</f>
        <v/>
      </c>
      <c r="AB45" s="16">
        <f>IF(OR(Topraklar!$J$28="Evet",AND(Topraklar!$L$28&lt;&gt;"Evet",Topraklar!$K$28&lt;&gt;Bitkiler!$C$44)),0,MAX(0,1-(Ayarlar!$B$2*ABS(Bitkiler!$D$44-Topraklar!$D$28)+Ayarlar!$B$3*ABS(Bitkiler!$E$44-Topraklar!$E$28)+Ayarlar!$B$4*ABS(Bitkiler!$F$44-Topraklar!$F$28)+Ayarlar!$B$5*ABS(Bitkiler!$G$44-Topraklar!$G$28)+Ayarlar!$B$6*IF(Bitkiler!$H$44=Topraklar!$H$28,0,1))/Ayarlar!$B$7)+IF(Topraklar!$K$28=Bitkiler!$C$44,0.002,IF(Topraklar!$L$28="Evet",0.001,0)))</f>
        <v/>
      </c>
      <c r="AC45" s="16">
        <f>IF(OR(Topraklar!$J$29="Evet",AND(Topraklar!$L$29&lt;&gt;"Evet",Topraklar!$K$29&lt;&gt;Bitkiler!$C$44)),0,MAX(0,1-(Ayarlar!$B$2*ABS(Bitkiler!$D$44-Topraklar!$D$29)+Ayarlar!$B$3*ABS(Bitkiler!$E$44-Topraklar!$E$29)+Ayarlar!$B$4*ABS(Bitkiler!$F$44-Topraklar!$F$29)+Ayarlar!$B$5*ABS(Bitkiler!$G$44-Topraklar!$G$29)+Ayarlar!$B$6*IF(Bitkiler!$H$44=Topraklar!$H$29,0,1))/Ayarlar!$B$7)+IF(Topraklar!$K$29=Bitkiler!$C$44,0.002,IF(Topraklar!$L$29="Evet",0.001,0)))</f>
        <v/>
      </c>
      <c r="AD45" s="16">
        <f>IF(OR(Topraklar!$J$30="Evet",AND(Topraklar!$L$30&lt;&gt;"Evet",Topraklar!$K$30&lt;&gt;Bitkiler!$C$44)),0,MAX(0,1-(Ayarlar!$B$2*ABS(Bitkiler!$D$44-Topraklar!$D$30)+Ayarlar!$B$3*ABS(Bitkiler!$E$44-Topraklar!$E$30)+Ayarlar!$B$4*ABS(Bitkiler!$F$44-Topraklar!$F$30)+Ayarlar!$B$5*ABS(Bitkiler!$G$44-Topraklar!$G$30)+Ayarlar!$B$6*IF(Bitkiler!$H$44=Topraklar!$H$30,0,1))/Ayarlar!$B$7)+IF(Topraklar!$K$30=Bitkiler!$C$44,0.002,IF(Topraklar!$L$30="Evet",0.001,0)))</f>
        <v/>
      </c>
      <c r="AE45" s="16">
        <f>IF(OR(Topraklar!$J$31="Evet",AND(Topraklar!$L$31&lt;&gt;"Evet",Topraklar!$K$31&lt;&gt;Bitkiler!$C$44)),0,MAX(0,1-(Ayarlar!$B$2*ABS(Bitkiler!$D$44-Topraklar!$D$31)+Ayarlar!$B$3*ABS(Bitkiler!$E$44-Topraklar!$E$31)+Ayarlar!$B$4*ABS(Bitkiler!$F$44-Topraklar!$F$31)+Ayarlar!$B$5*ABS(Bitkiler!$G$44-Topraklar!$G$31)+Ayarlar!$B$6*IF(Bitkiler!$H$44=Topraklar!$H$31,0,1))/Ayarlar!$B$7)+IF(Topraklar!$K$31=Bitkiler!$C$44,0.002,IF(Topraklar!$L$31="Evet",0.001,0)))</f>
        <v/>
      </c>
      <c r="AF45" s="16">
        <f>IF(OR(Topraklar!$J$32="Evet",AND(Topraklar!$L$32&lt;&gt;"Evet",Topraklar!$K$32&lt;&gt;Bitkiler!$C$44)),0,MAX(0,1-(Ayarlar!$B$2*ABS(Bitkiler!$D$44-Topraklar!$D$32)+Ayarlar!$B$3*ABS(Bitkiler!$E$44-Topraklar!$E$32)+Ayarlar!$B$4*ABS(Bitkiler!$F$44-Topraklar!$F$32)+Ayarlar!$B$5*ABS(Bitkiler!$G$44-Topraklar!$G$32)+Ayarlar!$B$6*IF(Bitkiler!$H$44=Topraklar!$H$32,0,1))/Ayarlar!$B$7)+IF(Topraklar!$K$32=Bitkiler!$C$44,0.002,IF(Topraklar!$L$32="Evet",0.001,0)))</f>
        <v/>
      </c>
      <c r="AG45" s="16">
        <f>IF(OR(Topraklar!$J$33="Evet",AND(Topraklar!$L$33&lt;&gt;"Evet",Topraklar!$K$33&lt;&gt;Bitkiler!$C$44)),0,MAX(0,1-(Ayarlar!$B$2*ABS(Bitkiler!$D$44-Topraklar!$D$33)+Ayarlar!$B$3*ABS(Bitkiler!$E$44-Topraklar!$E$33)+Ayarlar!$B$4*ABS(Bitkiler!$F$44-Topraklar!$F$33)+Ayarlar!$B$5*ABS(Bitkiler!$G$44-Topraklar!$G$33)+Ayarlar!$B$6*IF(Bitkiler!$H$44=Topraklar!$H$33,0,1))/Ayarlar!$B$7)+IF(Topraklar!$K$33=Bitkiler!$C$44,0.002,IF(Topraklar!$L$33="Evet",0.001,0)))</f>
        <v/>
      </c>
      <c r="AH45" s="16">
        <f>IF(OR(Topraklar!$J$34="Evet",AND(Topraklar!$L$34&lt;&gt;"Evet",Topraklar!$K$34&lt;&gt;Bitkiler!$C$44)),0,MAX(0,1-(Ayarlar!$B$2*ABS(Bitkiler!$D$44-Topraklar!$D$34)+Ayarlar!$B$3*ABS(Bitkiler!$E$44-Topraklar!$E$34)+Ayarlar!$B$4*ABS(Bitkiler!$F$44-Topraklar!$F$34)+Ayarlar!$B$5*ABS(Bitkiler!$G$44-Topraklar!$G$34)+Ayarlar!$B$6*IF(Bitkiler!$H$44=Topraklar!$H$34,0,1))/Ayarlar!$B$7)+IF(Topraklar!$K$34=Bitkiler!$C$44,0.002,IF(Topraklar!$L$34="Evet",0.001,0)))</f>
        <v/>
      </c>
      <c r="AI45" s="16">
        <f>IF(OR(Topraklar!$J$35="Evet",AND(Topraklar!$L$35&lt;&gt;"Evet",Topraklar!$K$35&lt;&gt;Bitkiler!$C$44)),0,MAX(0,1-(Ayarlar!$B$2*ABS(Bitkiler!$D$44-Topraklar!$D$35)+Ayarlar!$B$3*ABS(Bitkiler!$E$44-Topraklar!$E$35)+Ayarlar!$B$4*ABS(Bitkiler!$F$44-Topraklar!$F$35)+Ayarlar!$B$5*ABS(Bitkiler!$G$44-Topraklar!$G$35)+Ayarlar!$B$6*IF(Bitkiler!$H$44=Topraklar!$H$35,0,1))/Ayarlar!$B$7)+IF(Topraklar!$K$35=Bitkiler!$C$44,0.002,IF(Topraklar!$L$35="Evet",0.001,0)))</f>
        <v/>
      </c>
      <c r="AJ45" s="16">
        <f>IF(OR(Topraklar!$J$36="Evet",AND(Topraklar!$L$36&lt;&gt;"Evet",Topraklar!$K$36&lt;&gt;Bitkiler!$C$44)),0,MAX(0,1-(Ayarlar!$B$2*ABS(Bitkiler!$D$44-Topraklar!$D$36)+Ayarlar!$B$3*ABS(Bitkiler!$E$44-Topraklar!$E$36)+Ayarlar!$B$4*ABS(Bitkiler!$F$44-Topraklar!$F$36)+Ayarlar!$B$5*ABS(Bitkiler!$G$44-Topraklar!$G$36)+Ayarlar!$B$6*IF(Bitkiler!$H$44=Topraklar!$H$36,0,1))/Ayarlar!$B$7)+IF(Topraklar!$K$36=Bitkiler!$C$44,0.002,IF(Topraklar!$L$36="Evet",0.001,0)))</f>
        <v/>
      </c>
      <c r="AK45" s="16">
        <f>IF(OR(Topraklar!$J$37="Evet",AND(Topraklar!$L$37&lt;&gt;"Evet",Topraklar!$K$37&lt;&gt;Bitkiler!$C$44)),0,MAX(0,1-(Ayarlar!$B$2*ABS(Bitkiler!$D$44-Topraklar!$D$37)+Ayarlar!$B$3*ABS(Bitkiler!$E$44-Topraklar!$E$37)+Ayarlar!$B$4*ABS(Bitkiler!$F$44-Topraklar!$F$37)+Ayarlar!$B$5*ABS(Bitkiler!$G$44-Topraklar!$G$37)+Ayarlar!$B$6*IF(Bitkiler!$H$44=Topraklar!$H$37,0,1))/Ayarlar!$B$7)+IF(Topraklar!$K$37=Bitkiler!$C$44,0.002,IF(Topraklar!$L$37="Evet",0.001,0)))</f>
        <v/>
      </c>
      <c r="AL45" s="16">
        <f>IF(OR(Topraklar!$J$38="Evet",AND(Topraklar!$L$38&lt;&gt;"Evet",Topraklar!$K$38&lt;&gt;Bitkiler!$C$44)),0,MAX(0,1-(Ayarlar!$B$2*ABS(Bitkiler!$D$44-Topraklar!$D$38)+Ayarlar!$B$3*ABS(Bitkiler!$E$44-Topraklar!$E$38)+Ayarlar!$B$4*ABS(Bitkiler!$F$44-Topraklar!$F$38)+Ayarlar!$B$5*ABS(Bitkiler!$G$44-Topraklar!$G$38)+Ayarlar!$B$6*IF(Bitkiler!$H$44=Topraklar!$H$38,0,1))/Ayarlar!$B$7)+IF(Topraklar!$K$38=Bitkiler!$C$44,0.002,IF(Topraklar!$L$38="Evet",0.001,0)))</f>
        <v/>
      </c>
      <c r="AM45" s="16">
        <f>IF(OR(Topraklar!$J$39="Evet",AND(Topraklar!$L$39&lt;&gt;"Evet",Topraklar!$K$39&lt;&gt;Bitkiler!$C$44)),0,MAX(0,1-(Ayarlar!$B$2*ABS(Bitkiler!$D$44-Topraklar!$D$39)+Ayarlar!$B$3*ABS(Bitkiler!$E$44-Topraklar!$E$39)+Ayarlar!$B$4*ABS(Bitkiler!$F$44-Topraklar!$F$39)+Ayarlar!$B$5*ABS(Bitkiler!$G$44-Topraklar!$G$39)+Ayarlar!$B$6*IF(Bitkiler!$H$44=Topraklar!$H$39,0,1))/Ayarlar!$B$7)+IF(Topraklar!$K$39=Bitkiler!$C$44,0.002,IF(Topraklar!$L$39="Evet",0.001,0)))</f>
        <v/>
      </c>
      <c r="AN45" s="16">
        <f>IF(OR(Topraklar!$J$40="Evet",AND(Topraklar!$L$40&lt;&gt;"Evet",Topraklar!$K$40&lt;&gt;Bitkiler!$C$44)),0,MAX(0,1-(Ayarlar!$B$2*ABS(Bitkiler!$D$44-Topraklar!$D$40)+Ayarlar!$B$3*ABS(Bitkiler!$E$44-Topraklar!$E$40)+Ayarlar!$B$4*ABS(Bitkiler!$F$44-Topraklar!$F$40)+Ayarlar!$B$5*ABS(Bitkiler!$G$44-Topraklar!$G$40)+Ayarlar!$B$6*IF(Bitkiler!$H$44=Topraklar!$H$40,0,1))/Ayarlar!$B$7)+IF(Topraklar!$K$40=Bitkiler!$C$44,0.002,IF(Topraklar!$L$40="Evet",0.001,0)))</f>
        <v/>
      </c>
      <c r="AO45" s="16">
        <f>IF(OR(Topraklar!$J$41="Evet",AND(Topraklar!$L$41&lt;&gt;"Evet",Topraklar!$K$41&lt;&gt;Bitkiler!$C$44)),0,MAX(0,1-(Ayarlar!$B$2*ABS(Bitkiler!$D$44-Topraklar!$D$41)+Ayarlar!$B$3*ABS(Bitkiler!$E$44-Topraklar!$E$41)+Ayarlar!$B$4*ABS(Bitkiler!$F$44-Topraklar!$F$41)+Ayarlar!$B$5*ABS(Bitkiler!$G$44-Topraklar!$G$41)+Ayarlar!$B$6*IF(Bitkiler!$H$44=Topraklar!$H$41,0,1))/Ayarlar!$B$7)+IF(Topraklar!$K$41=Bitkiler!$C$44,0.002,IF(Topraklar!$L$41="Evet",0.001,0)))</f>
        <v/>
      </c>
      <c r="AP45" s="16">
        <f>IF(OR(Topraklar!$J$42="Evet",AND(Topraklar!$L$42&lt;&gt;"Evet",Topraklar!$K$42&lt;&gt;Bitkiler!$C$44)),0,MAX(0,1-(Ayarlar!$B$2*ABS(Bitkiler!$D$44-Topraklar!$D$42)+Ayarlar!$B$3*ABS(Bitkiler!$E$44-Topraklar!$E$42)+Ayarlar!$B$4*ABS(Bitkiler!$F$44-Topraklar!$F$42)+Ayarlar!$B$5*ABS(Bitkiler!$G$44-Topraklar!$G$42)+Ayarlar!$B$6*IF(Bitkiler!$H$44=Topraklar!$H$42,0,1))/Ayarlar!$B$7)+IF(Topraklar!$K$42=Bitkiler!$C$44,0.002,IF(Topraklar!$L$42="Evet",0.001,0)))</f>
        <v/>
      </c>
      <c r="AQ45" s="16">
        <f>IF(OR(Topraklar!$J$43="Evet",AND(Topraklar!$L$43&lt;&gt;"Evet",Topraklar!$K$43&lt;&gt;Bitkiler!$C$44)),0,MAX(0,1-(Ayarlar!$B$2*ABS(Bitkiler!$D$44-Topraklar!$D$43)+Ayarlar!$B$3*ABS(Bitkiler!$E$44-Topraklar!$E$43)+Ayarlar!$B$4*ABS(Bitkiler!$F$44-Topraklar!$F$43)+Ayarlar!$B$5*ABS(Bitkiler!$G$44-Topraklar!$G$43)+Ayarlar!$B$6*IF(Bitkiler!$H$44=Topraklar!$H$43,0,1))/Ayarlar!$B$7)+IF(Topraklar!$K$43=Bitkiler!$C$44,0.002,IF(Topraklar!$L$43="Evet",0.001,0)))</f>
        <v/>
      </c>
      <c r="AR45" s="16">
        <f>IF(OR(Topraklar!$J$44="Evet",AND(Topraklar!$L$44&lt;&gt;"Evet",Topraklar!$K$44&lt;&gt;Bitkiler!$C$44)),0,MAX(0,1-(Ayarlar!$B$2*ABS(Bitkiler!$D$44-Topraklar!$D$44)+Ayarlar!$B$3*ABS(Bitkiler!$E$44-Topraklar!$E$44)+Ayarlar!$B$4*ABS(Bitkiler!$F$44-Topraklar!$F$44)+Ayarlar!$B$5*ABS(Bitkiler!$G$44-Topraklar!$G$44)+Ayarlar!$B$6*IF(Bitkiler!$H$44=Topraklar!$H$44,0,1))/Ayarlar!$B$7)+IF(Topraklar!$K$44=Bitkiler!$C$44,0.002,IF(Topraklar!$L$44="Evet",0.001,0)))</f>
        <v/>
      </c>
      <c r="AS45" s="16">
        <f>IF(OR(Topraklar!$J$45="Evet",AND(Topraklar!$L$45&lt;&gt;"Evet",Topraklar!$K$45&lt;&gt;Bitkiler!$C$44)),0,MAX(0,1-(Ayarlar!$B$2*ABS(Bitkiler!$D$44-Topraklar!$D$45)+Ayarlar!$B$3*ABS(Bitkiler!$E$44-Topraklar!$E$45)+Ayarlar!$B$4*ABS(Bitkiler!$F$44-Topraklar!$F$45)+Ayarlar!$B$5*ABS(Bitkiler!$G$44-Topraklar!$G$45)+Ayarlar!$B$6*IF(Bitkiler!$H$44=Topraklar!$H$45,0,1))/Ayarlar!$B$7)+IF(Topraklar!$K$45=Bitkiler!$C$44,0.002,IF(Topraklar!$L$45="Evet",0.001,0)))</f>
        <v/>
      </c>
      <c r="AT45" s="16">
        <f>IF(OR(Topraklar!$J$46="Evet",AND(Topraklar!$L$46&lt;&gt;"Evet",Topraklar!$K$46&lt;&gt;Bitkiler!$C$44)),0,MAX(0,1-(Ayarlar!$B$2*ABS(Bitkiler!$D$44-Topraklar!$D$46)+Ayarlar!$B$3*ABS(Bitkiler!$E$44-Topraklar!$E$46)+Ayarlar!$B$4*ABS(Bitkiler!$F$44-Topraklar!$F$46)+Ayarlar!$B$5*ABS(Bitkiler!$G$44-Topraklar!$G$46)+Ayarlar!$B$6*IF(Bitkiler!$H$44=Topraklar!$H$46,0,1))/Ayarlar!$B$7)+IF(Topraklar!$K$46=Bitkiler!$C$44,0.002,IF(Topraklar!$L$46="Evet",0.001,0)))</f>
        <v/>
      </c>
      <c r="AU45" s="16">
        <f>IF(OR(Topraklar!$J$47="Evet",AND(Topraklar!$L$47&lt;&gt;"Evet",Topraklar!$K$47&lt;&gt;Bitkiler!$C$44)),0,MAX(0,1-(Ayarlar!$B$2*ABS(Bitkiler!$D$44-Topraklar!$D$47)+Ayarlar!$B$3*ABS(Bitkiler!$E$44-Topraklar!$E$47)+Ayarlar!$B$4*ABS(Bitkiler!$F$44-Topraklar!$F$47)+Ayarlar!$B$5*ABS(Bitkiler!$G$44-Topraklar!$G$47)+Ayarlar!$B$6*IF(Bitkiler!$H$44=Topraklar!$H$47,0,1))/Ayarlar!$B$7)+IF(Topraklar!$K$47=Bitkiler!$C$44,0.002,IF(Topraklar!$L$47="Evet",0.001,0)))</f>
        <v/>
      </c>
      <c r="AV45" s="16">
        <f>IF(OR(Topraklar!$J$48="Evet",AND(Topraklar!$L$48&lt;&gt;"Evet",Topraklar!$K$48&lt;&gt;Bitkiler!$C$44)),0,MAX(0,1-(Ayarlar!$B$2*ABS(Bitkiler!$D$44-Topraklar!$D$48)+Ayarlar!$B$3*ABS(Bitkiler!$E$44-Topraklar!$E$48)+Ayarlar!$B$4*ABS(Bitkiler!$F$44-Topraklar!$F$48)+Ayarlar!$B$5*ABS(Bitkiler!$G$44-Topraklar!$G$48)+Ayarlar!$B$6*IF(Bitkiler!$H$44=Topraklar!$H$48,0,1))/Ayarlar!$B$7)+IF(Topraklar!$K$48=Bitkiler!$C$44,0.002,IF(Topraklar!$L$48="Evet",0.001,0)))</f>
        <v/>
      </c>
      <c r="AW45" s="16">
        <f>IF(OR(Topraklar!$J$49="Evet",AND(Topraklar!$L$49&lt;&gt;"Evet",Topraklar!$K$49&lt;&gt;Bitkiler!$C$44)),0,MAX(0,1-(Ayarlar!$B$2*ABS(Bitkiler!$D$44-Topraklar!$D$49)+Ayarlar!$B$3*ABS(Bitkiler!$E$44-Topraklar!$E$49)+Ayarlar!$B$4*ABS(Bitkiler!$F$44-Topraklar!$F$49)+Ayarlar!$B$5*ABS(Bitkiler!$G$44-Topraklar!$G$49)+Ayarlar!$B$6*IF(Bitkiler!$H$44=Topraklar!$H$49,0,1))/Ayarlar!$B$7)+IF(Topraklar!$K$49=Bitkiler!$C$44,0.002,IF(Topraklar!$L$49="Evet",0.001,0)))</f>
        <v/>
      </c>
      <c r="AX45" s="16">
        <f>IF(OR(Topraklar!$J$50="Evet",AND(Topraklar!$L$50&lt;&gt;"Evet",Topraklar!$K$50&lt;&gt;Bitkiler!$C$44)),0,MAX(0,1-(Ayarlar!$B$2*ABS(Bitkiler!$D$44-Topraklar!$D$50)+Ayarlar!$B$3*ABS(Bitkiler!$E$44-Topraklar!$E$50)+Ayarlar!$B$4*ABS(Bitkiler!$F$44-Topraklar!$F$50)+Ayarlar!$B$5*ABS(Bitkiler!$G$44-Topraklar!$G$50)+Ayarlar!$B$6*IF(Bitkiler!$H$44=Topraklar!$H$50,0,1))/Ayarlar!$B$7)+IF(Topraklar!$K$50=Bitkiler!$C$44,0.002,IF(Topraklar!$L$50="Evet",0.001,0)))</f>
        <v/>
      </c>
      <c r="AY45" s="16">
        <f>IF(OR(Topraklar!$J$51="Evet",AND(Topraklar!$L$51&lt;&gt;"Evet",Topraklar!$K$51&lt;&gt;Bitkiler!$C$44)),0,MAX(0,1-(Ayarlar!$B$2*ABS(Bitkiler!$D$44-Topraklar!$D$51)+Ayarlar!$B$3*ABS(Bitkiler!$E$44-Topraklar!$E$51)+Ayarlar!$B$4*ABS(Bitkiler!$F$44-Topraklar!$F$51)+Ayarlar!$B$5*ABS(Bitkiler!$G$44-Topraklar!$G$51)+Ayarlar!$B$6*IF(Bitkiler!$H$44=Topraklar!$H$51,0,1))/Ayarlar!$B$7)+IF(Topraklar!$K$51=Bitkiler!$C$44,0.002,IF(Topraklar!$L$51="Evet",0.001,0)))</f>
        <v/>
      </c>
    </row>
    <row r="46">
      <c r="A46" s="15">
        <f>Bitkiler!A45</f>
        <v/>
      </c>
      <c r="B46" s="16">
        <f>IF(OR(Topraklar!$J$2="Evet",AND(Topraklar!$L$2&lt;&gt;"Evet",Topraklar!$K$2&lt;&gt;Bitkiler!$C$45)),0,MAX(0,1-(Ayarlar!$B$2*ABS(Bitkiler!$D$45-Topraklar!$D$2)+Ayarlar!$B$3*ABS(Bitkiler!$E$45-Topraklar!$E$2)+Ayarlar!$B$4*ABS(Bitkiler!$F$45-Topraklar!$F$2)+Ayarlar!$B$5*ABS(Bitkiler!$G$45-Topraklar!$G$2)+Ayarlar!$B$6*IF(Bitkiler!$H$45=Topraklar!$H$2,0,1))/Ayarlar!$B$7)+IF(Topraklar!$K$2=Bitkiler!$C$45,0.002,IF(Topraklar!$L$2="Evet",0.001,0)))</f>
        <v/>
      </c>
      <c r="C46" s="16">
        <f>IF(OR(Topraklar!$J$3="Evet",AND(Topraklar!$L$3&lt;&gt;"Evet",Topraklar!$K$3&lt;&gt;Bitkiler!$C$45)),0,MAX(0,1-(Ayarlar!$B$2*ABS(Bitkiler!$D$45-Topraklar!$D$3)+Ayarlar!$B$3*ABS(Bitkiler!$E$45-Topraklar!$E$3)+Ayarlar!$B$4*ABS(Bitkiler!$F$45-Topraklar!$F$3)+Ayarlar!$B$5*ABS(Bitkiler!$G$45-Topraklar!$G$3)+Ayarlar!$B$6*IF(Bitkiler!$H$45=Topraklar!$H$3,0,1))/Ayarlar!$B$7)+IF(Topraklar!$K$3=Bitkiler!$C$45,0.002,IF(Topraklar!$L$3="Evet",0.001,0)))</f>
        <v/>
      </c>
      <c r="D46" s="16">
        <f>IF(OR(Topraklar!$J$4="Evet",AND(Topraklar!$L$4&lt;&gt;"Evet",Topraklar!$K$4&lt;&gt;Bitkiler!$C$45)),0,MAX(0,1-(Ayarlar!$B$2*ABS(Bitkiler!$D$45-Topraklar!$D$4)+Ayarlar!$B$3*ABS(Bitkiler!$E$45-Topraklar!$E$4)+Ayarlar!$B$4*ABS(Bitkiler!$F$45-Topraklar!$F$4)+Ayarlar!$B$5*ABS(Bitkiler!$G$45-Topraklar!$G$4)+Ayarlar!$B$6*IF(Bitkiler!$H$45=Topraklar!$H$4,0,1))/Ayarlar!$B$7)+IF(Topraklar!$K$4=Bitkiler!$C$45,0.002,IF(Topraklar!$L$4="Evet",0.001,0)))</f>
        <v/>
      </c>
      <c r="E46" s="16">
        <f>IF(OR(Topraklar!$J$5="Evet",AND(Topraklar!$L$5&lt;&gt;"Evet",Topraklar!$K$5&lt;&gt;Bitkiler!$C$45)),0,MAX(0,1-(Ayarlar!$B$2*ABS(Bitkiler!$D$45-Topraklar!$D$5)+Ayarlar!$B$3*ABS(Bitkiler!$E$45-Topraklar!$E$5)+Ayarlar!$B$4*ABS(Bitkiler!$F$45-Topraklar!$F$5)+Ayarlar!$B$5*ABS(Bitkiler!$G$45-Topraklar!$G$5)+Ayarlar!$B$6*IF(Bitkiler!$H$45=Topraklar!$H$5,0,1))/Ayarlar!$B$7)+IF(Topraklar!$K$5=Bitkiler!$C$45,0.002,IF(Topraklar!$L$5="Evet",0.001,0)))</f>
        <v/>
      </c>
      <c r="F46" s="16">
        <f>IF(OR(Topraklar!$J$6="Evet",AND(Topraklar!$L$6&lt;&gt;"Evet",Topraklar!$K$6&lt;&gt;Bitkiler!$C$45)),0,MAX(0,1-(Ayarlar!$B$2*ABS(Bitkiler!$D$45-Topraklar!$D$6)+Ayarlar!$B$3*ABS(Bitkiler!$E$45-Topraklar!$E$6)+Ayarlar!$B$4*ABS(Bitkiler!$F$45-Topraklar!$F$6)+Ayarlar!$B$5*ABS(Bitkiler!$G$45-Topraklar!$G$6)+Ayarlar!$B$6*IF(Bitkiler!$H$45=Topraklar!$H$6,0,1))/Ayarlar!$B$7)+IF(Topraklar!$K$6=Bitkiler!$C$45,0.002,IF(Topraklar!$L$6="Evet",0.001,0)))</f>
        <v/>
      </c>
      <c r="G46" s="16">
        <f>IF(OR(Topraklar!$J$7="Evet",AND(Topraklar!$L$7&lt;&gt;"Evet",Topraklar!$K$7&lt;&gt;Bitkiler!$C$45)),0,MAX(0,1-(Ayarlar!$B$2*ABS(Bitkiler!$D$45-Topraklar!$D$7)+Ayarlar!$B$3*ABS(Bitkiler!$E$45-Topraklar!$E$7)+Ayarlar!$B$4*ABS(Bitkiler!$F$45-Topraklar!$F$7)+Ayarlar!$B$5*ABS(Bitkiler!$G$45-Topraklar!$G$7)+Ayarlar!$B$6*IF(Bitkiler!$H$45=Topraklar!$H$7,0,1))/Ayarlar!$B$7)+IF(Topraklar!$K$7=Bitkiler!$C$45,0.002,IF(Topraklar!$L$7="Evet",0.001,0)))</f>
        <v/>
      </c>
      <c r="H46" s="16">
        <f>IF(OR(Topraklar!$J$8="Evet",AND(Topraklar!$L$8&lt;&gt;"Evet",Topraklar!$K$8&lt;&gt;Bitkiler!$C$45)),0,MAX(0,1-(Ayarlar!$B$2*ABS(Bitkiler!$D$45-Topraklar!$D$8)+Ayarlar!$B$3*ABS(Bitkiler!$E$45-Topraklar!$E$8)+Ayarlar!$B$4*ABS(Bitkiler!$F$45-Topraklar!$F$8)+Ayarlar!$B$5*ABS(Bitkiler!$G$45-Topraklar!$G$8)+Ayarlar!$B$6*IF(Bitkiler!$H$45=Topraklar!$H$8,0,1))/Ayarlar!$B$7)+IF(Topraklar!$K$8=Bitkiler!$C$45,0.002,IF(Topraklar!$L$8="Evet",0.001,0)))</f>
        <v/>
      </c>
      <c r="I46" s="16">
        <f>IF(OR(Topraklar!$J$9="Evet",AND(Topraklar!$L$9&lt;&gt;"Evet",Topraklar!$K$9&lt;&gt;Bitkiler!$C$45)),0,MAX(0,1-(Ayarlar!$B$2*ABS(Bitkiler!$D$45-Topraklar!$D$9)+Ayarlar!$B$3*ABS(Bitkiler!$E$45-Topraklar!$E$9)+Ayarlar!$B$4*ABS(Bitkiler!$F$45-Topraklar!$F$9)+Ayarlar!$B$5*ABS(Bitkiler!$G$45-Topraklar!$G$9)+Ayarlar!$B$6*IF(Bitkiler!$H$45=Topraklar!$H$9,0,1))/Ayarlar!$B$7)+IF(Topraklar!$K$9=Bitkiler!$C$45,0.002,IF(Topraklar!$L$9="Evet",0.001,0)))</f>
        <v/>
      </c>
      <c r="J46" s="16">
        <f>IF(OR(Topraklar!$J$10="Evet",AND(Topraklar!$L$10&lt;&gt;"Evet",Topraklar!$K$10&lt;&gt;Bitkiler!$C$45)),0,MAX(0,1-(Ayarlar!$B$2*ABS(Bitkiler!$D$45-Topraklar!$D$10)+Ayarlar!$B$3*ABS(Bitkiler!$E$45-Topraklar!$E$10)+Ayarlar!$B$4*ABS(Bitkiler!$F$45-Topraklar!$F$10)+Ayarlar!$B$5*ABS(Bitkiler!$G$45-Topraklar!$G$10)+Ayarlar!$B$6*IF(Bitkiler!$H$45=Topraklar!$H$10,0,1))/Ayarlar!$B$7)+IF(Topraklar!$K$10=Bitkiler!$C$45,0.002,IF(Topraklar!$L$10="Evet",0.001,0)))</f>
        <v/>
      </c>
      <c r="K46" s="16">
        <f>IF(OR(Topraklar!$J$11="Evet",AND(Topraklar!$L$11&lt;&gt;"Evet",Topraklar!$K$11&lt;&gt;Bitkiler!$C$45)),0,MAX(0,1-(Ayarlar!$B$2*ABS(Bitkiler!$D$45-Topraklar!$D$11)+Ayarlar!$B$3*ABS(Bitkiler!$E$45-Topraklar!$E$11)+Ayarlar!$B$4*ABS(Bitkiler!$F$45-Topraklar!$F$11)+Ayarlar!$B$5*ABS(Bitkiler!$G$45-Topraklar!$G$11)+Ayarlar!$B$6*IF(Bitkiler!$H$45=Topraklar!$H$11,0,1))/Ayarlar!$B$7)+IF(Topraklar!$K$11=Bitkiler!$C$45,0.002,IF(Topraklar!$L$11="Evet",0.001,0)))</f>
        <v/>
      </c>
      <c r="L46" s="16">
        <f>IF(OR(Topraklar!$J$12="Evet",AND(Topraklar!$L$12&lt;&gt;"Evet",Topraklar!$K$12&lt;&gt;Bitkiler!$C$45)),0,MAX(0,1-(Ayarlar!$B$2*ABS(Bitkiler!$D$45-Topraklar!$D$12)+Ayarlar!$B$3*ABS(Bitkiler!$E$45-Topraklar!$E$12)+Ayarlar!$B$4*ABS(Bitkiler!$F$45-Topraklar!$F$12)+Ayarlar!$B$5*ABS(Bitkiler!$G$45-Topraklar!$G$12)+Ayarlar!$B$6*IF(Bitkiler!$H$45=Topraklar!$H$12,0,1))/Ayarlar!$B$7)+IF(Topraklar!$K$12=Bitkiler!$C$45,0.002,IF(Topraklar!$L$12="Evet",0.001,0)))</f>
        <v/>
      </c>
      <c r="M46" s="16">
        <f>IF(OR(Topraklar!$J$13="Evet",AND(Topraklar!$L$13&lt;&gt;"Evet",Topraklar!$K$13&lt;&gt;Bitkiler!$C$45)),0,MAX(0,1-(Ayarlar!$B$2*ABS(Bitkiler!$D$45-Topraklar!$D$13)+Ayarlar!$B$3*ABS(Bitkiler!$E$45-Topraklar!$E$13)+Ayarlar!$B$4*ABS(Bitkiler!$F$45-Topraklar!$F$13)+Ayarlar!$B$5*ABS(Bitkiler!$G$45-Topraklar!$G$13)+Ayarlar!$B$6*IF(Bitkiler!$H$45=Topraklar!$H$13,0,1))/Ayarlar!$B$7)+IF(Topraklar!$K$13=Bitkiler!$C$45,0.002,IF(Topraklar!$L$13="Evet",0.001,0)))</f>
        <v/>
      </c>
      <c r="N46" s="16">
        <f>IF(OR(Topraklar!$J$14="Evet",AND(Topraklar!$L$14&lt;&gt;"Evet",Topraklar!$K$14&lt;&gt;Bitkiler!$C$45)),0,MAX(0,1-(Ayarlar!$B$2*ABS(Bitkiler!$D$45-Topraklar!$D$14)+Ayarlar!$B$3*ABS(Bitkiler!$E$45-Topraklar!$E$14)+Ayarlar!$B$4*ABS(Bitkiler!$F$45-Topraklar!$F$14)+Ayarlar!$B$5*ABS(Bitkiler!$G$45-Topraklar!$G$14)+Ayarlar!$B$6*IF(Bitkiler!$H$45=Topraklar!$H$14,0,1))/Ayarlar!$B$7)+IF(Topraklar!$K$14=Bitkiler!$C$45,0.002,IF(Topraklar!$L$14="Evet",0.001,0)))</f>
        <v/>
      </c>
      <c r="O46" s="16">
        <f>IF(OR(Topraklar!$J$15="Evet",AND(Topraklar!$L$15&lt;&gt;"Evet",Topraklar!$K$15&lt;&gt;Bitkiler!$C$45)),0,MAX(0,1-(Ayarlar!$B$2*ABS(Bitkiler!$D$45-Topraklar!$D$15)+Ayarlar!$B$3*ABS(Bitkiler!$E$45-Topraklar!$E$15)+Ayarlar!$B$4*ABS(Bitkiler!$F$45-Topraklar!$F$15)+Ayarlar!$B$5*ABS(Bitkiler!$G$45-Topraklar!$G$15)+Ayarlar!$B$6*IF(Bitkiler!$H$45=Topraklar!$H$15,0,1))/Ayarlar!$B$7)+IF(Topraklar!$K$15=Bitkiler!$C$45,0.002,IF(Topraklar!$L$15="Evet",0.001,0)))</f>
        <v/>
      </c>
      <c r="P46" s="16">
        <f>IF(OR(Topraklar!$J$16="Evet",AND(Topraklar!$L$16&lt;&gt;"Evet",Topraklar!$K$16&lt;&gt;Bitkiler!$C$45)),0,MAX(0,1-(Ayarlar!$B$2*ABS(Bitkiler!$D$45-Topraklar!$D$16)+Ayarlar!$B$3*ABS(Bitkiler!$E$45-Topraklar!$E$16)+Ayarlar!$B$4*ABS(Bitkiler!$F$45-Topraklar!$F$16)+Ayarlar!$B$5*ABS(Bitkiler!$G$45-Topraklar!$G$16)+Ayarlar!$B$6*IF(Bitkiler!$H$45=Topraklar!$H$16,0,1))/Ayarlar!$B$7)+IF(Topraklar!$K$16=Bitkiler!$C$45,0.002,IF(Topraklar!$L$16="Evet",0.001,0)))</f>
        <v/>
      </c>
      <c r="Q46" s="16">
        <f>IF(OR(Topraklar!$J$17="Evet",AND(Topraklar!$L$17&lt;&gt;"Evet",Topraklar!$K$17&lt;&gt;Bitkiler!$C$45)),0,MAX(0,1-(Ayarlar!$B$2*ABS(Bitkiler!$D$45-Topraklar!$D$17)+Ayarlar!$B$3*ABS(Bitkiler!$E$45-Topraklar!$E$17)+Ayarlar!$B$4*ABS(Bitkiler!$F$45-Topraklar!$F$17)+Ayarlar!$B$5*ABS(Bitkiler!$G$45-Topraklar!$G$17)+Ayarlar!$B$6*IF(Bitkiler!$H$45=Topraklar!$H$17,0,1))/Ayarlar!$B$7)+IF(Topraklar!$K$17=Bitkiler!$C$45,0.002,IF(Topraklar!$L$17="Evet",0.001,0)))</f>
        <v/>
      </c>
      <c r="R46" s="16">
        <f>IF(OR(Topraklar!$J$18="Evet",AND(Topraklar!$L$18&lt;&gt;"Evet",Topraklar!$K$18&lt;&gt;Bitkiler!$C$45)),0,MAX(0,1-(Ayarlar!$B$2*ABS(Bitkiler!$D$45-Topraklar!$D$18)+Ayarlar!$B$3*ABS(Bitkiler!$E$45-Topraklar!$E$18)+Ayarlar!$B$4*ABS(Bitkiler!$F$45-Topraklar!$F$18)+Ayarlar!$B$5*ABS(Bitkiler!$G$45-Topraklar!$G$18)+Ayarlar!$B$6*IF(Bitkiler!$H$45=Topraklar!$H$18,0,1))/Ayarlar!$B$7)+IF(Topraklar!$K$18=Bitkiler!$C$45,0.002,IF(Topraklar!$L$18="Evet",0.001,0)))</f>
        <v/>
      </c>
      <c r="S46" s="16">
        <f>IF(OR(Topraklar!$J$19="Evet",AND(Topraklar!$L$19&lt;&gt;"Evet",Topraklar!$K$19&lt;&gt;Bitkiler!$C$45)),0,MAX(0,1-(Ayarlar!$B$2*ABS(Bitkiler!$D$45-Topraklar!$D$19)+Ayarlar!$B$3*ABS(Bitkiler!$E$45-Topraklar!$E$19)+Ayarlar!$B$4*ABS(Bitkiler!$F$45-Topraklar!$F$19)+Ayarlar!$B$5*ABS(Bitkiler!$G$45-Topraklar!$G$19)+Ayarlar!$B$6*IF(Bitkiler!$H$45=Topraklar!$H$19,0,1))/Ayarlar!$B$7)+IF(Topraklar!$K$19=Bitkiler!$C$45,0.002,IF(Topraklar!$L$19="Evet",0.001,0)))</f>
        <v/>
      </c>
      <c r="T46" s="16">
        <f>IF(OR(Topraklar!$J$20="Evet",AND(Topraklar!$L$20&lt;&gt;"Evet",Topraklar!$K$20&lt;&gt;Bitkiler!$C$45)),0,MAX(0,1-(Ayarlar!$B$2*ABS(Bitkiler!$D$45-Topraklar!$D$20)+Ayarlar!$B$3*ABS(Bitkiler!$E$45-Topraklar!$E$20)+Ayarlar!$B$4*ABS(Bitkiler!$F$45-Topraklar!$F$20)+Ayarlar!$B$5*ABS(Bitkiler!$G$45-Topraklar!$G$20)+Ayarlar!$B$6*IF(Bitkiler!$H$45=Topraklar!$H$20,0,1))/Ayarlar!$B$7)+IF(Topraklar!$K$20=Bitkiler!$C$45,0.002,IF(Topraklar!$L$20="Evet",0.001,0)))</f>
        <v/>
      </c>
      <c r="U46" s="16">
        <f>IF(OR(Topraklar!$J$21="Evet",AND(Topraklar!$L$21&lt;&gt;"Evet",Topraklar!$K$21&lt;&gt;Bitkiler!$C$45)),0,MAX(0,1-(Ayarlar!$B$2*ABS(Bitkiler!$D$45-Topraklar!$D$21)+Ayarlar!$B$3*ABS(Bitkiler!$E$45-Topraklar!$E$21)+Ayarlar!$B$4*ABS(Bitkiler!$F$45-Topraklar!$F$21)+Ayarlar!$B$5*ABS(Bitkiler!$G$45-Topraklar!$G$21)+Ayarlar!$B$6*IF(Bitkiler!$H$45=Topraklar!$H$21,0,1))/Ayarlar!$B$7)+IF(Topraklar!$K$21=Bitkiler!$C$45,0.002,IF(Topraklar!$L$21="Evet",0.001,0)))</f>
        <v/>
      </c>
      <c r="V46" s="16">
        <f>IF(OR(Topraklar!$J$22="Evet",AND(Topraklar!$L$22&lt;&gt;"Evet",Topraklar!$K$22&lt;&gt;Bitkiler!$C$45)),0,MAX(0,1-(Ayarlar!$B$2*ABS(Bitkiler!$D$45-Topraklar!$D$22)+Ayarlar!$B$3*ABS(Bitkiler!$E$45-Topraklar!$E$22)+Ayarlar!$B$4*ABS(Bitkiler!$F$45-Topraklar!$F$22)+Ayarlar!$B$5*ABS(Bitkiler!$G$45-Topraklar!$G$22)+Ayarlar!$B$6*IF(Bitkiler!$H$45=Topraklar!$H$22,0,1))/Ayarlar!$B$7)+IF(Topraklar!$K$22=Bitkiler!$C$45,0.002,IF(Topraklar!$L$22="Evet",0.001,0)))</f>
        <v/>
      </c>
      <c r="W46" s="16">
        <f>IF(OR(Topraklar!$J$23="Evet",AND(Topraklar!$L$23&lt;&gt;"Evet",Topraklar!$K$23&lt;&gt;Bitkiler!$C$45)),0,MAX(0,1-(Ayarlar!$B$2*ABS(Bitkiler!$D$45-Topraklar!$D$23)+Ayarlar!$B$3*ABS(Bitkiler!$E$45-Topraklar!$E$23)+Ayarlar!$B$4*ABS(Bitkiler!$F$45-Topraklar!$F$23)+Ayarlar!$B$5*ABS(Bitkiler!$G$45-Topraklar!$G$23)+Ayarlar!$B$6*IF(Bitkiler!$H$45=Topraklar!$H$23,0,1))/Ayarlar!$B$7)+IF(Topraklar!$K$23=Bitkiler!$C$45,0.002,IF(Topraklar!$L$23="Evet",0.001,0)))</f>
        <v/>
      </c>
      <c r="X46" s="16">
        <f>IF(OR(Topraklar!$J$24="Evet",AND(Topraklar!$L$24&lt;&gt;"Evet",Topraklar!$K$24&lt;&gt;Bitkiler!$C$45)),0,MAX(0,1-(Ayarlar!$B$2*ABS(Bitkiler!$D$45-Topraklar!$D$24)+Ayarlar!$B$3*ABS(Bitkiler!$E$45-Topraklar!$E$24)+Ayarlar!$B$4*ABS(Bitkiler!$F$45-Topraklar!$F$24)+Ayarlar!$B$5*ABS(Bitkiler!$G$45-Topraklar!$G$24)+Ayarlar!$B$6*IF(Bitkiler!$H$45=Topraklar!$H$24,0,1))/Ayarlar!$B$7)+IF(Topraklar!$K$24=Bitkiler!$C$45,0.002,IF(Topraklar!$L$24="Evet",0.001,0)))</f>
        <v/>
      </c>
      <c r="Y46" s="16">
        <f>IF(OR(Topraklar!$J$25="Evet",AND(Topraklar!$L$25&lt;&gt;"Evet",Topraklar!$K$25&lt;&gt;Bitkiler!$C$45)),0,MAX(0,1-(Ayarlar!$B$2*ABS(Bitkiler!$D$45-Topraklar!$D$25)+Ayarlar!$B$3*ABS(Bitkiler!$E$45-Topraklar!$E$25)+Ayarlar!$B$4*ABS(Bitkiler!$F$45-Topraklar!$F$25)+Ayarlar!$B$5*ABS(Bitkiler!$G$45-Topraklar!$G$25)+Ayarlar!$B$6*IF(Bitkiler!$H$45=Topraklar!$H$25,0,1))/Ayarlar!$B$7)+IF(Topraklar!$K$25=Bitkiler!$C$45,0.002,IF(Topraklar!$L$25="Evet",0.001,0)))</f>
        <v/>
      </c>
      <c r="Z46" s="16">
        <f>IF(OR(Topraklar!$J$26="Evet",AND(Topraklar!$L$26&lt;&gt;"Evet",Topraklar!$K$26&lt;&gt;Bitkiler!$C$45)),0,MAX(0,1-(Ayarlar!$B$2*ABS(Bitkiler!$D$45-Topraklar!$D$26)+Ayarlar!$B$3*ABS(Bitkiler!$E$45-Topraklar!$E$26)+Ayarlar!$B$4*ABS(Bitkiler!$F$45-Topraklar!$F$26)+Ayarlar!$B$5*ABS(Bitkiler!$G$45-Topraklar!$G$26)+Ayarlar!$B$6*IF(Bitkiler!$H$45=Topraklar!$H$26,0,1))/Ayarlar!$B$7)+IF(Topraklar!$K$26=Bitkiler!$C$45,0.002,IF(Topraklar!$L$26="Evet",0.001,0)))</f>
        <v/>
      </c>
      <c r="AA46" s="16">
        <f>IF(OR(Topraklar!$J$27="Evet",AND(Topraklar!$L$27&lt;&gt;"Evet",Topraklar!$K$27&lt;&gt;Bitkiler!$C$45)),0,MAX(0,1-(Ayarlar!$B$2*ABS(Bitkiler!$D$45-Topraklar!$D$27)+Ayarlar!$B$3*ABS(Bitkiler!$E$45-Topraklar!$E$27)+Ayarlar!$B$4*ABS(Bitkiler!$F$45-Topraklar!$F$27)+Ayarlar!$B$5*ABS(Bitkiler!$G$45-Topraklar!$G$27)+Ayarlar!$B$6*IF(Bitkiler!$H$45=Topraklar!$H$27,0,1))/Ayarlar!$B$7)+IF(Topraklar!$K$27=Bitkiler!$C$45,0.002,IF(Topraklar!$L$27="Evet",0.001,0)))</f>
        <v/>
      </c>
      <c r="AB46" s="16">
        <f>IF(OR(Topraklar!$J$28="Evet",AND(Topraklar!$L$28&lt;&gt;"Evet",Topraklar!$K$28&lt;&gt;Bitkiler!$C$45)),0,MAX(0,1-(Ayarlar!$B$2*ABS(Bitkiler!$D$45-Topraklar!$D$28)+Ayarlar!$B$3*ABS(Bitkiler!$E$45-Topraklar!$E$28)+Ayarlar!$B$4*ABS(Bitkiler!$F$45-Topraklar!$F$28)+Ayarlar!$B$5*ABS(Bitkiler!$G$45-Topraklar!$G$28)+Ayarlar!$B$6*IF(Bitkiler!$H$45=Topraklar!$H$28,0,1))/Ayarlar!$B$7)+IF(Topraklar!$K$28=Bitkiler!$C$45,0.002,IF(Topraklar!$L$28="Evet",0.001,0)))</f>
        <v/>
      </c>
      <c r="AC46" s="16">
        <f>IF(OR(Topraklar!$J$29="Evet",AND(Topraklar!$L$29&lt;&gt;"Evet",Topraklar!$K$29&lt;&gt;Bitkiler!$C$45)),0,MAX(0,1-(Ayarlar!$B$2*ABS(Bitkiler!$D$45-Topraklar!$D$29)+Ayarlar!$B$3*ABS(Bitkiler!$E$45-Topraklar!$E$29)+Ayarlar!$B$4*ABS(Bitkiler!$F$45-Topraklar!$F$29)+Ayarlar!$B$5*ABS(Bitkiler!$G$45-Topraklar!$G$29)+Ayarlar!$B$6*IF(Bitkiler!$H$45=Topraklar!$H$29,0,1))/Ayarlar!$B$7)+IF(Topraklar!$K$29=Bitkiler!$C$45,0.002,IF(Topraklar!$L$29="Evet",0.001,0)))</f>
        <v/>
      </c>
      <c r="AD46" s="16">
        <f>IF(OR(Topraklar!$J$30="Evet",AND(Topraklar!$L$30&lt;&gt;"Evet",Topraklar!$K$30&lt;&gt;Bitkiler!$C$45)),0,MAX(0,1-(Ayarlar!$B$2*ABS(Bitkiler!$D$45-Topraklar!$D$30)+Ayarlar!$B$3*ABS(Bitkiler!$E$45-Topraklar!$E$30)+Ayarlar!$B$4*ABS(Bitkiler!$F$45-Topraklar!$F$30)+Ayarlar!$B$5*ABS(Bitkiler!$G$45-Topraklar!$G$30)+Ayarlar!$B$6*IF(Bitkiler!$H$45=Topraklar!$H$30,0,1))/Ayarlar!$B$7)+IF(Topraklar!$K$30=Bitkiler!$C$45,0.002,IF(Topraklar!$L$30="Evet",0.001,0)))</f>
        <v/>
      </c>
      <c r="AE46" s="16">
        <f>IF(OR(Topraklar!$J$31="Evet",AND(Topraklar!$L$31&lt;&gt;"Evet",Topraklar!$K$31&lt;&gt;Bitkiler!$C$45)),0,MAX(0,1-(Ayarlar!$B$2*ABS(Bitkiler!$D$45-Topraklar!$D$31)+Ayarlar!$B$3*ABS(Bitkiler!$E$45-Topraklar!$E$31)+Ayarlar!$B$4*ABS(Bitkiler!$F$45-Topraklar!$F$31)+Ayarlar!$B$5*ABS(Bitkiler!$G$45-Topraklar!$G$31)+Ayarlar!$B$6*IF(Bitkiler!$H$45=Topraklar!$H$31,0,1))/Ayarlar!$B$7)+IF(Topraklar!$K$31=Bitkiler!$C$45,0.002,IF(Topraklar!$L$31="Evet",0.001,0)))</f>
        <v/>
      </c>
      <c r="AF46" s="16">
        <f>IF(OR(Topraklar!$J$32="Evet",AND(Topraklar!$L$32&lt;&gt;"Evet",Topraklar!$K$32&lt;&gt;Bitkiler!$C$45)),0,MAX(0,1-(Ayarlar!$B$2*ABS(Bitkiler!$D$45-Topraklar!$D$32)+Ayarlar!$B$3*ABS(Bitkiler!$E$45-Topraklar!$E$32)+Ayarlar!$B$4*ABS(Bitkiler!$F$45-Topraklar!$F$32)+Ayarlar!$B$5*ABS(Bitkiler!$G$45-Topraklar!$G$32)+Ayarlar!$B$6*IF(Bitkiler!$H$45=Topraklar!$H$32,0,1))/Ayarlar!$B$7)+IF(Topraklar!$K$32=Bitkiler!$C$45,0.002,IF(Topraklar!$L$32="Evet",0.001,0)))</f>
        <v/>
      </c>
      <c r="AG46" s="16">
        <f>IF(OR(Topraklar!$J$33="Evet",AND(Topraklar!$L$33&lt;&gt;"Evet",Topraklar!$K$33&lt;&gt;Bitkiler!$C$45)),0,MAX(0,1-(Ayarlar!$B$2*ABS(Bitkiler!$D$45-Topraklar!$D$33)+Ayarlar!$B$3*ABS(Bitkiler!$E$45-Topraklar!$E$33)+Ayarlar!$B$4*ABS(Bitkiler!$F$45-Topraklar!$F$33)+Ayarlar!$B$5*ABS(Bitkiler!$G$45-Topraklar!$G$33)+Ayarlar!$B$6*IF(Bitkiler!$H$45=Topraklar!$H$33,0,1))/Ayarlar!$B$7)+IF(Topraklar!$K$33=Bitkiler!$C$45,0.002,IF(Topraklar!$L$33="Evet",0.001,0)))</f>
        <v/>
      </c>
      <c r="AH46" s="16">
        <f>IF(OR(Topraklar!$J$34="Evet",AND(Topraklar!$L$34&lt;&gt;"Evet",Topraklar!$K$34&lt;&gt;Bitkiler!$C$45)),0,MAX(0,1-(Ayarlar!$B$2*ABS(Bitkiler!$D$45-Topraklar!$D$34)+Ayarlar!$B$3*ABS(Bitkiler!$E$45-Topraklar!$E$34)+Ayarlar!$B$4*ABS(Bitkiler!$F$45-Topraklar!$F$34)+Ayarlar!$B$5*ABS(Bitkiler!$G$45-Topraklar!$G$34)+Ayarlar!$B$6*IF(Bitkiler!$H$45=Topraklar!$H$34,0,1))/Ayarlar!$B$7)+IF(Topraklar!$K$34=Bitkiler!$C$45,0.002,IF(Topraklar!$L$34="Evet",0.001,0)))</f>
        <v/>
      </c>
      <c r="AI46" s="16">
        <f>IF(OR(Topraklar!$J$35="Evet",AND(Topraklar!$L$35&lt;&gt;"Evet",Topraklar!$K$35&lt;&gt;Bitkiler!$C$45)),0,MAX(0,1-(Ayarlar!$B$2*ABS(Bitkiler!$D$45-Topraklar!$D$35)+Ayarlar!$B$3*ABS(Bitkiler!$E$45-Topraklar!$E$35)+Ayarlar!$B$4*ABS(Bitkiler!$F$45-Topraklar!$F$35)+Ayarlar!$B$5*ABS(Bitkiler!$G$45-Topraklar!$G$35)+Ayarlar!$B$6*IF(Bitkiler!$H$45=Topraklar!$H$35,0,1))/Ayarlar!$B$7)+IF(Topraklar!$K$35=Bitkiler!$C$45,0.002,IF(Topraklar!$L$35="Evet",0.001,0)))</f>
        <v/>
      </c>
      <c r="AJ46" s="16">
        <f>IF(OR(Topraklar!$J$36="Evet",AND(Topraklar!$L$36&lt;&gt;"Evet",Topraklar!$K$36&lt;&gt;Bitkiler!$C$45)),0,MAX(0,1-(Ayarlar!$B$2*ABS(Bitkiler!$D$45-Topraklar!$D$36)+Ayarlar!$B$3*ABS(Bitkiler!$E$45-Topraklar!$E$36)+Ayarlar!$B$4*ABS(Bitkiler!$F$45-Topraklar!$F$36)+Ayarlar!$B$5*ABS(Bitkiler!$G$45-Topraklar!$G$36)+Ayarlar!$B$6*IF(Bitkiler!$H$45=Topraklar!$H$36,0,1))/Ayarlar!$B$7)+IF(Topraklar!$K$36=Bitkiler!$C$45,0.002,IF(Topraklar!$L$36="Evet",0.001,0)))</f>
        <v/>
      </c>
      <c r="AK46" s="16">
        <f>IF(OR(Topraklar!$J$37="Evet",AND(Topraklar!$L$37&lt;&gt;"Evet",Topraklar!$K$37&lt;&gt;Bitkiler!$C$45)),0,MAX(0,1-(Ayarlar!$B$2*ABS(Bitkiler!$D$45-Topraklar!$D$37)+Ayarlar!$B$3*ABS(Bitkiler!$E$45-Topraklar!$E$37)+Ayarlar!$B$4*ABS(Bitkiler!$F$45-Topraklar!$F$37)+Ayarlar!$B$5*ABS(Bitkiler!$G$45-Topraklar!$G$37)+Ayarlar!$B$6*IF(Bitkiler!$H$45=Topraklar!$H$37,0,1))/Ayarlar!$B$7)+IF(Topraklar!$K$37=Bitkiler!$C$45,0.002,IF(Topraklar!$L$37="Evet",0.001,0)))</f>
        <v/>
      </c>
      <c r="AL46" s="16">
        <f>IF(OR(Topraklar!$J$38="Evet",AND(Topraklar!$L$38&lt;&gt;"Evet",Topraklar!$K$38&lt;&gt;Bitkiler!$C$45)),0,MAX(0,1-(Ayarlar!$B$2*ABS(Bitkiler!$D$45-Topraklar!$D$38)+Ayarlar!$B$3*ABS(Bitkiler!$E$45-Topraklar!$E$38)+Ayarlar!$B$4*ABS(Bitkiler!$F$45-Topraklar!$F$38)+Ayarlar!$B$5*ABS(Bitkiler!$G$45-Topraklar!$G$38)+Ayarlar!$B$6*IF(Bitkiler!$H$45=Topraklar!$H$38,0,1))/Ayarlar!$B$7)+IF(Topraklar!$K$38=Bitkiler!$C$45,0.002,IF(Topraklar!$L$38="Evet",0.001,0)))</f>
        <v/>
      </c>
      <c r="AM46" s="16">
        <f>IF(OR(Topraklar!$J$39="Evet",AND(Topraklar!$L$39&lt;&gt;"Evet",Topraklar!$K$39&lt;&gt;Bitkiler!$C$45)),0,MAX(0,1-(Ayarlar!$B$2*ABS(Bitkiler!$D$45-Topraklar!$D$39)+Ayarlar!$B$3*ABS(Bitkiler!$E$45-Topraklar!$E$39)+Ayarlar!$B$4*ABS(Bitkiler!$F$45-Topraklar!$F$39)+Ayarlar!$B$5*ABS(Bitkiler!$G$45-Topraklar!$G$39)+Ayarlar!$B$6*IF(Bitkiler!$H$45=Topraklar!$H$39,0,1))/Ayarlar!$B$7)+IF(Topraklar!$K$39=Bitkiler!$C$45,0.002,IF(Topraklar!$L$39="Evet",0.001,0)))</f>
        <v/>
      </c>
      <c r="AN46" s="16">
        <f>IF(OR(Topraklar!$J$40="Evet",AND(Topraklar!$L$40&lt;&gt;"Evet",Topraklar!$K$40&lt;&gt;Bitkiler!$C$45)),0,MAX(0,1-(Ayarlar!$B$2*ABS(Bitkiler!$D$45-Topraklar!$D$40)+Ayarlar!$B$3*ABS(Bitkiler!$E$45-Topraklar!$E$40)+Ayarlar!$B$4*ABS(Bitkiler!$F$45-Topraklar!$F$40)+Ayarlar!$B$5*ABS(Bitkiler!$G$45-Topraklar!$G$40)+Ayarlar!$B$6*IF(Bitkiler!$H$45=Topraklar!$H$40,0,1))/Ayarlar!$B$7)+IF(Topraklar!$K$40=Bitkiler!$C$45,0.002,IF(Topraklar!$L$40="Evet",0.001,0)))</f>
        <v/>
      </c>
      <c r="AO46" s="16">
        <f>IF(OR(Topraklar!$J$41="Evet",AND(Topraklar!$L$41&lt;&gt;"Evet",Topraklar!$K$41&lt;&gt;Bitkiler!$C$45)),0,MAX(0,1-(Ayarlar!$B$2*ABS(Bitkiler!$D$45-Topraklar!$D$41)+Ayarlar!$B$3*ABS(Bitkiler!$E$45-Topraklar!$E$41)+Ayarlar!$B$4*ABS(Bitkiler!$F$45-Topraklar!$F$41)+Ayarlar!$B$5*ABS(Bitkiler!$G$45-Topraklar!$G$41)+Ayarlar!$B$6*IF(Bitkiler!$H$45=Topraklar!$H$41,0,1))/Ayarlar!$B$7)+IF(Topraklar!$K$41=Bitkiler!$C$45,0.002,IF(Topraklar!$L$41="Evet",0.001,0)))</f>
        <v/>
      </c>
      <c r="AP46" s="16">
        <f>IF(OR(Topraklar!$J$42="Evet",AND(Topraklar!$L$42&lt;&gt;"Evet",Topraklar!$K$42&lt;&gt;Bitkiler!$C$45)),0,MAX(0,1-(Ayarlar!$B$2*ABS(Bitkiler!$D$45-Topraklar!$D$42)+Ayarlar!$B$3*ABS(Bitkiler!$E$45-Topraklar!$E$42)+Ayarlar!$B$4*ABS(Bitkiler!$F$45-Topraklar!$F$42)+Ayarlar!$B$5*ABS(Bitkiler!$G$45-Topraklar!$G$42)+Ayarlar!$B$6*IF(Bitkiler!$H$45=Topraklar!$H$42,0,1))/Ayarlar!$B$7)+IF(Topraklar!$K$42=Bitkiler!$C$45,0.002,IF(Topraklar!$L$42="Evet",0.001,0)))</f>
        <v/>
      </c>
      <c r="AQ46" s="16">
        <f>IF(OR(Topraklar!$J$43="Evet",AND(Topraklar!$L$43&lt;&gt;"Evet",Topraklar!$K$43&lt;&gt;Bitkiler!$C$45)),0,MAX(0,1-(Ayarlar!$B$2*ABS(Bitkiler!$D$45-Topraklar!$D$43)+Ayarlar!$B$3*ABS(Bitkiler!$E$45-Topraklar!$E$43)+Ayarlar!$B$4*ABS(Bitkiler!$F$45-Topraklar!$F$43)+Ayarlar!$B$5*ABS(Bitkiler!$G$45-Topraklar!$G$43)+Ayarlar!$B$6*IF(Bitkiler!$H$45=Topraklar!$H$43,0,1))/Ayarlar!$B$7)+IF(Topraklar!$K$43=Bitkiler!$C$45,0.002,IF(Topraklar!$L$43="Evet",0.001,0)))</f>
        <v/>
      </c>
      <c r="AR46" s="16">
        <f>IF(OR(Topraklar!$J$44="Evet",AND(Topraklar!$L$44&lt;&gt;"Evet",Topraklar!$K$44&lt;&gt;Bitkiler!$C$45)),0,MAX(0,1-(Ayarlar!$B$2*ABS(Bitkiler!$D$45-Topraklar!$D$44)+Ayarlar!$B$3*ABS(Bitkiler!$E$45-Topraklar!$E$44)+Ayarlar!$B$4*ABS(Bitkiler!$F$45-Topraklar!$F$44)+Ayarlar!$B$5*ABS(Bitkiler!$G$45-Topraklar!$G$44)+Ayarlar!$B$6*IF(Bitkiler!$H$45=Topraklar!$H$44,0,1))/Ayarlar!$B$7)+IF(Topraklar!$K$44=Bitkiler!$C$45,0.002,IF(Topraklar!$L$44="Evet",0.001,0)))</f>
        <v/>
      </c>
      <c r="AS46" s="16">
        <f>IF(OR(Topraklar!$J$45="Evet",AND(Topraklar!$L$45&lt;&gt;"Evet",Topraklar!$K$45&lt;&gt;Bitkiler!$C$45)),0,MAX(0,1-(Ayarlar!$B$2*ABS(Bitkiler!$D$45-Topraklar!$D$45)+Ayarlar!$B$3*ABS(Bitkiler!$E$45-Topraklar!$E$45)+Ayarlar!$B$4*ABS(Bitkiler!$F$45-Topraklar!$F$45)+Ayarlar!$B$5*ABS(Bitkiler!$G$45-Topraklar!$G$45)+Ayarlar!$B$6*IF(Bitkiler!$H$45=Topraklar!$H$45,0,1))/Ayarlar!$B$7)+IF(Topraklar!$K$45=Bitkiler!$C$45,0.002,IF(Topraklar!$L$45="Evet",0.001,0)))</f>
        <v/>
      </c>
      <c r="AT46" s="16">
        <f>IF(OR(Topraklar!$J$46="Evet",AND(Topraklar!$L$46&lt;&gt;"Evet",Topraklar!$K$46&lt;&gt;Bitkiler!$C$45)),0,MAX(0,1-(Ayarlar!$B$2*ABS(Bitkiler!$D$45-Topraklar!$D$46)+Ayarlar!$B$3*ABS(Bitkiler!$E$45-Topraklar!$E$46)+Ayarlar!$B$4*ABS(Bitkiler!$F$45-Topraklar!$F$46)+Ayarlar!$B$5*ABS(Bitkiler!$G$45-Topraklar!$G$46)+Ayarlar!$B$6*IF(Bitkiler!$H$45=Topraklar!$H$46,0,1))/Ayarlar!$B$7)+IF(Topraklar!$K$46=Bitkiler!$C$45,0.002,IF(Topraklar!$L$46="Evet",0.001,0)))</f>
        <v/>
      </c>
      <c r="AU46" s="16">
        <f>IF(OR(Topraklar!$J$47="Evet",AND(Topraklar!$L$47&lt;&gt;"Evet",Topraklar!$K$47&lt;&gt;Bitkiler!$C$45)),0,MAX(0,1-(Ayarlar!$B$2*ABS(Bitkiler!$D$45-Topraklar!$D$47)+Ayarlar!$B$3*ABS(Bitkiler!$E$45-Topraklar!$E$47)+Ayarlar!$B$4*ABS(Bitkiler!$F$45-Topraklar!$F$47)+Ayarlar!$B$5*ABS(Bitkiler!$G$45-Topraklar!$G$47)+Ayarlar!$B$6*IF(Bitkiler!$H$45=Topraklar!$H$47,0,1))/Ayarlar!$B$7)+IF(Topraklar!$K$47=Bitkiler!$C$45,0.002,IF(Topraklar!$L$47="Evet",0.001,0)))</f>
        <v/>
      </c>
      <c r="AV46" s="16">
        <f>IF(OR(Topraklar!$J$48="Evet",AND(Topraklar!$L$48&lt;&gt;"Evet",Topraklar!$K$48&lt;&gt;Bitkiler!$C$45)),0,MAX(0,1-(Ayarlar!$B$2*ABS(Bitkiler!$D$45-Topraklar!$D$48)+Ayarlar!$B$3*ABS(Bitkiler!$E$45-Topraklar!$E$48)+Ayarlar!$B$4*ABS(Bitkiler!$F$45-Topraklar!$F$48)+Ayarlar!$B$5*ABS(Bitkiler!$G$45-Topraklar!$G$48)+Ayarlar!$B$6*IF(Bitkiler!$H$45=Topraklar!$H$48,0,1))/Ayarlar!$B$7)+IF(Topraklar!$K$48=Bitkiler!$C$45,0.002,IF(Topraklar!$L$48="Evet",0.001,0)))</f>
        <v/>
      </c>
      <c r="AW46" s="16">
        <f>IF(OR(Topraklar!$J$49="Evet",AND(Topraklar!$L$49&lt;&gt;"Evet",Topraklar!$K$49&lt;&gt;Bitkiler!$C$45)),0,MAX(0,1-(Ayarlar!$B$2*ABS(Bitkiler!$D$45-Topraklar!$D$49)+Ayarlar!$B$3*ABS(Bitkiler!$E$45-Topraklar!$E$49)+Ayarlar!$B$4*ABS(Bitkiler!$F$45-Topraklar!$F$49)+Ayarlar!$B$5*ABS(Bitkiler!$G$45-Topraklar!$G$49)+Ayarlar!$B$6*IF(Bitkiler!$H$45=Topraklar!$H$49,0,1))/Ayarlar!$B$7)+IF(Topraklar!$K$49=Bitkiler!$C$45,0.002,IF(Topraklar!$L$49="Evet",0.001,0)))</f>
        <v/>
      </c>
      <c r="AX46" s="16">
        <f>IF(OR(Topraklar!$J$50="Evet",AND(Topraklar!$L$50&lt;&gt;"Evet",Topraklar!$K$50&lt;&gt;Bitkiler!$C$45)),0,MAX(0,1-(Ayarlar!$B$2*ABS(Bitkiler!$D$45-Topraklar!$D$50)+Ayarlar!$B$3*ABS(Bitkiler!$E$45-Topraklar!$E$50)+Ayarlar!$B$4*ABS(Bitkiler!$F$45-Topraklar!$F$50)+Ayarlar!$B$5*ABS(Bitkiler!$G$45-Topraklar!$G$50)+Ayarlar!$B$6*IF(Bitkiler!$H$45=Topraklar!$H$50,0,1))/Ayarlar!$B$7)+IF(Topraklar!$K$50=Bitkiler!$C$45,0.002,IF(Topraklar!$L$50="Evet",0.001,0)))</f>
        <v/>
      </c>
      <c r="AY46" s="16">
        <f>IF(OR(Topraklar!$J$51="Evet",AND(Topraklar!$L$51&lt;&gt;"Evet",Topraklar!$K$51&lt;&gt;Bitkiler!$C$45)),0,MAX(0,1-(Ayarlar!$B$2*ABS(Bitkiler!$D$45-Topraklar!$D$51)+Ayarlar!$B$3*ABS(Bitkiler!$E$45-Topraklar!$E$51)+Ayarlar!$B$4*ABS(Bitkiler!$F$45-Topraklar!$F$51)+Ayarlar!$B$5*ABS(Bitkiler!$G$45-Topraklar!$G$51)+Ayarlar!$B$6*IF(Bitkiler!$H$45=Topraklar!$H$51,0,1))/Ayarlar!$B$7)+IF(Topraklar!$K$51=Bitkiler!$C$45,0.002,IF(Topraklar!$L$51="Evet",0.001,0)))</f>
        <v/>
      </c>
    </row>
    <row r="47">
      <c r="A47" s="15">
        <f>Bitkiler!A46</f>
        <v/>
      </c>
      <c r="B47" s="16">
        <f>IF(OR(Topraklar!$J$2="Evet",AND(Topraklar!$L$2&lt;&gt;"Evet",Topraklar!$K$2&lt;&gt;Bitkiler!$C$46)),0,MAX(0,1-(Ayarlar!$B$2*ABS(Bitkiler!$D$46-Topraklar!$D$2)+Ayarlar!$B$3*ABS(Bitkiler!$E$46-Topraklar!$E$2)+Ayarlar!$B$4*ABS(Bitkiler!$F$46-Topraklar!$F$2)+Ayarlar!$B$5*ABS(Bitkiler!$G$46-Topraklar!$G$2)+Ayarlar!$B$6*IF(Bitkiler!$H$46=Topraklar!$H$2,0,1))/Ayarlar!$B$7)+IF(Topraklar!$K$2=Bitkiler!$C$46,0.002,IF(Topraklar!$L$2="Evet",0.001,0)))</f>
        <v/>
      </c>
      <c r="C47" s="16">
        <f>IF(OR(Topraklar!$J$3="Evet",AND(Topraklar!$L$3&lt;&gt;"Evet",Topraklar!$K$3&lt;&gt;Bitkiler!$C$46)),0,MAX(0,1-(Ayarlar!$B$2*ABS(Bitkiler!$D$46-Topraklar!$D$3)+Ayarlar!$B$3*ABS(Bitkiler!$E$46-Topraklar!$E$3)+Ayarlar!$B$4*ABS(Bitkiler!$F$46-Topraklar!$F$3)+Ayarlar!$B$5*ABS(Bitkiler!$G$46-Topraklar!$G$3)+Ayarlar!$B$6*IF(Bitkiler!$H$46=Topraklar!$H$3,0,1))/Ayarlar!$B$7)+IF(Topraklar!$K$3=Bitkiler!$C$46,0.002,IF(Topraklar!$L$3="Evet",0.001,0)))</f>
        <v/>
      </c>
      <c r="D47" s="16">
        <f>IF(OR(Topraklar!$J$4="Evet",AND(Topraklar!$L$4&lt;&gt;"Evet",Topraklar!$K$4&lt;&gt;Bitkiler!$C$46)),0,MAX(0,1-(Ayarlar!$B$2*ABS(Bitkiler!$D$46-Topraklar!$D$4)+Ayarlar!$B$3*ABS(Bitkiler!$E$46-Topraklar!$E$4)+Ayarlar!$B$4*ABS(Bitkiler!$F$46-Topraklar!$F$4)+Ayarlar!$B$5*ABS(Bitkiler!$G$46-Topraklar!$G$4)+Ayarlar!$B$6*IF(Bitkiler!$H$46=Topraklar!$H$4,0,1))/Ayarlar!$B$7)+IF(Topraklar!$K$4=Bitkiler!$C$46,0.002,IF(Topraklar!$L$4="Evet",0.001,0)))</f>
        <v/>
      </c>
      <c r="E47" s="16">
        <f>IF(OR(Topraklar!$J$5="Evet",AND(Topraklar!$L$5&lt;&gt;"Evet",Topraklar!$K$5&lt;&gt;Bitkiler!$C$46)),0,MAX(0,1-(Ayarlar!$B$2*ABS(Bitkiler!$D$46-Topraklar!$D$5)+Ayarlar!$B$3*ABS(Bitkiler!$E$46-Topraklar!$E$5)+Ayarlar!$B$4*ABS(Bitkiler!$F$46-Topraklar!$F$5)+Ayarlar!$B$5*ABS(Bitkiler!$G$46-Topraklar!$G$5)+Ayarlar!$B$6*IF(Bitkiler!$H$46=Topraklar!$H$5,0,1))/Ayarlar!$B$7)+IF(Topraklar!$K$5=Bitkiler!$C$46,0.002,IF(Topraklar!$L$5="Evet",0.001,0)))</f>
        <v/>
      </c>
      <c r="F47" s="16">
        <f>IF(OR(Topraklar!$J$6="Evet",AND(Topraklar!$L$6&lt;&gt;"Evet",Topraklar!$K$6&lt;&gt;Bitkiler!$C$46)),0,MAX(0,1-(Ayarlar!$B$2*ABS(Bitkiler!$D$46-Topraklar!$D$6)+Ayarlar!$B$3*ABS(Bitkiler!$E$46-Topraklar!$E$6)+Ayarlar!$B$4*ABS(Bitkiler!$F$46-Topraklar!$F$6)+Ayarlar!$B$5*ABS(Bitkiler!$G$46-Topraklar!$G$6)+Ayarlar!$B$6*IF(Bitkiler!$H$46=Topraklar!$H$6,0,1))/Ayarlar!$B$7)+IF(Topraklar!$K$6=Bitkiler!$C$46,0.002,IF(Topraklar!$L$6="Evet",0.001,0)))</f>
        <v/>
      </c>
      <c r="G47" s="16">
        <f>IF(OR(Topraklar!$J$7="Evet",AND(Topraklar!$L$7&lt;&gt;"Evet",Topraklar!$K$7&lt;&gt;Bitkiler!$C$46)),0,MAX(0,1-(Ayarlar!$B$2*ABS(Bitkiler!$D$46-Topraklar!$D$7)+Ayarlar!$B$3*ABS(Bitkiler!$E$46-Topraklar!$E$7)+Ayarlar!$B$4*ABS(Bitkiler!$F$46-Topraklar!$F$7)+Ayarlar!$B$5*ABS(Bitkiler!$G$46-Topraklar!$G$7)+Ayarlar!$B$6*IF(Bitkiler!$H$46=Topraklar!$H$7,0,1))/Ayarlar!$B$7)+IF(Topraklar!$K$7=Bitkiler!$C$46,0.002,IF(Topraklar!$L$7="Evet",0.001,0)))</f>
        <v/>
      </c>
      <c r="H47" s="16">
        <f>IF(OR(Topraklar!$J$8="Evet",AND(Topraklar!$L$8&lt;&gt;"Evet",Topraklar!$K$8&lt;&gt;Bitkiler!$C$46)),0,MAX(0,1-(Ayarlar!$B$2*ABS(Bitkiler!$D$46-Topraklar!$D$8)+Ayarlar!$B$3*ABS(Bitkiler!$E$46-Topraklar!$E$8)+Ayarlar!$B$4*ABS(Bitkiler!$F$46-Topraklar!$F$8)+Ayarlar!$B$5*ABS(Bitkiler!$G$46-Topraklar!$G$8)+Ayarlar!$B$6*IF(Bitkiler!$H$46=Topraklar!$H$8,0,1))/Ayarlar!$B$7)+IF(Topraklar!$K$8=Bitkiler!$C$46,0.002,IF(Topraklar!$L$8="Evet",0.001,0)))</f>
        <v/>
      </c>
      <c r="I47" s="16">
        <f>IF(OR(Topraklar!$J$9="Evet",AND(Topraklar!$L$9&lt;&gt;"Evet",Topraklar!$K$9&lt;&gt;Bitkiler!$C$46)),0,MAX(0,1-(Ayarlar!$B$2*ABS(Bitkiler!$D$46-Topraklar!$D$9)+Ayarlar!$B$3*ABS(Bitkiler!$E$46-Topraklar!$E$9)+Ayarlar!$B$4*ABS(Bitkiler!$F$46-Topraklar!$F$9)+Ayarlar!$B$5*ABS(Bitkiler!$G$46-Topraklar!$G$9)+Ayarlar!$B$6*IF(Bitkiler!$H$46=Topraklar!$H$9,0,1))/Ayarlar!$B$7)+IF(Topraklar!$K$9=Bitkiler!$C$46,0.002,IF(Topraklar!$L$9="Evet",0.001,0)))</f>
        <v/>
      </c>
      <c r="J47" s="16">
        <f>IF(OR(Topraklar!$J$10="Evet",AND(Topraklar!$L$10&lt;&gt;"Evet",Topraklar!$K$10&lt;&gt;Bitkiler!$C$46)),0,MAX(0,1-(Ayarlar!$B$2*ABS(Bitkiler!$D$46-Topraklar!$D$10)+Ayarlar!$B$3*ABS(Bitkiler!$E$46-Topraklar!$E$10)+Ayarlar!$B$4*ABS(Bitkiler!$F$46-Topraklar!$F$10)+Ayarlar!$B$5*ABS(Bitkiler!$G$46-Topraklar!$G$10)+Ayarlar!$B$6*IF(Bitkiler!$H$46=Topraklar!$H$10,0,1))/Ayarlar!$B$7)+IF(Topraklar!$K$10=Bitkiler!$C$46,0.002,IF(Topraklar!$L$10="Evet",0.001,0)))</f>
        <v/>
      </c>
      <c r="K47" s="16">
        <f>IF(OR(Topraklar!$J$11="Evet",AND(Topraklar!$L$11&lt;&gt;"Evet",Topraklar!$K$11&lt;&gt;Bitkiler!$C$46)),0,MAX(0,1-(Ayarlar!$B$2*ABS(Bitkiler!$D$46-Topraklar!$D$11)+Ayarlar!$B$3*ABS(Bitkiler!$E$46-Topraklar!$E$11)+Ayarlar!$B$4*ABS(Bitkiler!$F$46-Topraklar!$F$11)+Ayarlar!$B$5*ABS(Bitkiler!$G$46-Topraklar!$G$11)+Ayarlar!$B$6*IF(Bitkiler!$H$46=Topraklar!$H$11,0,1))/Ayarlar!$B$7)+IF(Topraklar!$K$11=Bitkiler!$C$46,0.002,IF(Topraklar!$L$11="Evet",0.001,0)))</f>
        <v/>
      </c>
      <c r="L47" s="16">
        <f>IF(OR(Topraklar!$J$12="Evet",AND(Topraklar!$L$12&lt;&gt;"Evet",Topraklar!$K$12&lt;&gt;Bitkiler!$C$46)),0,MAX(0,1-(Ayarlar!$B$2*ABS(Bitkiler!$D$46-Topraklar!$D$12)+Ayarlar!$B$3*ABS(Bitkiler!$E$46-Topraklar!$E$12)+Ayarlar!$B$4*ABS(Bitkiler!$F$46-Topraklar!$F$12)+Ayarlar!$B$5*ABS(Bitkiler!$G$46-Topraklar!$G$12)+Ayarlar!$B$6*IF(Bitkiler!$H$46=Topraklar!$H$12,0,1))/Ayarlar!$B$7)+IF(Topraklar!$K$12=Bitkiler!$C$46,0.002,IF(Topraklar!$L$12="Evet",0.001,0)))</f>
        <v/>
      </c>
      <c r="M47" s="16">
        <f>IF(OR(Topraklar!$J$13="Evet",AND(Topraklar!$L$13&lt;&gt;"Evet",Topraklar!$K$13&lt;&gt;Bitkiler!$C$46)),0,MAX(0,1-(Ayarlar!$B$2*ABS(Bitkiler!$D$46-Topraklar!$D$13)+Ayarlar!$B$3*ABS(Bitkiler!$E$46-Topraklar!$E$13)+Ayarlar!$B$4*ABS(Bitkiler!$F$46-Topraklar!$F$13)+Ayarlar!$B$5*ABS(Bitkiler!$G$46-Topraklar!$G$13)+Ayarlar!$B$6*IF(Bitkiler!$H$46=Topraklar!$H$13,0,1))/Ayarlar!$B$7)+IF(Topraklar!$K$13=Bitkiler!$C$46,0.002,IF(Topraklar!$L$13="Evet",0.001,0)))</f>
        <v/>
      </c>
      <c r="N47" s="16">
        <f>IF(OR(Topraklar!$J$14="Evet",AND(Topraklar!$L$14&lt;&gt;"Evet",Topraklar!$K$14&lt;&gt;Bitkiler!$C$46)),0,MAX(0,1-(Ayarlar!$B$2*ABS(Bitkiler!$D$46-Topraklar!$D$14)+Ayarlar!$B$3*ABS(Bitkiler!$E$46-Topraklar!$E$14)+Ayarlar!$B$4*ABS(Bitkiler!$F$46-Topraklar!$F$14)+Ayarlar!$B$5*ABS(Bitkiler!$G$46-Topraklar!$G$14)+Ayarlar!$B$6*IF(Bitkiler!$H$46=Topraklar!$H$14,0,1))/Ayarlar!$B$7)+IF(Topraklar!$K$14=Bitkiler!$C$46,0.002,IF(Topraklar!$L$14="Evet",0.001,0)))</f>
        <v/>
      </c>
      <c r="O47" s="16">
        <f>IF(OR(Topraklar!$J$15="Evet",AND(Topraklar!$L$15&lt;&gt;"Evet",Topraklar!$K$15&lt;&gt;Bitkiler!$C$46)),0,MAX(0,1-(Ayarlar!$B$2*ABS(Bitkiler!$D$46-Topraklar!$D$15)+Ayarlar!$B$3*ABS(Bitkiler!$E$46-Topraklar!$E$15)+Ayarlar!$B$4*ABS(Bitkiler!$F$46-Topraklar!$F$15)+Ayarlar!$B$5*ABS(Bitkiler!$G$46-Topraklar!$G$15)+Ayarlar!$B$6*IF(Bitkiler!$H$46=Topraklar!$H$15,0,1))/Ayarlar!$B$7)+IF(Topraklar!$K$15=Bitkiler!$C$46,0.002,IF(Topraklar!$L$15="Evet",0.001,0)))</f>
        <v/>
      </c>
      <c r="P47" s="16">
        <f>IF(OR(Topraklar!$J$16="Evet",AND(Topraklar!$L$16&lt;&gt;"Evet",Topraklar!$K$16&lt;&gt;Bitkiler!$C$46)),0,MAX(0,1-(Ayarlar!$B$2*ABS(Bitkiler!$D$46-Topraklar!$D$16)+Ayarlar!$B$3*ABS(Bitkiler!$E$46-Topraklar!$E$16)+Ayarlar!$B$4*ABS(Bitkiler!$F$46-Topraklar!$F$16)+Ayarlar!$B$5*ABS(Bitkiler!$G$46-Topraklar!$G$16)+Ayarlar!$B$6*IF(Bitkiler!$H$46=Topraklar!$H$16,0,1))/Ayarlar!$B$7)+IF(Topraklar!$K$16=Bitkiler!$C$46,0.002,IF(Topraklar!$L$16="Evet",0.001,0)))</f>
        <v/>
      </c>
      <c r="Q47" s="16">
        <f>IF(OR(Topraklar!$J$17="Evet",AND(Topraklar!$L$17&lt;&gt;"Evet",Topraklar!$K$17&lt;&gt;Bitkiler!$C$46)),0,MAX(0,1-(Ayarlar!$B$2*ABS(Bitkiler!$D$46-Topraklar!$D$17)+Ayarlar!$B$3*ABS(Bitkiler!$E$46-Topraklar!$E$17)+Ayarlar!$B$4*ABS(Bitkiler!$F$46-Topraklar!$F$17)+Ayarlar!$B$5*ABS(Bitkiler!$G$46-Topraklar!$G$17)+Ayarlar!$B$6*IF(Bitkiler!$H$46=Topraklar!$H$17,0,1))/Ayarlar!$B$7)+IF(Topraklar!$K$17=Bitkiler!$C$46,0.002,IF(Topraklar!$L$17="Evet",0.001,0)))</f>
        <v/>
      </c>
      <c r="R47" s="16">
        <f>IF(OR(Topraklar!$J$18="Evet",AND(Topraklar!$L$18&lt;&gt;"Evet",Topraklar!$K$18&lt;&gt;Bitkiler!$C$46)),0,MAX(0,1-(Ayarlar!$B$2*ABS(Bitkiler!$D$46-Topraklar!$D$18)+Ayarlar!$B$3*ABS(Bitkiler!$E$46-Topraklar!$E$18)+Ayarlar!$B$4*ABS(Bitkiler!$F$46-Topraklar!$F$18)+Ayarlar!$B$5*ABS(Bitkiler!$G$46-Topraklar!$G$18)+Ayarlar!$B$6*IF(Bitkiler!$H$46=Topraklar!$H$18,0,1))/Ayarlar!$B$7)+IF(Topraklar!$K$18=Bitkiler!$C$46,0.002,IF(Topraklar!$L$18="Evet",0.001,0)))</f>
        <v/>
      </c>
      <c r="S47" s="16">
        <f>IF(OR(Topraklar!$J$19="Evet",AND(Topraklar!$L$19&lt;&gt;"Evet",Topraklar!$K$19&lt;&gt;Bitkiler!$C$46)),0,MAX(0,1-(Ayarlar!$B$2*ABS(Bitkiler!$D$46-Topraklar!$D$19)+Ayarlar!$B$3*ABS(Bitkiler!$E$46-Topraklar!$E$19)+Ayarlar!$B$4*ABS(Bitkiler!$F$46-Topraklar!$F$19)+Ayarlar!$B$5*ABS(Bitkiler!$G$46-Topraklar!$G$19)+Ayarlar!$B$6*IF(Bitkiler!$H$46=Topraklar!$H$19,0,1))/Ayarlar!$B$7)+IF(Topraklar!$K$19=Bitkiler!$C$46,0.002,IF(Topraklar!$L$19="Evet",0.001,0)))</f>
        <v/>
      </c>
      <c r="T47" s="16">
        <f>IF(OR(Topraklar!$J$20="Evet",AND(Topraklar!$L$20&lt;&gt;"Evet",Topraklar!$K$20&lt;&gt;Bitkiler!$C$46)),0,MAX(0,1-(Ayarlar!$B$2*ABS(Bitkiler!$D$46-Topraklar!$D$20)+Ayarlar!$B$3*ABS(Bitkiler!$E$46-Topraklar!$E$20)+Ayarlar!$B$4*ABS(Bitkiler!$F$46-Topraklar!$F$20)+Ayarlar!$B$5*ABS(Bitkiler!$G$46-Topraklar!$G$20)+Ayarlar!$B$6*IF(Bitkiler!$H$46=Topraklar!$H$20,0,1))/Ayarlar!$B$7)+IF(Topraklar!$K$20=Bitkiler!$C$46,0.002,IF(Topraklar!$L$20="Evet",0.001,0)))</f>
        <v/>
      </c>
      <c r="U47" s="16">
        <f>IF(OR(Topraklar!$J$21="Evet",AND(Topraklar!$L$21&lt;&gt;"Evet",Topraklar!$K$21&lt;&gt;Bitkiler!$C$46)),0,MAX(0,1-(Ayarlar!$B$2*ABS(Bitkiler!$D$46-Topraklar!$D$21)+Ayarlar!$B$3*ABS(Bitkiler!$E$46-Topraklar!$E$21)+Ayarlar!$B$4*ABS(Bitkiler!$F$46-Topraklar!$F$21)+Ayarlar!$B$5*ABS(Bitkiler!$G$46-Topraklar!$G$21)+Ayarlar!$B$6*IF(Bitkiler!$H$46=Topraklar!$H$21,0,1))/Ayarlar!$B$7)+IF(Topraklar!$K$21=Bitkiler!$C$46,0.002,IF(Topraklar!$L$21="Evet",0.001,0)))</f>
        <v/>
      </c>
      <c r="V47" s="16">
        <f>IF(OR(Topraklar!$J$22="Evet",AND(Topraklar!$L$22&lt;&gt;"Evet",Topraklar!$K$22&lt;&gt;Bitkiler!$C$46)),0,MAX(0,1-(Ayarlar!$B$2*ABS(Bitkiler!$D$46-Topraklar!$D$22)+Ayarlar!$B$3*ABS(Bitkiler!$E$46-Topraklar!$E$22)+Ayarlar!$B$4*ABS(Bitkiler!$F$46-Topraklar!$F$22)+Ayarlar!$B$5*ABS(Bitkiler!$G$46-Topraklar!$G$22)+Ayarlar!$B$6*IF(Bitkiler!$H$46=Topraklar!$H$22,0,1))/Ayarlar!$B$7)+IF(Topraklar!$K$22=Bitkiler!$C$46,0.002,IF(Topraklar!$L$22="Evet",0.001,0)))</f>
        <v/>
      </c>
      <c r="W47" s="16">
        <f>IF(OR(Topraklar!$J$23="Evet",AND(Topraklar!$L$23&lt;&gt;"Evet",Topraklar!$K$23&lt;&gt;Bitkiler!$C$46)),0,MAX(0,1-(Ayarlar!$B$2*ABS(Bitkiler!$D$46-Topraklar!$D$23)+Ayarlar!$B$3*ABS(Bitkiler!$E$46-Topraklar!$E$23)+Ayarlar!$B$4*ABS(Bitkiler!$F$46-Topraklar!$F$23)+Ayarlar!$B$5*ABS(Bitkiler!$G$46-Topraklar!$G$23)+Ayarlar!$B$6*IF(Bitkiler!$H$46=Topraklar!$H$23,0,1))/Ayarlar!$B$7)+IF(Topraklar!$K$23=Bitkiler!$C$46,0.002,IF(Topraklar!$L$23="Evet",0.001,0)))</f>
        <v/>
      </c>
      <c r="X47" s="16">
        <f>IF(OR(Topraklar!$J$24="Evet",AND(Topraklar!$L$24&lt;&gt;"Evet",Topraklar!$K$24&lt;&gt;Bitkiler!$C$46)),0,MAX(0,1-(Ayarlar!$B$2*ABS(Bitkiler!$D$46-Topraklar!$D$24)+Ayarlar!$B$3*ABS(Bitkiler!$E$46-Topraklar!$E$24)+Ayarlar!$B$4*ABS(Bitkiler!$F$46-Topraklar!$F$24)+Ayarlar!$B$5*ABS(Bitkiler!$G$46-Topraklar!$G$24)+Ayarlar!$B$6*IF(Bitkiler!$H$46=Topraklar!$H$24,0,1))/Ayarlar!$B$7)+IF(Topraklar!$K$24=Bitkiler!$C$46,0.002,IF(Topraklar!$L$24="Evet",0.001,0)))</f>
        <v/>
      </c>
      <c r="Y47" s="16">
        <f>IF(OR(Topraklar!$J$25="Evet",AND(Topraklar!$L$25&lt;&gt;"Evet",Topraklar!$K$25&lt;&gt;Bitkiler!$C$46)),0,MAX(0,1-(Ayarlar!$B$2*ABS(Bitkiler!$D$46-Topraklar!$D$25)+Ayarlar!$B$3*ABS(Bitkiler!$E$46-Topraklar!$E$25)+Ayarlar!$B$4*ABS(Bitkiler!$F$46-Topraklar!$F$25)+Ayarlar!$B$5*ABS(Bitkiler!$G$46-Topraklar!$G$25)+Ayarlar!$B$6*IF(Bitkiler!$H$46=Topraklar!$H$25,0,1))/Ayarlar!$B$7)+IF(Topraklar!$K$25=Bitkiler!$C$46,0.002,IF(Topraklar!$L$25="Evet",0.001,0)))</f>
        <v/>
      </c>
      <c r="Z47" s="16">
        <f>IF(OR(Topraklar!$J$26="Evet",AND(Topraklar!$L$26&lt;&gt;"Evet",Topraklar!$K$26&lt;&gt;Bitkiler!$C$46)),0,MAX(0,1-(Ayarlar!$B$2*ABS(Bitkiler!$D$46-Topraklar!$D$26)+Ayarlar!$B$3*ABS(Bitkiler!$E$46-Topraklar!$E$26)+Ayarlar!$B$4*ABS(Bitkiler!$F$46-Topraklar!$F$26)+Ayarlar!$B$5*ABS(Bitkiler!$G$46-Topraklar!$G$26)+Ayarlar!$B$6*IF(Bitkiler!$H$46=Topraklar!$H$26,0,1))/Ayarlar!$B$7)+IF(Topraklar!$K$26=Bitkiler!$C$46,0.002,IF(Topraklar!$L$26="Evet",0.001,0)))</f>
        <v/>
      </c>
      <c r="AA47" s="16">
        <f>IF(OR(Topraklar!$J$27="Evet",AND(Topraklar!$L$27&lt;&gt;"Evet",Topraklar!$K$27&lt;&gt;Bitkiler!$C$46)),0,MAX(0,1-(Ayarlar!$B$2*ABS(Bitkiler!$D$46-Topraklar!$D$27)+Ayarlar!$B$3*ABS(Bitkiler!$E$46-Topraklar!$E$27)+Ayarlar!$B$4*ABS(Bitkiler!$F$46-Topraklar!$F$27)+Ayarlar!$B$5*ABS(Bitkiler!$G$46-Topraklar!$G$27)+Ayarlar!$B$6*IF(Bitkiler!$H$46=Topraklar!$H$27,0,1))/Ayarlar!$B$7)+IF(Topraklar!$K$27=Bitkiler!$C$46,0.002,IF(Topraklar!$L$27="Evet",0.001,0)))</f>
        <v/>
      </c>
      <c r="AB47" s="16">
        <f>IF(OR(Topraklar!$J$28="Evet",AND(Topraklar!$L$28&lt;&gt;"Evet",Topraklar!$K$28&lt;&gt;Bitkiler!$C$46)),0,MAX(0,1-(Ayarlar!$B$2*ABS(Bitkiler!$D$46-Topraklar!$D$28)+Ayarlar!$B$3*ABS(Bitkiler!$E$46-Topraklar!$E$28)+Ayarlar!$B$4*ABS(Bitkiler!$F$46-Topraklar!$F$28)+Ayarlar!$B$5*ABS(Bitkiler!$G$46-Topraklar!$G$28)+Ayarlar!$B$6*IF(Bitkiler!$H$46=Topraklar!$H$28,0,1))/Ayarlar!$B$7)+IF(Topraklar!$K$28=Bitkiler!$C$46,0.002,IF(Topraklar!$L$28="Evet",0.001,0)))</f>
        <v/>
      </c>
      <c r="AC47" s="16">
        <f>IF(OR(Topraklar!$J$29="Evet",AND(Topraklar!$L$29&lt;&gt;"Evet",Topraklar!$K$29&lt;&gt;Bitkiler!$C$46)),0,MAX(0,1-(Ayarlar!$B$2*ABS(Bitkiler!$D$46-Topraklar!$D$29)+Ayarlar!$B$3*ABS(Bitkiler!$E$46-Topraklar!$E$29)+Ayarlar!$B$4*ABS(Bitkiler!$F$46-Topraklar!$F$29)+Ayarlar!$B$5*ABS(Bitkiler!$G$46-Topraklar!$G$29)+Ayarlar!$B$6*IF(Bitkiler!$H$46=Topraklar!$H$29,0,1))/Ayarlar!$B$7)+IF(Topraklar!$K$29=Bitkiler!$C$46,0.002,IF(Topraklar!$L$29="Evet",0.001,0)))</f>
        <v/>
      </c>
      <c r="AD47" s="16">
        <f>IF(OR(Topraklar!$J$30="Evet",AND(Topraklar!$L$30&lt;&gt;"Evet",Topraklar!$K$30&lt;&gt;Bitkiler!$C$46)),0,MAX(0,1-(Ayarlar!$B$2*ABS(Bitkiler!$D$46-Topraklar!$D$30)+Ayarlar!$B$3*ABS(Bitkiler!$E$46-Topraklar!$E$30)+Ayarlar!$B$4*ABS(Bitkiler!$F$46-Topraklar!$F$30)+Ayarlar!$B$5*ABS(Bitkiler!$G$46-Topraklar!$G$30)+Ayarlar!$B$6*IF(Bitkiler!$H$46=Topraklar!$H$30,0,1))/Ayarlar!$B$7)+IF(Topraklar!$K$30=Bitkiler!$C$46,0.002,IF(Topraklar!$L$30="Evet",0.001,0)))</f>
        <v/>
      </c>
      <c r="AE47" s="16">
        <f>IF(OR(Topraklar!$J$31="Evet",AND(Topraklar!$L$31&lt;&gt;"Evet",Topraklar!$K$31&lt;&gt;Bitkiler!$C$46)),0,MAX(0,1-(Ayarlar!$B$2*ABS(Bitkiler!$D$46-Topraklar!$D$31)+Ayarlar!$B$3*ABS(Bitkiler!$E$46-Topraklar!$E$31)+Ayarlar!$B$4*ABS(Bitkiler!$F$46-Topraklar!$F$31)+Ayarlar!$B$5*ABS(Bitkiler!$G$46-Topraklar!$G$31)+Ayarlar!$B$6*IF(Bitkiler!$H$46=Topraklar!$H$31,0,1))/Ayarlar!$B$7)+IF(Topraklar!$K$31=Bitkiler!$C$46,0.002,IF(Topraklar!$L$31="Evet",0.001,0)))</f>
        <v/>
      </c>
      <c r="AF47" s="16">
        <f>IF(OR(Topraklar!$J$32="Evet",AND(Topraklar!$L$32&lt;&gt;"Evet",Topraklar!$K$32&lt;&gt;Bitkiler!$C$46)),0,MAX(0,1-(Ayarlar!$B$2*ABS(Bitkiler!$D$46-Topraklar!$D$32)+Ayarlar!$B$3*ABS(Bitkiler!$E$46-Topraklar!$E$32)+Ayarlar!$B$4*ABS(Bitkiler!$F$46-Topraklar!$F$32)+Ayarlar!$B$5*ABS(Bitkiler!$G$46-Topraklar!$G$32)+Ayarlar!$B$6*IF(Bitkiler!$H$46=Topraklar!$H$32,0,1))/Ayarlar!$B$7)+IF(Topraklar!$K$32=Bitkiler!$C$46,0.002,IF(Topraklar!$L$32="Evet",0.001,0)))</f>
        <v/>
      </c>
      <c r="AG47" s="16">
        <f>IF(OR(Topraklar!$J$33="Evet",AND(Topraklar!$L$33&lt;&gt;"Evet",Topraklar!$K$33&lt;&gt;Bitkiler!$C$46)),0,MAX(0,1-(Ayarlar!$B$2*ABS(Bitkiler!$D$46-Topraklar!$D$33)+Ayarlar!$B$3*ABS(Bitkiler!$E$46-Topraklar!$E$33)+Ayarlar!$B$4*ABS(Bitkiler!$F$46-Topraklar!$F$33)+Ayarlar!$B$5*ABS(Bitkiler!$G$46-Topraklar!$G$33)+Ayarlar!$B$6*IF(Bitkiler!$H$46=Topraklar!$H$33,0,1))/Ayarlar!$B$7)+IF(Topraklar!$K$33=Bitkiler!$C$46,0.002,IF(Topraklar!$L$33="Evet",0.001,0)))</f>
        <v/>
      </c>
      <c r="AH47" s="16">
        <f>IF(OR(Topraklar!$J$34="Evet",AND(Topraklar!$L$34&lt;&gt;"Evet",Topraklar!$K$34&lt;&gt;Bitkiler!$C$46)),0,MAX(0,1-(Ayarlar!$B$2*ABS(Bitkiler!$D$46-Topraklar!$D$34)+Ayarlar!$B$3*ABS(Bitkiler!$E$46-Topraklar!$E$34)+Ayarlar!$B$4*ABS(Bitkiler!$F$46-Topraklar!$F$34)+Ayarlar!$B$5*ABS(Bitkiler!$G$46-Topraklar!$G$34)+Ayarlar!$B$6*IF(Bitkiler!$H$46=Topraklar!$H$34,0,1))/Ayarlar!$B$7)+IF(Topraklar!$K$34=Bitkiler!$C$46,0.002,IF(Topraklar!$L$34="Evet",0.001,0)))</f>
        <v/>
      </c>
      <c r="AI47" s="16">
        <f>IF(OR(Topraklar!$J$35="Evet",AND(Topraklar!$L$35&lt;&gt;"Evet",Topraklar!$K$35&lt;&gt;Bitkiler!$C$46)),0,MAX(0,1-(Ayarlar!$B$2*ABS(Bitkiler!$D$46-Topraklar!$D$35)+Ayarlar!$B$3*ABS(Bitkiler!$E$46-Topraklar!$E$35)+Ayarlar!$B$4*ABS(Bitkiler!$F$46-Topraklar!$F$35)+Ayarlar!$B$5*ABS(Bitkiler!$G$46-Topraklar!$G$35)+Ayarlar!$B$6*IF(Bitkiler!$H$46=Topraklar!$H$35,0,1))/Ayarlar!$B$7)+IF(Topraklar!$K$35=Bitkiler!$C$46,0.002,IF(Topraklar!$L$35="Evet",0.001,0)))</f>
        <v/>
      </c>
      <c r="AJ47" s="16">
        <f>IF(OR(Topraklar!$J$36="Evet",AND(Topraklar!$L$36&lt;&gt;"Evet",Topraklar!$K$36&lt;&gt;Bitkiler!$C$46)),0,MAX(0,1-(Ayarlar!$B$2*ABS(Bitkiler!$D$46-Topraklar!$D$36)+Ayarlar!$B$3*ABS(Bitkiler!$E$46-Topraklar!$E$36)+Ayarlar!$B$4*ABS(Bitkiler!$F$46-Topraklar!$F$36)+Ayarlar!$B$5*ABS(Bitkiler!$G$46-Topraklar!$G$36)+Ayarlar!$B$6*IF(Bitkiler!$H$46=Topraklar!$H$36,0,1))/Ayarlar!$B$7)+IF(Topraklar!$K$36=Bitkiler!$C$46,0.002,IF(Topraklar!$L$36="Evet",0.001,0)))</f>
        <v/>
      </c>
      <c r="AK47" s="16">
        <f>IF(OR(Topraklar!$J$37="Evet",AND(Topraklar!$L$37&lt;&gt;"Evet",Topraklar!$K$37&lt;&gt;Bitkiler!$C$46)),0,MAX(0,1-(Ayarlar!$B$2*ABS(Bitkiler!$D$46-Topraklar!$D$37)+Ayarlar!$B$3*ABS(Bitkiler!$E$46-Topraklar!$E$37)+Ayarlar!$B$4*ABS(Bitkiler!$F$46-Topraklar!$F$37)+Ayarlar!$B$5*ABS(Bitkiler!$G$46-Topraklar!$G$37)+Ayarlar!$B$6*IF(Bitkiler!$H$46=Topraklar!$H$37,0,1))/Ayarlar!$B$7)+IF(Topraklar!$K$37=Bitkiler!$C$46,0.002,IF(Topraklar!$L$37="Evet",0.001,0)))</f>
        <v/>
      </c>
      <c r="AL47" s="16">
        <f>IF(OR(Topraklar!$J$38="Evet",AND(Topraklar!$L$38&lt;&gt;"Evet",Topraklar!$K$38&lt;&gt;Bitkiler!$C$46)),0,MAX(0,1-(Ayarlar!$B$2*ABS(Bitkiler!$D$46-Topraklar!$D$38)+Ayarlar!$B$3*ABS(Bitkiler!$E$46-Topraklar!$E$38)+Ayarlar!$B$4*ABS(Bitkiler!$F$46-Topraklar!$F$38)+Ayarlar!$B$5*ABS(Bitkiler!$G$46-Topraklar!$G$38)+Ayarlar!$B$6*IF(Bitkiler!$H$46=Topraklar!$H$38,0,1))/Ayarlar!$B$7)+IF(Topraklar!$K$38=Bitkiler!$C$46,0.002,IF(Topraklar!$L$38="Evet",0.001,0)))</f>
        <v/>
      </c>
      <c r="AM47" s="16">
        <f>IF(OR(Topraklar!$J$39="Evet",AND(Topraklar!$L$39&lt;&gt;"Evet",Topraklar!$K$39&lt;&gt;Bitkiler!$C$46)),0,MAX(0,1-(Ayarlar!$B$2*ABS(Bitkiler!$D$46-Topraklar!$D$39)+Ayarlar!$B$3*ABS(Bitkiler!$E$46-Topraklar!$E$39)+Ayarlar!$B$4*ABS(Bitkiler!$F$46-Topraklar!$F$39)+Ayarlar!$B$5*ABS(Bitkiler!$G$46-Topraklar!$G$39)+Ayarlar!$B$6*IF(Bitkiler!$H$46=Topraklar!$H$39,0,1))/Ayarlar!$B$7)+IF(Topraklar!$K$39=Bitkiler!$C$46,0.002,IF(Topraklar!$L$39="Evet",0.001,0)))</f>
        <v/>
      </c>
      <c r="AN47" s="16">
        <f>IF(OR(Topraklar!$J$40="Evet",AND(Topraklar!$L$40&lt;&gt;"Evet",Topraklar!$K$40&lt;&gt;Bitkiler!$C$46)),0,MAX(0,1-(Ayarlar!$B$2*ABS(Bitkiler!$D$46-Topraklar!$D$40)+Ayarlar!$B$3*ABS(Bitkiler!$E$46-Topraklar!$E$40)+Ayarlar!$B$4*ABS(Bitkiler!$F$46-Topraklar!$F$40)+Ayarlar!$B$5*ABS(Bitkiler!$G$46-Topraklar!$G$40)+Ayarlar!$B$6*IF(Bitkiler!$H$46=Topraklar!$H$40,0,1))/Ayarlar!$B$7)+IF(Topraklar!$K$40=Bitkiler!$C$46,0.002,IF(Topraklar!$L$40="Evet",0.001,0)))</f>
        <v/>
      </c>
      <c r="AO47" s="16">
        <f>IF(OR(Topraklar!$J$41="Evet",AND(Topraklar!$L$41&lt;&gt;"Evet",Topraklar!$K$41&lt;&gt;Bitkiler!$C$46)),0,MAX(0,1-(Ayarlar!$B$2*ABS(Bitkiler!$D$46-Topraklar!$D$41)+Ayarlar!$B$3*ABS(Bitkiler!$E$46-Topraklar!$E$41)+Ayarlar!$B$4*ABS(Bitkiler!$F$46-Topraklar!$F$41)+Ayarlar!$B$5*ABS(Bitkiler!$G$46-Topraklar!$G$41)+Ayarlar!$B$6*IF(Bitkiler!$H$46=Topraklar!$H$41,0,1))/Ayarlar!$B$7)+IF(Topraklar!$K$41=Bitkiler!$C$46,0.002,IF(Topraklar!$L$41="Evet",0.001,0)))</f>
        <v/>
      </c>
      <c r="AP47" s="16">
        <f>IF(OR(Topraklar!$J$42="Evet",AND(Topraklar!$L$42&lt;&gt;"Evet",Topraklar!$K$42&lt;&gt;Bitkiler!$C$46)),0,MAX(0,1-(Ayarlar!$B$2*ABS(Bitkiler!$D$46-Topraklar!$D$42)+Ayarlar!$B$3*ABS(Bitkiler!$E$46-Topraklar!$E$42)+Ayarlar!$B$4*ABS(Bitkiler!$F$46-Topraklar!$F$42)+Ayarlar!$B$5*ABS(Bitkiler!$G$46-Topraklar!$G$42)+Ayarlar!$B$6*IF(Bitkiler!$H$46=Topraklar!$H$42,0,1))/Ayarlar!$B$7)+IF(Topraklar!$K$42=Bitkiler!$C$46,0.002,IF(Topraklar!$L$42="Evet",0.001,0)))</f>
        <v/>
      </c>
      <c r="AQ47" s="16">
        <f>IF(OR(Topraklar!$J$43="Evet",AND(Topraklar!$L$43&lt;&gt;"Evet",Topraklar!$K$43&lt;&gt;Bitkiler!$C$46)),0,MAX(0,1-(Ayarlar!$B$2*ABS(Bitkiler!$D$46-Topraklar!$D$43)+Ayarlar!$B$3*ABS(Bitkiler!$E$46-Topraklar!$E$43)+Ayarlar!$B$4*ABS(Bitkiler!$F$46-Topraklar!$F$43)+Ayarlar!$B$5*ABS(Bitkiler!$G$46-Topraklar!$G$43)+Ayarlar!$B$6*IF(Bitkiler!$H$46=Topraklar!$H$43,0,1))/Ayarlar!$B$7)+IF(Topraklar!$K$43=Bitkiler!$C$46,0.002,IF(Topraklar!$L$43="Evet",0.001,0)))</f>
        <v/>
      </c>
      <c r="AR47" s="16">
        <f>IF(OR(Topraklar!$J$44="Evet",AND(Topraklar!$L$44&lt;&gt;"Evet",Topraklar!$K$44&lt;&gt;Bitkiler!$C$46)),0,MAX(0,1-(Ayarlar!$B$2*ABS(Bitkiler!$D$46-Topraklar!$D$44)+Ayarlar!$B$3*ABS(Bitkiler!$E$46-Topraklar!$E$44)+Ayarlar!$B$4*ABS(Bitkiler!$F$46-Topraklar!$F$44)+Ayarlar!$B$5*ABS(Bitkiler!$G$46-Topraklar!$G$44)+Ayarlar!$B$6*IF(Bitkiler!$H$46=Topraklar!$H$44,0,1))/Ayarlar!$B$7)+IF(Topraklar!$K$44=Bitkiler!$C$46,0.002,IF(Topraklar!$L$44="Evet",0.001,0)))</f>
        <v/>
      </c>
      <c r="AS47" s="16">
        <f>IF(OR(Topraklar!$J$45="Evet",AND(Topraklar!$L$45&lt;&gt;"Evet",Topraklar!$K$45&lt;&gt;Bitkiler!$C$46)),0,MAX(0,1-(Ayarlar!$B$2*ABS(Bitkiler!$D$46-Topraklar!$D$45)+Ayarlar!$B$3*ABS(Bitkiler!$E$46-Topraklar!$E$45)+Ayarlar!$B$4*ABS(Bitkiler!$F$46-Topraklar!$F$45)+Ayarlar!$B$5*ABS(Bitkiler!$G$46-Topraklar!$G$45)+Ayarlar!$B$6*IF(Bitkiler!$H$46=Topraklar!$H$45,0,1))/Ayarlar!$B$7)+IF(Topraklar!$K$45=Bitkiler!$C$46,0.002,IF(Topraklar!$L$45="Evet",0.001,0)))</f>
        <v/>
      </c>
      <c r="AT47" s="16">
        <f>IF(OR(Topraklar!$J$46="Evet",AND(Topraklar!$L$46&lt;&gt;"Evet",Topraklar!$K$46&lt;&gt;Bitkiler!$C$46)),0,MAX(0,1-(Ayarlar!$B$2*ABS(Bitkiler!$D$46-Topraklar!$D$46)+Ayarlar!$B$3*ABS(Bitkiler!$E$46-Topraklar!$E$46)+Ayarlar!$B$4*ABS(Bitkiler!$F$46-Topraklar!$F$46)+Ayarlar!$B$5*ABS(Bitkiler!$G$46-Topraklar!$G$46)+Ayarlar!$B$6*IF(Bitkiler!$H$46=Topraklar!$H$46,0,1))/Ayarlar!$B$7)+IF(Topraklar!$K$46=Bitkiler!$C$46,0.002,IF(Topraklar!$L$46="Evet",0.001,0)))</f>
        <v/>
      </c>
      <c r="AU47" s="16">
        <f>IF(OR(Topraklar!$J$47="Evet",AND(Topraklar!$L$47&lt;&gt;"Evet",Topraklar!$K$47&lt;&gt;Bitkiler!$C$46)),0,MAX(0,1-(Ayarlar!$B$2*ABS(Bitkiler!$D$46-Topraklar!$D$47)+Ayarlar!$B$3*ABS(Bitkiler!$E$46-Topraklar!$E$47)+Ayarlar!$B$4*ABS(Bitkiler!$F$46-Topraklar!$F$47)+Ayarlar!$B$5*ABS(Bitkiler!$G$46-Topraklar!$G$47)+Ayarlar!$B$6*IF(Bitkiler!$H$46=Topraklar!$H$47,0,1))/Ayarlar!$B$7)+IF(Topraklar!$K$47=Bitkiler!$C$46,0.002,IF(Topraklar!$L$47="Evet",0.001,0)))</f>
        <v/>
      </c>
      <c r="AV47" s="16">
        <f>IF(OR(Topraklar!$J$48="Evet",AND(Topraklar!$L$48&lt;&gt;"Evet",Topraklar!$K$48&lt;&gt;Bitkiler!$C$46)),0,MAX(0,1-(Ayarlar!$B$2*ABS(Bitkiler!$D$46-Topraklar!$D$48)+Ayarlar!$B$3*ABS(Bitkiler!$E$46-Topraklar!$E$48)+Ayarlar!$B$4*ABS(Bitkiler!$F$46-Topraklar!$F$48)+Ayarlar!$B$5*ABS(Bitkiler!$G$46-Topraklar!$G$48)+Ayarlar!$B$6*IF(Bitkiler!$H$46=Topraklar!$H$48,0,1))/Ayarlar!$B$7)+IF(Topraklar!$K$48=Bitkiler!$C$46,0.002,IF(Topraklar!$L$48="Evet",0.001,0)))</f>
        <v/>
      </c>
      <c r="AW47" s="16">
        <f>IF(OR(Topraklar!$J$49="Evet",AND(Topraklar!$L$49&lt;&gt;"Evet",Topraklar!$K$49&lt;&gt;Bitkiler!$C$46)),0,MAX(0,1-(Ayarlar!$B$2*ABS(Bitkiler!$D$46-Topraklar!$D$49)+Ayarlar!$B$3*ABS(Bitkiler!$E$46-Topraklar!$E$49)+Ayarlar!$B$4*ABS(Bitkiler!$F$46-Topraklar!$F$49)+Ayarlar!$B$5*ABS(Bitkiler!$G$46-Topraklar!$G$49)+Ayarlar!$B$6*IF(Bitkiler!$H$46=Topraklar!$H$49,0,1))/Ayarlar!$B$7)+IF(Topraklar!$K$49=Bitkiler!$C$46,0.002,IF(Topraklar!$L$49="Evet",0.001,0)))</f>
        <v/>
      </c>
      <c r="AX47" s="16">
        <f>IF(OR(Topraklar!$J$50="Evet",AND(Topraklar!$L$50&lt;&gt;"Evet",Topraklar!$K$50&lt;&gt;Bitkiler!$C$46)),0,MAX(0,1-(Ayarlar!$B$2*ABS(Bitkiler!$D$46-Topraklar!$D$50)+Ayarlar!$B$3*ABS(Bitkiler!$E$46-Topraklar!$E$50)+Ayarlar!$B$4*ABS(Bitkiler!$F$46-Topraklar!$F$50)+Ayarlar!$B$5*ABS(Bitkiler!$G$46-Topraklar!$G$50)+Ayarlar!$B$6*IF(Bitkiler!$H$46=Topraklar!$H$50,0,1))/Ayarlar!$B$7)+IF(Topraklar!$K$50=Bitkiler!$C$46,0.002,IF(Topraklar!$L$50="Evet",0.001,0)))</f>
        <v/>
      </c>
      <c r="AY47" s="16">
        <f>IF(OR(Topraklar!$J$51="Evet",AND(Topraklar!$L$51&lt;&gt;"Evet",Topraklar!$K$51&lt;&gt;Bitkiler!$C$46)),0,MAX(0,1-(Ayarlar!$B$2*ABS(Bitkiler!$D$46-Topraklar!$D$51)+Ayarlar!$B$3*ABS(Bitkiler!$E$46-Topraklar!$E$51)+Ayarlar!$B$4*ABS(Bitkiler!$F$46-Topraklar!$F$51)+Ayarlar!$B$5*ABS(Bitkiler!$G$46-Topraklar!$G$51)+Ayarlar!$B$6*IF(Bitkiler!$H$46=Topraklar!$H$51,0,1))/Ayarlar!$B$7)+IF(Topraklar!$K$51=Bitkiler!$C$46,0.002,IF(Topraklar!$L$51="Evet",0.001,0)))</f>
        <v/>
      </c>
    </row>
    <row r="48">
      <c r="A48" s="15">
        <f>Bitkiler!A47</f>
        <v/>
      </c>
      <c r="B48" s="16">
        <f>IF(OR(Topraklar!$J$2="Evet",AND(Topraklar!$L$2&lt;&gt;"Evet",Topraklar!$K$2&lt;&gt;Bitkiler!$C$47)),0,MAX(0,1-(Ayarlar!$B$2*ABS(Bitkiler!$D$47-Topraklar!$D$2)+Ayarlar!$B$3*ABS(Bitkiler!$E$47-Topraklar!$E$2)+Ayarlar!$B$4*ABS(Bitkiler!$F$47-Topraklar!$F$2)+Ayarlar!$B$5*ABS(Bitkiler!$G$47-Topraklar!$G$2)+Ayarlar!$B$6*IF(Bitkiler!$H$47=Topraklar!$H$2,0,1))/Ayarlar!$B$7)+IF(Topraklar!$K$2=Bitkiler!$C$47,0.002,IF(Topraklar!$L$2="Evet",0.001,0)))</f>
        <v/>
      </c>
      <c r="C48" s="16">
        <f>IF(OR(Topraklar!$J$3="Evet",AND(Topraklar!$L$3&lt;&gt;"Evet",Topraklar!$K$3&lt;&gt;Bitkiler!$C$47)),0,MAX(0,1-(Ayarlar!$B$2*ABS(Bitkiler!$D$47-Topraklar!$D$3)+Ayarlar!$B$3*ABS(Bitkiler!$E$47-Topraklar!$E$3)+Ayarlar!$B$4*ABS(Bitkiler!$F$47-Topraklar!$F$3)+Ayarlar!$B$5*ABS(Bitkiler!$G$47-Topraklar!$G$3)+Ayarlar!$B$6*IF(Bitkiler!$H$47=Topraklar!$H$3,0,1))/Ayarlar!$B$7)+IF(Topraklar!$K$3=Bitkiler!$C$47,0.002,IF(Topraklar!$L$3="Evet",0.001,0)))</f>
        <v/>
      </c>
      <c r="D48" s="16">
        <f>IF(OR(Topraklar!$J$4="Evet",AND(Topraklar!$L$4&lt;&gt;"Evet",Topraklar!$K$4&lt;&gt;Bitkiler!$C$47)),0,MAX(0,1-(Ayarlar!$B$2*ABS(Bitkiler!$D$47-Topraklar!$D$4)+Ayarlar!$B$3*ABS(Bitkiler!$E$47-Topraklar!$E$4)+Ayarlar!$B$4*ABS(Bitkiler!$F$47-Topraklar!$F$4)+Ayarlar!$B$5*ABS(Bitkiler!$G$47-Topraklar!$G$4)+Ayarlar!$B$6*IF(Bitkiler!$H$47=Topraklar!$H$4,0,1))/Ayarlar!$B$7)+IF(Topraklar!$K$4=Bitkiler!$C$47,0.002,IF(Topraklar!$L$4="Evet",0.001,0)))</f>
        <v/>
      </c>
      <c r="E48" s="16">
        <f>IF(OR(Topraklar!$J$5="Evet",AND(Topraklar!$L$5&lt;&gt;"Evet",Topraklar!$K$5&lt;&gt;Bitkiler!$C$47)),0,MAX(0,1-(Ayarlar!$B$2*ABS(Bitkiler!$D$47-Topraklar!$D$5)+Ayarlar!$B$3*ABS(Bitkiler!$E$47-Topraklar!$E$5)+Ayarlar!$B$4*ABS(Bitkiler!$F$47-Topraklar!$F$5)+Ayarlar!$B$5*ABS(Bitkiler!$G$47-Topraklar!$G$5)+Ayarlar!$B$6*IF(Bitkiler!$H$47=Topraklar!$H$5,0,1))/Ayarlar!$B$7)+IF(Topraklar!$K$5=Bitkiler!$C$47,0.002,IF(Topraklar!$L$5="Evet",0.001,0)))</f>
        <v/>
      </c>
      <c r="F48" s="16">
        <f>IF(OR(Topraklar!$J$6="Evet",AND(Topraklar!$L$6&lt;&gt;"Evet",Topraklar!$K$6&lt;&gt;Bitkiler!$C$47)),0,MAX(0,1-(Ayarlar!$B$2*ABS(Bitkiler!$D$47-Topraklar!$D$6)+Ayarlar!$B$3*ABS(Bitkiler!$E$47-Topraklar!$E$6)+Ayarlar!$B$4*ABS(Bitkiler!$F$47-Topraklar!$F$6)+Ayarlar!$B$5*ABS(Bitkiler!$G$47-Topraklar!$G$6)+Ayarlar!$B$6*IF(Bitkiler!$H$47=Topraklar!$H$6,0,1))/Ayarlar!$B$7)+IF(Topraklar!$K$6=Bitkiler!$C$47,0.002,IF(Topraklar!$L$6="Evet",0.001,0)))</f>
        <v/>
      </c>
      <c r="G48" s="16">
        <f>IF(OR(Topraklar!$J$7="Evet",AND(Topraklar!$L$7&lt;&gt;"Evet",Topraklar!$K$7&lt;&gt;Bitkiler!$C$47)),0,MAX(0,1-(Ayarlar!$B$2*ABS(Bitkiler!$D$47-Topraklar!$D$7)+Ayarlar!$B$3*ABS(Bitkiler!$E$47-Topraklar!$E$7)+Ayarlar!$B$4*ABS(Bitkiler!$F$47-Topraklar!$F$7)+Ayarlar!$B$5*ABS(Bitkiler!$G$47-Topraklar!$G$7)+Ayarlar!$B$6*IF(Bitkiler!$H$47=Topraklar!$H$7,0,1))/Ayarlar!$B$7)+IF(Topraklar!$K$7=Bitkiler!$C$47,0.002,IF(Topraklar!$L$7="Evet",0.001,0)))</f>
        <v/>
      </c>
      <c r="H48" s="16">
        <f>IF(OR(Topraklar!$J$8="Evet",AND(Topraklar!$L$8&lt;&gt;"Evet",Topraklar!$K$8&lt;&gt;Bitkiler!$C$47)),0,MAX(0,1-(Ayarlar!$B$2*ABS(Bitkiler!$D$47-Topraklar!$D$8)+Ayarlar!$B$3*ABS(Bitkiler!$E$47-Topraklar!$E$8)+Ayarlar!$B$4*ABS(Bitkiler!$F$47-Topraklar!$F$8)+Ayarlar!$B$5*ABS(Bitkiler!$G$47-Topraklar!$G$8)+Ayarlar!$B$6*IF(Bitkiler!$H$47=Topraklar!$H$8,0,1))/Ayarlar!$B$7)+IF(Topraklar!$K$8=Bitkiler!$C$47,0.002,IF(Topraklar!$L$8="Evet",0.001,0)))</f>
        <v/>
      </c>
      <c r="I48" s="16">
        <f>IF(OR(Topraklar!$J$9="Evet",AND(Topraklar!$L$9&lt;&gt;"Evet",Topraklar!$K$9&lt;&gt;Bitkiler!$C$47)),0,MAX(0,1-(Ayarlar!$B$2*ABS(Bitkiler!$D$47-Topraklar!$D$9)+Ayarlar!$B$3*ABS(Bitkiler!$E$47-Topraklar!$E$9)+Ayarlar!$B$4*ABS(Bitkiler!$F$47-Topraklar!$F$9)+Ayarlar!$B$5*ABS(Bitkiler!$G$47-Topraklar!$G$9)+Ayarlar!$B$6*IF(Bitkiler!$H$47=Topraklar!$H$9,0,1))/Ayarlar!$B$7)+IF(Topraklar!$K$9=Bitkiler!$C$47,0.002,IF(Topraklar!$L$9="Evet",0.001,0)))</f>
        <v/>
      </c>
      <c r="J48" s="16">
        <f>IF(OR(Topraklar!$J$10="Evet",AND(Topraklar!$L$10&lt;&gt;"Evet",Topraklar!$K$10&lt;&gt;Bitkiler!$C$47)),0,MAX(0,1-(Ayarlar!$B$2*ABS(Bitkiler!$D$47-Topraklar!$D$10)+Ayarlar!$B$3*ABS(Bitkiler!$E$47-Topraklar!$E$10)+Ayarlar!$B$4*ABS(Bitkiler!$F$47-Topraklar!$F$10)+Ayarlar!$B$5*ABS(Bitkiler!$G$47-Topraklar!$G$10)+Ayarlar!$B$6*IF(Bitkiler!$H$47=Topraklar!$H$10,0,1))/Ayarlar!$B$7)+IF(Topraklar!$K$10=Bitkiler!$C$47,0.002,IF(Topraklar!$L$10="Evet",0.001,0)))</f>
        <v/>
      </c>
      <c r="K48" s="16">
        <f>IF(OR(Topraklar!$J$11="Evet",AND(Topraklar!$L$11&lt;&gt;"Evet",Topraklar!$K$11&lt;&gt;Bitkiler!$C$47)),0,MAX(0,1-(Ayarlar!$B$2*ABS(Bitkiler!$D$47-Topraklar!$D$11)+Ayarlar!$B$3*ABS(Bitkiler!$E$47-Topraklar!$E$11)+Ayarlar!$B$4*ABS(Bitkiler!$F$47-Topraklar!$F$11)+Ayarlar!$B$5*ABS(Bitkiler!$G$47-Topraklar!$G$11)+Ayarlar!$B$6*IF(Bitkiler!$H$47=Topraklar!$H$11,0,1))/Ayarlar!$B$7)+IF(Topraklar!$K$11=Bitkiler!$C$47,0.002,IF(Topraklar!$L$11="Evet",0.001,0)))</f>
        <v/>
      </c>
      <c r="L48" s="16">
        <f>IF(OR(Topraklar!$J$12="Evet",AND(Topraklar!$L$12&lt;&gt;"Evet",Topraklar!$K$12&lt;&gt;Bitkiler!$C$47)),0,MAX(0,1-(Ayarlar!$B$2*ABS(Bitkiler!$D$47-Topraklar!$D$12)+Ayarlar!$B$3*ABS(Bitkiler!$E$47-Topraklar!$E$12)+Ayarlar!$B$4*ABS(Bitkiler!$F$47-Topraklar!$F$12)+Ayarlar!$B$5*ABS(Bitkiler!$G$47-Topraklar!$G$12)+Ayarlar!$B$6*IF(Bitkiler!$H$47=Topraklar!$H$12,0,1))/Ayarlar!$B$7)+IF(Topraklar!$K$12=Bitkiler!$C$47,0.002,IF(Topraklar!$L$12="Evet",0.001,0)))</f>
        <v/>
      </c>
      <c r="M48" s="16">
        <f>IF(OR(Topraklar!$J$13="Evet",AND(Topraklar!$L$13&lt;&gt;"Evet",Topraklar!$K$13&lt;&gt;Bitkiler!$C$47)),0,MAX(0,1-(Ayarlar!$B$2*ABS(Bitkiler!$D$47-Topraklar!$D$13)+Ayarlar!$B$3*ABS(Bitkiler!$E$47-Topraklar!$E$13)+Ayarlar!$B$4*ABS(Bitkiler!$F$47-Topraklar!$F$13)+Ayarlar!$B$5*ABS(Bitkiler!$G$47-Topraklar!$G$13)+Ayarlar!$B$6*IF(Bitkiler!$H$47=Topraklar!$H$13,0,1))/Ayarlar!$B$7)+IF(Topraklar!$K$13=Bitkiler!$C$47,0.002,IF(Topraklar!$L$13="Evet",0.001,0)))</f>
        <v/>
      </c>
      <c r="N48" s="16">
        <f>IF(OR(Topraklar!$J$14="Evet",AND(Topraklar!$L$14&lt;&gt;"Evet",Topraklar!$K$14&lt;&gt;Bitkiler!$C$47)),0,MAX(0,1-(Ayarlar!$B$2*ABS(Bitkiler!$D$47-Topraklar!$D$14)+Ayarlar!$B$3*ABS(Bitkiler!$E$47-Topraklar!$E$14)+Ayarlar!$B$4*ABS(Bitkiler!$F$47-Topraklar!$F$14)+Ayarlar!$B$5*ABS(Bitkiler!$G$47-Topraklar!$G$14)+Ayarlar!$B$6*IF(Bitkiler!$H$47=Topraklar!$H$14,0,1))/Ayarlar!$B$7)+IF(Topraklar!$K$14=Bitkiler!$C$47,0.002,IF(Topraklar!$L$14="Evet",0.001,0)))</f>
        <v/>
      </c>
      <c r="O48" s="16">
        <f>IF(OR(Topraklar!$J$15="Evet",AND(Topraklar!$L$15&lt;&gt;"Evet",Topraklar!$K$15&lt;&gt;Bitkiler!$C$47)),0,MAX(0,1-(Ayarlar!$B$2*ABS(Bitkiler!$D$47-Topraklar!$D$15)+Ayarlar!$B$3*ABS(Bitkiler!$E$47-Topraklar!$E$15)+Ayarlar!$B$4*ABS(Bitkiler!$F$47-Topraklar!$F$15)+Ayarlar!$B$5*ABS(Bitkiler!$G$47-Topraklar!$G$15)+Ayarlar!$B$6*IF(Bitkiler!$H$47=Topraklar!$H$15,0,1))/Ayarlar!$B$7)+IF(Topraklar!$K$15=Bitkiler!$C$47,0.002,IF(Topraklar!$L$15="Evet",0.001,0)))</f>
        <v/>
      </c>
      <c r="P48" s="16">
        <f>IF(OR(Topraklar!$J$16="Evet",AND(Topraklar!$L$16&lt;&gt;"Evet",Topraklar!$K$16&lt;&gt;Bitkiler!$C$47)),0,MAX(0,1-(Ayarlar!$B$2*ABS(Bitkiler!$D$47-Topraklar!$D$16)+Ayarlar!$B$3*ABS(Bitkiler!$E$47-Topraklar!$E$16)+Ayarlar!$B$4*ABS(Bitkiler!$F$47-Topraklar!$F$16)+Ayarlar!$B$5*ABS(Bitkiler!$G$47-Topraklar!$G$16)+Ayarlar!$B$6*IF(Bitkiler!$H$47=Topraklar!$H$16,0,1))/Ayarlar!$B$7)+IF(Topraklar!$K$16=Bitkiler!$C$47,0.002,IF(Topraklar!$L$16="Evet",0.001,0)))</f>
        <v/>
      </c>
      <c r="Q48" s="16">
        <f>IF(OR(Topraklar!$J$17="Evet",AND(Topraklar!$L$17&lt;&gt;"Evet",Topraklar!$K$17&lt;&gt;Bitkiler!$C$47)),0,MAX(0,1-(Ayarlar!$B$2*ABS(Bitkiler!$D$47-Topraklar!$D$17)+Ayarlar!$B$3*ABS(Bitkiler!$E$47-Topraklar!$E$17)+Ayarlar!$B$4*ABS(Bitkiler!$F$47-Topraklar!$F$17)+Ayarlar!$B$5*ABS(Bitkiler!$G$47-Topraklar!$G$17)+Ayarlar!$B$6*IF(Bitkiler!$H$47=Topraklar!$H$17,0,1))/Ayarlar!$B$7)+IF(Topraklar!$K$17=Bitkiler!$C$47,0.002,IF(Topraklar!$L$17="Evet",0.001,0)))</f>
        <v/>
      </c>
      <c r="R48" s="16">
        <f>IF(OR(Topraklar!$J$18="Evet",AND(Topraklar!$L$18&lt;&gt;"Evet",Topraklar!$K$18&lt;&gt;Bitkiler!$C$47)),0,MAX(0,1-(Ayarlar!$B$2*ABS(Bitkiler!$D$47-Topraklar!$D$18)+Ayarlar!$B$3*ABS(Bitkiler!$E$47-Topraklar!$E$18)+Ayarlar!$B$4*ABS(Bitkiler!$F$47-Topraklar!$F$18)+Ayarlar!$B$5*ABS(Bitkiler!$G$47-Topraklar!$G$18)+Ayarlar!$B$6*IF(Bitkiler!$H$47=Topraklar!$H$18,0,1))/Ayarlar!$B$7)+IF(Topraklar!$K$18=Bitkiler!$C$47,0.002,IF(Topraklar!$L$18="Evet",0.001,0)))</f>
        <v/>
      </c>
      <c r="S48" s="16">
        <f>IF(OR(Topraklar!$J$19="Evet",AND(Topraklar!$L$19&lt;&gt;"Evet",Topraklar!$K$19&lt;&gt;Bitkiler!$C$47)),0,MAX(0,1-(Ayarlar!$B$2*ABS(Bitkiler!$D$47-Topraklar!$D$19)+Ayarlar!$B$3*ABS(Bitkiler!$E$47-Topraklar!$E$19)+Ayarlar!$B$4*ABS(Bitkiler!$F$47-Topraklar!$F$19)+Ayarlar!$B$5*ABS(Bitkiler!$G$47-Topraklar!$G$19)+Ayarlar!$B$6*IF(Bitkiler!$H$47=Topraklar!$H$19,0,1))/Ayarlar!$B$7)+IF(Topraklar!$K$19=Bitkiler!$C$47,0.002,IF(Topraklar!$L$19="Evet",0.001,0)))</f>
        <v/>
      </c>
      <c r="T48" s="16">
        <f>IF(OR(Topraklar!$J$20="Evet",AND(Topraklar!$L$20&lt;&gt;"Evet",Topraklar!$K$20&lt;&gt;Bitkiler!$C$47)),0,MAX(0,1-(Ayarlar!$B$2*ABS(Bitkiler!$D$47-Topraklar!$D$20)+Ayarlar!$B$3*ABS(Bitkiler!$E$47-Topraklar!$E$20)+Ayarlar!$B$4*ABS(Bitkiler!$F$47-Topraklar!$F$20)+Ayarlar!$B$5*ABS(Bitkiler!$G$47-Topraklar!$G$20)+Ayarlar!$B$6*IF(Bitkiler!$H$47=Topraklar!$H$20,0,1))/Ayarlar!$B$7)+IF(Topraklar!$K$20=Bitkiler!$C$47,0.002,IF(Topraklar!$L$20="Evet",0.001,0)))</f>
        <v/>
      </c>
      <c r="U48" s="16">
        <f>IF(OR(Topraklar!$J$21="Evet",AND(Topraklar!$L$21&lt;&gt;"Evet",Topraklar!$K$21&lt;&gt;Bitkiler!$C$47)),0,MAX(0,1-(Ayarlar!$B$2*ABS(Bitkiler!$D$47-Topraklar!$D$21)+Ayarlar!$B$3*ABS(Bitkiler!$E$47-Topraklar!$E$21)+Ayarlar!$B$4*ABS(Bitkiler!$F$47-Topraklar!$F$21)+Ayarlar!$B$5*ABS(Bitkiler!$G$47-Topraklar!$G$21)+Ayarlar!$B$6*IF(Bitkiler!$H$47=Topraklar!$H$21,0,1))/Ayarlar!$B$7)+IF(Topraklar!$K$21=Bitkiler!$C$47,0.002,IF(Topraklar!$L$21="Evet",0.001,0)))</f>
        <v/>
      </c>
      <c r="V48" s="16">
        <f>IF(OR(Topraklar!$J$22="Evet",AND(Topraklar!$L$22&lt;&gt;"Evet",Topraklar!$K$22&lt;&gt;Bitkiler!$C$47)),0,MAX(0,1-(Ayarlar!$B$2*ABS(Bitkiler!$D$47-Topraklar!$D$22)+Ayarlar!$B$3*ABS(Bitkiler!$E$47-Topraklar!$E$22)+Ayarlar!$B$4*ABS(Bitkiler!$F$47-Topraklar!$F$22)+Ayarlar!$B$5*ABS(Bitkiler!$G$47-Topraklar!$G$22)+Ayarlar!$B$6*IF(Bitkiler!$H$47=Topraklar!$H$22,0,1))/Ayarlar!$B$7)+IF(Topraklar!$K$22=Bitkiler!$C$47,0.002,IF(Topraklar!$L$22="Evet",0.001,0)))</f>
        <v/>
      </c>
      <c r="W48" s="16">
        <f>IF(OR(Topraklar!$J$23="Evet",AND(Topraklar!$L$23&lt;&gt;"Evet",Topraklar!$K$23&lt;&gt;Bitkiler!$C$47)),0,MAX(0,1-(Ayarlar!$B$2*ABS(Bitkiler!$D$47-Topraklar!$D$23)+Ayarlar!$B$3*ABS(Bitkiler!$E$47-Topraklar!$E$23)+Ayarlar!$B$4*ABS(Bitkiler!$F$47-Topraklar!$F$23)+Ayarlar!$B$5*ABS(Bitkiler!$G$47-Topraklar!$G$23)+Ayarlar!$B$6*IF(Bitkiler!$H$47=Topraklar!$H$23,0,1))/Ayarlar!$B$7)+IF(Topraklar!$K$23=Bitkiler!$C$47,0.002,IF(Topraklar!$L$23="Evet",0.001,0)))</f>
        <v/>
      </c>
      <c r="X48" s="16">
        <f>IF(OR(Topraklar!$J$24="Evet",AND(Topraklar!$L$24&lt;&gt;"Evet",Topraklar!$K$24&lt;&gt;Bitkiler!$C$47)),0,MAX(0,1-(Ayarlar!$B$2*ABS(Bitkiler!$D$47-Topraklar!$D$24)+Ayarlar!$B$3*ABS(Bitkiler!$E$47-Topraklar!$E$24)+Ayarlar!$B$4*ABS(Bitkiler!$F$47-Topraklar!$F$24)+Ayarlar!$B$5*ABS(Bitkiler!$G$47-Topraklar!$G$24)+Ayarlar!$B$6*IF(Bitkiler!$H$47=Topraklar!$H$24,0,1))/Ayarlar!$B$7)+IF(Topraklar!$K$24=Bitkiler!$C$47,0.002,IF(Topraklar!$L$24="Evet",0.001,0)))</f>
        <v/>
      </c>
      <c r="Y48" s="16">
        <f>IF(OR(Topraklar!$J$25="Evet",AND(Topraklar!$L$25&lt;&gt;"Evet",Topraklar!$K$25&lt;&gt;Bitkiler!$C$47)),0,MAX(0,1-(Ayarlar!$B$2*ABS(Bitkiler!$D$47-Topraklar!$D$25)+Ayarlar!$B$3*ABS(Bitkiler!$E$47-Topraklar!$E$25)+Ayarlar!$B$4*ABS(Bitkiler!$F$47-Topraklar!$F$25)+Ayarlar!$B$5*ABS(Bitkiler!$G$47-Topraklar!$G$25)+Ayarlar!$B$6*IF(Bitkiler!$H$47=Topraklar!$H$25,0,1))/Ayarlar!$B$7)+IF(Topraklar!$K$25=Bitkiler!$C$47,0.002,IF(Topraklar!$L$25="Evet",0.001,0)))</f>
        <v/>
      </c>
      <c r="Z48" s="16">
        <f>IF(OR(Topraklar!$J$26="Evet",AND(Topraklar!$L$26&lt;&gt;"Evet",Topraklar!$K$26&lt;&gt;Bitkiler!$C$47)),0,MAX(0,1-(Ayarlar!$B$2*ABS(Bitkiler!$D$47-Topraklar!$D$26)+Ayarlar!$B$3*ABS(Bitkiler!$E$47-Topraklar!$E$26)+Ayarlar!$B$4*ABS(Bitkiler!$F$47-Topraklar!$F$26)+Ayarlar!$B$5*ABS(Bitkiler!$G$47-Topraklar!$G$26)+Ayarlar!$B$6*IF(Bitkiler!$H$47=Topraklar!$H$26,0,1))/Ayarlar!$B$7)+IF(Topraklar!$K$26=Bitkiler!$C$47,0.002,IF(Topraklar!$L$26="Evet",0.001,0)))</f>
        <v/>
      </c>
      <c r="AA48" s="16">
        <f>IF(OR(Topraklar!$J$27="Evet",AND(Topraklar!$L$27&lt;&gt;"Evet",Topraklar!$K$27&lt;&gt;Bitkiler!$C$47)),0,MAX(0,1-(Ayarlar!$B$2*ABS(Bitkiler!$D$47-Topraklar!$D$27)+Ayarlar!$B$3*ABS(Bitkiler!$E$47-Topraklar!$E$27)+Ayarlar!$B$4*ABS(Bitkiler!$F$47-Topraklar!$F$27)+Ayarlar!$B$5*ABS(Bitkiler!$G$47-Topraklar!$G$27)+Ayarlar!$B$6*IF(Bitkiler!$H$47=Topraklar!$H$27,0,1))/Ayarlar!$B$7)+IF(Topraklar!$K$27=Bitkiler!$C$47,0.002,IF(Topraklar!$L$27="Evet",0.001,0)))</f>
        <v/>
      </c>
      <c r="AB48" s="16">
        <f>IF(OR(Topraklar!$J$28="Evet",AND(Topraklar!$L$28&lt;&gt;"Evet",Topraklar!$K$28&lt;&gt;Bitkiler!$C$47)),0,MAX(0,1-(Ayarlar!$B$2*ABS(Bitkiler!$D$47-Topraklar!$D$28)+Ayarlar!$B$3*ABS(Bitkiler!$E$47-Topraklar!$E$28)+Ayarlar!$B$4*ABS(Bitkiler!$F$47-Topraklar!$F$28)+Ayarlar!$B$5*ABS(Bitkiler!$G$47-Topraklar!$G$28)+Ayarlar!$B$6*IF(Bitkiler!$H$47=Topraklar!$H$28,0,1))/Ayarlar!$B$7)+IF(Topraklar!$K$28=Bitkiler!$C$47,0.002,IF(Topraklar!$L$28="Evet",0.001,0)))</f>
        <v/>
      </c>
      <c r="AC48" s="16">
        <f>IF(OR(Topraklar!$J$29="Evet",AND(Topraklar!$L$29&lt;&gt;"Evet",Topraklar!$K$29&lt;&gt;Bitkiler!$C$47)),0,MAX(0,1-(Ayarlar!$B$2*ABS(Bitkiler!$D$47-Topraklar!$D$29)+Ayarlar!$B$3*ABS(Bitkiler!$E$47-Topraklar!$E$29)+Ayarlar!$B$4*ABS(Bitkiler!$F$47-Topraklar!$F$29)+Ayarlar!$B$5*ABS(Bitkiler!$G$47-Topraklar!$G$29)+Ayarlar!$B$6*IF(Bitkiler!$H$47=Topraklar!$H$29,0,1))/Ayarlar!$B$7)+IF(Topraklar!$K$29=Bitkiler!$C$47,0.002,IF(Topraklar!$L$29="Evet",0.001,0)))</f>
        <v/>
      </c>
      <c r="AD48" s="16">
        <f>IF(OR(Topraklar!$J$30="Evet",AND(Topraklar!$L$30&lt;&gt;"Evet",Topraklar!$K$30&lt;&gt;Bitkiler!$C$47)),0,MAX(0,1-(Ayarlar!$B$2*ABS(Bitkiler!$D$47-Topraklar!$D$30)+Ayarlar!$B$3*ABS(Bitkiler!$E$47-Topraklar!$E$30)+Ayarlar!$B$4*ABS(Bitkiler!$F$47-Topraklar!$F$30)+Ayarlar!$B$5*ABS(Bitkiler!$G$47-Topraklar!$G$30)+Ayarlar!$B$6*IF(Bitkiler!$H$47=Topraklar!$H$30,0,1))/Ayarlar!$B$7)+IF(Topraklar!$K$30=Bitkiler!$C$47,0.002,IF(Topraklar!$L$30="Evet",0.001,0)))</f>
        <v/>
      </c>
      <c r="AE48" s="16">
        <f>IF(OR(Topraklar!$J$31="Evet",AND(Topraklar!$L$31&lt;&gt;"Evet",Topraklar!$K$31&lt;&gt;Bitkiler!$C$47)),0,MAX(0,1-(Ayarlar!$B$2*ABS(Bitkiler!$D$47-Topraklar!$D$31)+Ayarlar!$B$3*ABS(Bitkiler!$E$47-Topraklar!$E$31)+Ayarlar!$B$4*ABS(Bitkiler!$F$47-Topraklar!$F$31)+Ayarlar!$B$5*ABS(Bitkiler!$G$47-Topraklar!$G$31)+Ayarlar!$B$6*IF(Bitkiler!$H$47=Topraklar!$H$31,0,1))/Ayarlar!$B$7)+IF(Topraklar!$K$31=Bitkiler!$C$47,0.002,IF(Topraklar!$L$31="Evet",0.001,0)))</f>
        <v/>
      </c>
      <c r="AF48" s="16">
        <f>IF(OR(Topraklar!$J$32="Evet",AND(Topraklar!$L$32&lt;&gt;"Evet",Topraklar!$K$32&lt;&gt;Bitkiler!$C$47)),0,MAX(0,1-(Ayarlar!$B$2*ABS(Bitkiler!$D$47-Topraklar!$D$32)+Ayarlar!$B$3*ABS(Bitkiler!$E$47-Topraklar!$E$32)+Ayarlar!$B$4*ABS(Bitkiler!$F$47-Topraklar!$F$32)+Ayarlar!$B$5*ABS(Bitkiler!$G$47-Topraklar!$G$32)+Ayarlar!$B$6*IF(Bitkiler!$H$47=Topraklar!$H$32,0,1))/Ayarlar!$B$7)+IF(Topraklar!$K$32=Bitkiler!$C$47,0.002,IF(Topraklar!$L$32="Evet",0.001,0)))</f>
        <v/>
      </c>
      <c r="AG48" s="16">
        <f>IF(OR(Topraklar!$J$33="Evet",AND(Topraklar!$L$33&lt;&gt;"Evet",Topraklar!$K$33&lt;&gt;Bitkiler!$C$47)),0,MAX(0,1-(Ayarlar!$B$2*ABS(Bitkiler!$D$47-Topraklar!$D$33)+Ayarlar!$B$3*ABS(Bitkiler!$E$47-Topraklar!$E$33)+Ayarlar!$B$4*ABS(Bitkiler!$F$47-Topraklar!$F$33)+Ayarlar!$B$5*ABS(Bitkiler!$G$47-Topraklar!$G$33)+Ayarlar!$B$6*IF(Bitkiler!$H$47=Topraklar!$H$33,0,1))/Ayarlar!$B$7)+IF(Topraklar!$K$33=Bitkiler!$C$47,0.002,IF(Topraklar!$L$33="Evet",0.001,0)))</f>
        <v/>
      </c>
      <c r="AH48" s="16">
        <f>IF(OR(Topraklar!$J$34="Evet",AND(Topraklar!$L$34&lt;&gt;"Evet",Topraklar!$K$34&lt;&gt;Bitkiler!$C$47)),0,MAX(0,1-(Ayarlar!$B$2*ABS(Bitkiler!$D$47-Topraklar!$D$34)+Ayarlar!$B$3*ABS(Bitkiler!$E$47-Topraklar!$E$34)+Ayarlar!$B$4*ABS(Bitkiler!$F$47-Topraklar!$F$34)+Ayarlar!$B$5*ABS(Bitkiler!$G$47-Topraklar!$G$34)+Ayarlar!$B$6*IF(Bitkiler!$H$47=Topraklar!$H$34,0,1))/Ayarlar!$B$7)+IF(Topraklar!$K$34=Bitkiler!$C$47,0.002,IF(Topraklar!$L$34="Evet",0.001,0)))</f>
        <v/>
      </c>
      <c r="AI48" s="16">
        <f>IF(OR(Topraklar!$J$35="Evet",AND(Topraklar!$L$35&lt;&gt;"Evet",Topraklar!$K$35&lt;&gt;Bitkiler!$C$47)),0,MAX(0,1-(Ayarlar!$B$2*ABS(Bitkiler!$D$47-Topraklar!$D$35)+Ayarlar!$B$3*ABS(Bitkiler!$E$47-Topraklar!$E$35)+Ayarlar!$B$4*ABS(Bitkiler!$F$47-Topraklar!$F$35)+Ayarlar!$B$5*ABS(Bitkiler!$G$47-Topraklar!$G$35)+Ayarlar!$B$6*IF(Bitkiler!$H$47=Topraklar!$H$35,0,1))/Ayarlar!$B$7)+IF(Topraklar!$K$35=Bitkiler!$C$47,0.002,IF(Topraklar!$L$35="Evet",0.001,0)))</f>
        <v/>
      </c>
      <c r="AJ48" s="16">
        <f>IF(OR(Topraklar!$J$36="Evet",AND(Topraklar!$L$36&lt;&gt;"Evet",Topraklar!$K$36&lt;&gt;Bitkiler!$C$47)),0,MAX(0,1-(Ayarlar!$B$2*ABS(Bitkiler!$D$47-Topraklar!$D$36)+Ayarlar!$B$3*ABS(Bitkiler!$E$47-Topraklar!$E$36)+Ayarlar!$B$4*ABS(Bitkiler!$F$47-Topraklar!$F$36)+Ayarlar!$B$5*ABS(Bitkiler!$G$47-Topraklar!$G$36)+Ayarlar!$B$6*IF(Bitkiler!$H$47=Topraklar!$H$36,0,1))/Ayarlar!$B$7)+IF(Topraklar!$K$36=Bitkiler!$C$47,0.002,IF(Topraklar!$L$36="Evet",0.001,0)))</f>
        <v/>
      </c>
      <c r="AK48" s="16">
        <f>IF(OR(Topraklar!$J$37="Evet",AND(Topraklar!$L$37&lt;&gt;"Evet",Topraklar!$K$37&lt;&gt;Bitkiler!$C$47)),0,MAX(0,1-(Ayarlar!$B$2*ABS(Bitkiler!$D$47-Topraklar!$D$37)+Ayarlar!$B$3*ABS(Bitkiler!$E$47-Topraklar!$E$37)+Ayarlar!$B$4*ABS(Bitkiler!$F$47-Topraklar!$F$37)+Ayarlar!$B$5*ABS(Bitkiler!$G$47-Topraklar!$G$37)+Ayarlar!$B$6*IF(Bitkiler!$H$47=Topraklar!$H$37,0,1))/Ayarlar!$B$7)+IF(Topraklar!$K$37=Bitkiler!$C$47,0.002,IF(Topraklar!$L$37="Evet",0.001,0)))</f>
        <v/>
      </c>
      <c r="AL48" s="16">
        <f>IF(OR(Topraklar!$J$38="Evet",AND(Topraklar!$L$38&lt;&gt;"Evet",Topraklar!$K$38&lt;&gt;Bitkiler!$C$47)),0,MAX(0,1-(Ayarlar!$B$2*ABS(Bitkiler!$D$47-Topraklar!$D$38)+Ayarlar!$B$3*ABS(Bitkiler!$E$47-Topraklar!$E$38)+Ayarlar!$B$4*ABS(Bitkiler!$F$47-Topraklar!$F$38)+Ayarlar!$B$5*ABS(Bitkiler!$G$47-Topraklar!$G$38)+Ayarlar!$B$6*IF(Bitkiler!$H$47=Topraklar!$H$38,0,1))/Ayarlar!$B$7)+IF(Topraklar!$K$38=Bitkiler!$C$47,0.002,IF(Topraklar!$L$38="Evet",0.001,0)))</f>
        <v/>
      </c>
      <c r="AM48" s="16">
        <f>IF(OR(Topraklar!$J$39="Evet",AND(Topraklar!$L$39&lt;&gt;"Evet",Topraklar!$K$39&lt;&gt;Bitkiler!$C$47)),0,MAX(0,1-(Ayarlar!$B$2*ABS(Bitkiler!$D$47-Topraklar!$D$39)+Ayarlar!$B$3*ABS(Bitkiler!$E$47-Topraklar!$E$39)+Ayarlar!$B$4*ABS(Bitkiler!$F$47-Topraklar!$F$39)+Ayarlar!$B$5*ABS(Bitkiler!$G$47-Topraklar!$G$39)+Ayarlar!$B$6*IF(Bitkiler!$H$47=Topraklar!$H$39,0,1))/Ayarlar!$B$7)+IF(Topraklar!$K$39=Bitkiler!$C$47,0.002,IF(Topraklar!$L$39="Evet",0.001,0)))</f>
        <v/>
      </c>
      <c r="AN48" s="16">
        <f>IF(OR(Topraklar!$J$40="Evet",AND(Topraklar!$L$40&lt;&gt;"Evet",Topraklar!$K$40&lt;&gt;Bitkiler!$C$47)),0,MAX(0,1-(Ayarlar!$B$2*ABS(Bitkiler!$D$47-Topraklar!$D$40)+Ayarlar!$B$3*ABS(Bitkiler!$E$47-Topraklar!$E$40)+Ayarlar!$B$4*ABS(Bitkiler!$F$47-Topraklar!$F$40)+Ayarlar!$B$5*ABS(Bitkiler!$G$47-Topraklar!$G$40)+Ayarlar!$B$6*IF(Bitkiler!$H$47=Topraklar!$H$40,0,1))/Ayarlar!$B$7)+IF(Topraklar!$K$40=Bitkiler!$C$47,0.002,IF(Topraklar!$L$40="Evet",0.001,0)))</f>
        <v/>
      </c>
      <c r="AO48" s="16">
        <f>IF(OR(Topraklar!$J$41="Evet",AND(Topraklar!$L$41&lt;&gt;"Evet",Topraklar!$K$41&lt;&gt;Bitkiler!$C$47)),0,MAX(0,1-(Ayarlar!$B$2*ABS(Bitkiler!$D$47-Topraklar!$D$41)+Ayarlar!$B$3*ABS(Bitkiler!$E$47-Topraklar!$E$41)+Ayarlar!$B$4*ABS(Bitkiler!$F$47-Topraklar!$F$41)+Ayarlar!$B$5*ABS(Bitkiler!$G$47-Topraklar!$G$41)+Ayarlar!$B$6*IF(Bitkiler!$H$47=Topraklar!$H$41,0,1))/Ayarlar!$B$7)+IF(Topraklar!$K$41=Bitkiler!$C$47,0.002,IF(Topraklar!$L$41="Evet",0.001,0)))</f>
        <v/>
      </c>
      <c r="AP48" s="16">
        <f>IF(OR(Topraklar!$J$42="Evet",AND(Topraklar!$L$42&lt;&gt;"Evet",Topraklar!$K$42&lt;&gt;Bitkiler!$C$47)),0,MAX(0,1-(Ayarlar!$B$2*ABS(Bitkiler!$D$47-Topraklar!$D$42)+Ayarlar!$B$3*ABS(Bitkiler!$E$47-Topraklar!$E$42)+Ayarlar!$B$4*ABS(Bitkiler!$F$47-Topraklar!$F$42)+Ayarlar!$B$5*ABS(Bitkiler!$G$47-Topraklar!$G$42)+Ayarlar!$B$6*IF(Bitkiler!$H$47=Topraklar!$H$42,0,1))/Ayarlar!$B$7)+IF(Topraklar!$K$42=Bitkiler!$C$47,0.002,IF(Topraklar!$L$42="Evet",0.001,0)))</f>
        <v/>
      </c>
      <c r="AQ48" s="16">
        <f>IF(OR(Topraklar!$J$43="Evet",AND(Topraklar!$L$43&lt;&gt;"Evet",Topraklar!$K$43&lt;&gt;Bitkiler!$C$47)),0,MAX(0,1-(Ayarlar!$B$2*ABS(Bitkiler!$D$47-Topraklar!$D$43)+Ayarlar!$B$3*ABS(Bitkiler!$E$47-Topraklar!$E$43)+Ayarlar!$B$4*ABS(Bitkiler!$F$47-Topraklar!$F$43)+Ayarlar!$B$5*ABS(Bitkiler!$G$47-Topraklar!$G$43)+Ayarlar!$B$6*IF(Bitkiler!$H$47=Topraklar!$H$43,0,1))/Ayarlar!$B$7)+IF(Topraklar!$K$43=Bitkiler!$C$47,0.002,IF(Topraklar!$L$43="Evet",0.001,0)))</f>
        <v/>
      </c>
      <c r="AR48" s="16">
        <f>IF(OR(Topraklar!$J$44="Evet",AND(Topraklar!$L$44&lt;&gt;"Evet",Topraklar!$K$44&lt;&gt;Bitkiler!$C$47)),0,MAX(0,1-(Ayarlar!$B$2*ABS(Bitkiler!$D$47-Topraklar!$D$44)+Ayarlar!$B$3*ABS(Bitkiler!$E$47-Topraklar!$E$44)+Ayarlar!$B$4*ABS(Bitkiler!$F$47-Topraklar!$F$44)+Ayarlar!$B$5*ABS(Bitkiler!$G$47-Topraklar!$G$44)+Ayarlar!$B$6*IF(Bitkiler!$H$47=Topraklar!$H$44,0,1))/Ayarlar!$B$7)+IF(Topraklar!$K$44=Bitkiler!$C$47,0.002,IF(Topraklar!$L$44="Evet",0.001,0)))</f>
        <v/>
      </c>
      <c r="AS48" s="16">
        <f>IF(OR(Topraklar!$J$45="Evet",AND(Topraklar!$L$45&lt;&gt;"Evet",Topraklar!$K$45&lt;&gt;Bitkiler!$C$47)),0,MAX(0,1-(Ayarlar!$B$2*ABS(Bitkiler!$D$47-Topraklar!$D$45)+Ayarlar!$B$3*ABS(Bitkiler!$E$47-Topraklar!$E$45)+Ayarlar!$B$4*ABS(Bitkiler!$F$47-Topraklar!$F$45)+Ayarlar!$B$5*ABS(Bitkiler!$G$47-Topraklar!$G$45)+Ayarlar!$B$6*IF(Bitkiler!$H$47=Topraklar!$H$45,0,1))/Ayarlar!$B$7)+IF(Topraklar!$K$45=Bitkiler!$C$47,0.002,IF(Topraklar!$L$45="Evet",0.001,0)))</f>
        <v/>
      </c>
      <c r="AT48" s="16">
        <f>IF(OR(Topraklar!$J$46="Evet",AND(Topraklar!$L$46&lt;&gt;"Evet",Topraklar!$K$46&lt;&gt;Bitkiler!$C$47)),0,MAX(0,1-(Ayarlar!$B$2*ABS(Bitkiler!$D$47-Topraklar!$D$46)+Ayarlar!$B$3*ABS(Bitkiler!$E$47-Topraklar!$E$46)+Ayarlar!$B$4*ABS(Bitkiler!$F$47-Topraklar!$F$46)+Ayarlar!$B$5*ABS(Bitkiler!$G$47-Topraklar!$G$46)+Ayarlar!$B$6*IF(Bitkiler!$H$47=Topraklar!$H$46,0,1))/Ayarlar!$B$7)+IF(Topraklar!$K$46=Bitkiler!$C$47,0.002,IF(Topraklar!$L$46="Evet",0.001,0)))</f>
        <v/>
      </c>
      <c r="AU48" s="16">
        <f>IF(OR(Topraklar!$J$47="Evet",AND(Topraklar!$L$47&lt;&gt;"Evet",Topraklar!$K$47&lt;&gt;Bitkiler!$C$47)),0,MAX(0,1-(Ayarlar!$B$2*ABS(Bitkiler!$D$47-Topraklar!$D$47)+Ayarlar!$B$3*ABS(Bitkiler!$E$47-Topraklar!$E$47)+Ayarlar!$B$4*ABS(Bitkiler!$F$47-Topraklar!$F$47)+Ayarlar!$B$5*ABS(Bitkiler!$G$47-Topraklar!$G$47)+Ayarlar!$B$6*IF(Bitkiler!$H$47=Topraklar!$H$47,0,1))/Ayarlar!$B$7)+IF(Topraklar!$K$47=Bitkiler!$C$47,0.002,IF(Topraklar!$L$47="Evet",0.001,0)))</f>
        <v/>
      </c>
      <c r="AV48" s="16">
        <f>IF(OR(Topraklar!$J$48="Evet",AND(Topraklar!$L$48&lt;&gt;"Evet",Topraklar!$K$48&lt;&gt;Bitkiler!$C$47)),0,MAX(0,1-(Ayarlar!$B$2*ABS(Bitkiler!$D$47-Topraklar!$D$48)+Ayarlar!$B$3*ABS(Bitkiler!$E$47-Topraklar!$E$48)+Ayarlar!$B$4*ABS(Bitkiler!$F$47-Topraklar!$F$48)+Ayarlar!$B$5*ABS(Bitkiler!$G$47-Topraklar!$G$48)+Ayarlar!$B$6*IF(Bitkiler!$H$47=Topraklar!$H$48,0,1))/Ayarlar!$B$7)+IF(Topraklar!$K$48=Bitkiler!$C$47,0.002,IF(Topraklar!$L$48="Evet",0.001,0)))</f>
        <v/>
      </c>
      <c r="AW48" s="16">
        <f>IF(OR(Topraklar!$J$49="Evet",AND(Topraklar!$L$49&lt;&gt;"Evet",Topraklar!$K$49&lt;&gt;Bitkiler!$C$47)),0,MAX(0,1-(Ayarlar!$B$2*ABS(Bitkiler!$D$47-Topraklar!$D$49)+Ayarlar!$B$3*ABS(Bitkiler!$E$47-Topraklar!$E$49)+Ayarlar!$B$4*ABS(Bitkiler!$F$47-Topraklar!$F$49)+Ayarlar!$B$5*ABS(Bitkiler!$G$47-Topraklar!$G$49)+Ayarlar!$B$6*IF(Bitkiler!$H$47=Topraklar!$H$49,0,1))/Ayarlar!$B$7)+IF(Topraklar!$K$49=Bitkiler!$C$47,0.002,IF(Topraklar!$L$49="Evet",0.001,0)))</f>
        <v/>
      </c>
      <c r="AX48" s="16">
        <f>IF(OR(Topraklar!$J$50="Evet",AND(Topraklar!$L$50&lt;&gt;"Evet",Topraklar!$K$50&lt;&gt;Bitkiler!$C$47)),0,MAX(0,1-(Ayarlar!$B$2*ABS(Bitkiler!$D$47-Topraklar!$D$50)+Ayarlar!$B$3*ABS(Bitkiler!$E$47-Topraklar!$E$50)+Ayarlar!$B$4*ABS(Bitkiler!$F$47-Topraklar!$F$50)+Ayarlar!$B$5*ABS(Bitkiler!$G$47-Topraklar!$G$50)+Ayarlar!$B$6*IF(Bitkiler!$H$47=Topraklar!$H$50,0,1))/Ayarlar!$B$7)+IF(Topraklar!$K$50=Bitkiler!$C$47,0.002,IF(Topraklar!$L$50="Evet",0.001,0)))</f>
        <v/>
      </c>
      <c r="AY48" s="16">
        <f>IF(OR(Topraklar!$J$51="Evet",AND(Topraklar!$L$51&lt;&gt;"Evet",Topraklar!$K$51&lt;&gt;Bitkiler!$C$47)),0,MAX(0,1-(Ayarlar!$B$2*ABS(Bitkiler!$D$47-Topraklar!$D$51)+Ayarlar!$B$3*ABS(Bitkiler!$E$47-Topraklar!$E$51)+Ayarlar!$B$4*ABS(Bitkiler!$F$47-Topraklar!$F$51)+Ayarlar!$B$5*ABS(Bitkiler!$G$47-Topraklar!$G$51)+Ayarlar!$B$6*IF(Bitkiler!$H$47=Topraklar!$H$51,0,1))/Ayarlar!$B$7)+IF(Topraklar!$K$51=Bitkiler!$C$47,0.002,IF(Topraklar!$L$51="Evet",0.001,0)))</f>
        <v/>
      </c>
    </row>
    <row r="49">
      <c r="A49" s="15">
        <f>Bitkiler!A48</f>
        <v/>
      </c>
      <c r="B49" s="16">
        <f>IF(OR(Topraklar!$J$2="Evet",AND(Topraklar!$L$2&lt;&gt;"Evet",Topraklar!$K$2&lt;&gt;Bitkiler!$C$48)),0,MAX(0,1-(Ayarlar!$B$2*ABS(Bitkiler!$D$48-Topraklar!$D$2)+Ayarlar!$B$3*ABS(Bitkiler!$E$48-Topraklar!$E$2)+Ayarlar!$B$4*ABS(Bitkiler!$F$48-Topraklar!$F$2)+Ayarlar!$B$5*ABS(Bitkiler!$G$48-Topraklar!$G$2)+Ayarlar!$B$6*IF(Bitkiler!$H$48=Topraklar!$H$2,0,1))/Ayarlar!$B$7)+IF(Topraklar!$K$2=Bitkiler!$C$48,0.002,IF(Topraklar!$L$2="Evet",0.001,0)))</f>
        <v/>
      </c>
      <c r="C49" s="16">
        <f>IF(OR(Topraklar!$J$3="Evet",AND(Topraklar!$L$3&lt;&gt;"Evet",Topraklar!$K$3&lt;&gt;Bitkiler!$C$48)),0,MAX(0,1-(Ayarlar!$B$2*ABS(Bitkiler!$D$48-Topraklar!$D$3)+Ayarlar!$B$3*ABS(Bitkiler!$E$48-Topraklar!$E$3)+Ayarlar!$B$4*ABS(Bitkiler!$F$48-Topraklar!$F$3)+Ayarlar!$B$5*ABS(Bitkiler!$G$48-Topraklar!$G$3)+Ayarlar!$B$6*IF(Bitkiler!$H$48=Topraklar!$H$3,0,1))/Ayarlar!$B$7)+IF(Topraklar!$K$3=Bitkiler!$C$48,0.002,IF(Topraklar!$L$3="Evet",0.001,0)))</f>
        <v/>
      </c>
      <c r="D49" s="16">
        <f>IF(OR(Topraklar!$J$4="Evet",AND(Topraklar!$L$4&lt;&gt;"Evet",Topraklar!$K$4&lt;&gt;Bitkiler!$C$48)),0,MAX(0,1-(Ayarlar!$B$2*ABS(Bitkiler!$D$48-Topraklar!$D$4)+Ayarlar!$B$3*ABS(Bitkiler!$E$48-Topraklar!$E$4)+Ayarlar!$B$4*ABS(Bitkiler!$F$48-Topraklar!$F$4)+Ayarlar!$B$5*ABS(Bitkiler!$G$48-Topraklar!$G$4)+Ayarlar!$B$6*IF(Bitkiler!$H$48=Topraklar!$H$4,0,1))/Ayarlar!$B$7)+IF(Topraklar!$K$4=Bitkiler!$C$48,0.002,IF(Topraklar!$L$4="Evet",0.001,0)))</f>
        <v/>
      </c>
      <c r="E49" s="16">
        <f>IF(OR(Topraklar!$J$5="Evet",AND(Topraklar!$L$5&lt;&gt;"Evet",Topraklar!$K$5&lt;&gt;Bitkiler!$C$48)),0,MAX(0,1-(Ayarlar!$B$2*ABS(Bitkiler!$D$48-Topraklar!$D$5)+Ayarlar!$B$3*ABS(Bitkiler!$E$48-Topraklar!$E$5)+Ayarlar!$B$4*ABS(Bitkiler!$F$48-Topraklar!$F$5)+Ayarlar!$B$5*ABS(Bitkiler!$G$48-Topraklar!$G$5)+Ayarlar!$B$6*IF(Bitkiler!$H$48=Topraklar!$H$5,0,1))/Ayarlar!$B$7)+IF(Topraklar!$K$5=Bitkiler!$C$48,0.002,IF(Topraklar!$L$5="Evet",0.001,0)))</f>
        <v/>
      </c>
      <c r="F49" s="16">
        <f>IF(OR(Topraklar!$J$6="Evet",AND(Topraklar!$L$6&lt;&gt;"Evet",Topraklar!$K$6&lt;&gt;Bitkiler!$C$48)),0,MAX(0,1-(Ayarlar!$B$2*ABS(Bitkiler!$D$48-Topraklar!$D$6)+Ayarlar!$B$3*ABS(Bitkiler!$E$48-Topraklar!$E$6)+Ayarlar!$B$4*ABS(Bitkiler!$F$48-Topraklar!$F$6)+Ayarlar!$B$5*ABS(Bitkiler!$G$48-Topraklar!$G$6)+Ayarlar!$B$6*IF(Bitkiler!$H$48=Topraklar!$H$6,0,1))/Ayarlar!$B$7)+IF(Topraklar!$K$6=Bitkiler!$C$48,0.002,IF(Topraklar!$L$6="Evet",0.001,0)))</f>
        <v/>
      </c>
      <c r="G49" s="16">
        <f>IF(OR(Topraklar!$J$7="Evet",AND(Topraklar!$L$7&lt;&gt;"Evet",Topraklar!$K$7&lt;&gt;Bitkiler!$C$48)),0,MAX(0,1-(Ayarlar!$B$2*ABS(Bitkiler!$D$48-Topraklar!$D$7)+Ayarlar!$B$3*ABS(Bitkiler!$E$48-Topraklar!$E$7)+Ayarlar!$B$4*ABS(Bitkiler!$F$48-Topraklar!$F$7)+Ayarlar!$B$5*ABS(Bitkiler!$G$48-Topraklar!$G$7)+Ayarlar!$B$6*IF(Bitkiler!$H$48=Topraklar!$H$7,0,1))/Ayarlar!$B$7)+IF(Topraklar!$K$7=Bitkiler!$C$48,0.002,IF(Topraklar!$L$7="Evet",0.001,0)))</f>
        <v/>
      </c>
      <c r="H49" s="16">
        <f>IF(OR(Topraklar!$J$8="Evet",AND(Topraklar!$L$8&lt;&gt;"Evet",Topraklar!$K$8&lt;&gt;Bitkiler!$C$48)),0,MAX(0,1-(Ayarlar!$B$2*ABS(Bitkiler!$D$48-Topraklar!$D$8)+Ayarlar!$B$3*ABS(Bitkiler!$E$48-Topraklar!$E$8)+Ayarlar!$B$4*ABS(Bitkiler!$F$48-Topraklar!$F$8)+Ayarlar!$B$5*ABS(Bitkiler!$G$48-Topraklar!$G$8)+Ayarlar!$B$6*IF(Bitkiler!$H$48=Topraklar!$H$8,0,1))/Ayarlar!$B$7)+IF(Topraklar!$K$8=Bitkiler!$C$48,0.002,IF(Topraklar!$L$8="Evet",0.001,0)))</f>
        <v/>
      </c>
      <c r="I49" s="16">
        <f>IF(OR(Topraklar!$J$9="Evet",AND(Topraklar!$L$9&lt;&gt;"Evet",Topraklar!$K$9&lt;&gt;Bitkiler!$C$48)),0,MAX(0,1-(Ayarlar!$B$2*ABS(Bitkiler!$D$48-Topraklar!$D$9)+Ayarlar!$B$3*ABS(Bitkiler!$E$48-Topraklar!$E$9)+Ayarlar!$B$4*ABS(Bitkiler!$F$48-Topraklar!$F$9)+Ayarlar!$B$5*ABS(Bitkiler!$G$48-Topraklar!$G$9)+Ayarlar!$B$6*IF(Bitkiler!$H$48=Topraklar!$H$9,0,1))/Ayarlar!$B$7)+IF(Topraklar!$K$9=Bitkiler!$C$48,0.002,IF(Topraklar!$L$9="Evet",0.001,0)))</f>
        <v/>
      </c>
      <c r="J49" s="16">
        <f>IF(OR(Topraklar!$J$10="Evet",AND(Topraklar!$L$10&lt;&gt;"Evet",Topraklar!$K$10&lt;&gt;Bitkiler!$C$48)),0,MAX(0,1-(Ayarlar!$B$2*ABS(Bitkiler!$D$48-Topraklar!$D$10)+Ayarlar!$B$3*ABS(Bitkiler!$E$48-Topraklar!$E$10)+Ayarlar!$B$4*ABS(Bitkiler!$F$48-Topraklar!$F$10)+Ayarlar!$B$5*ABS(Bitkiler!$G$48-Topraklar!$G$10)+Ayarlar!$B$6*IF(Bitkiler!$H$48=Topraklar!$H$10,0,1))/Ayarlar!$B$7)+IF(Topraklar!$K$10=Bitkiler!$C$48,0.002,IF(Topraklar!$L$10="Evet",0.001,0)))</f>
        <v/>
      </c>
      <c r="K49" s="16">
        <f>IF(OR(Topraklar!$J$11="Evet",AND(Topraklar!$L$11&lt;&gt;"Evet",Topraklar!$K$11&lt;&gt;Bitkiler!$C$48)),0,MAX(0,1-(Ayarlar!$B$2*ABS(Bitkiler!$D$48-Topraklar!$D$11)+Ayarlar!$B$3*ABS(Bitkiler!$E$48-Topraklar!$E$11)+Ayarlar!$B$4*ABS(Bitkiler!$F$48-Topraklar!$F$11)+Ayarlar!$B$5*ABS(Bitkiler!$G$48-Topraklar!$G$11)+Ayarlar!$B$6*IF(Bitkiler!$H$48=Topraklar!$H$11,0,1))/Ayarlar!$B$7)+IF(Topraklar!$K$11=Bitkiler!$C$48,0.002,IF(Topraklar!$L$11="Evet",0.001,0)))</f>
        <v/>
      </c>
      <c r="L49" s="16">
        <f>IF(OR(Topraklar!$J$12="Evet",AND(Topraklar!$L$12&lt;&gt;"Evet",Topraklar!$K$12&lt;&gt;Bitkiler!$C$48)),0,MAX(0,1-(Ayarlar!$B$2*ABS(Bitkiler!$D$48-Topraklar!$D$12)+Ayarlar!$B$3*ABS(Bitkiler!$E$48-Topraklar!$E$12)+Ayarlar!$B$4*ABS(Bitkiler!$F$48-Topraklar!$F$12)+Ayarlar!$B$5*ABS(Bitkiler!$G$48-Topraklar!$G$12)+Ayarlar!$B$6*IF(Bitkiler!$H$48=Topraklar!$H$12,0,1))/Ayarlar!$B$7)+IF(Topraklar!$K$12=Bitkiler!$C$48,0.002,IF(Topraklar!$L$12="Evet",0.001,0)))</f>
        <v/>
      </c>
      <c r="M49" s="16">
        <f>IF(OR(Topraklar!$J$13="Evet",AND(Topraklar!$L$13&lt;&gt;"Evet",Topraklar!$K$13&lt;&gt;Bitkiler!$C$48)),0,MAX(0,1-(Ayarlar!$B$2*ABS(Bitkiler!$D$48-Topraklar!$D$13)+Ayarlar!$B$3*ABS(Bitkiler!$E$48-Topraklar!$E$13)+Ayarlar!$B$4*ABS(Bitkiler!$F$48-Topraklar!$F$13)+Ayarlar!$B$5*ABS(Bitkiler!$G$48-Topraklar!$G$13)+Ayarlar!$B$6*IF(Bitkiler!$H$48=Topraklar!$H$13,0,1))/Ayarlar!$B$7)+IF(Topraklar!$K$13=Bitkiler!$C$48,0.002,IF(Topraklar!$L$13="Evet",0.001,0)))</f>
        <v/>
      </c>
      <c r="N49" s="16">
        <f>IF(OR(Topraklar!$J$14="Evet",AND(Topraklar!$L$14&lt;&gt;"Evet",Topraklar!$K$14&lt;&gt;Bitkiler!$C$48)),0,MAX(0,1-(Ayarlar!$B$2*ABS(Bitkiler!$D$48-Topraklar!$D$14)+Ayarlar!$B$3*ABS(Bitkiler!$E$48-Topraklar!$E$14)+Ayarlar!$B$4*ABS(Bitkiler!$F$48-Topraklar!$F$14)+Ayarlar!$B$5*ABS(Bitkiler!$G$48-Topraklar!$G$14)+Ayarlar!$B$6*IF(Bitkiler!$H$48=Topraklar!$H$14,0,1))/Ayarlar!$B$7)+IF(Topraklar!$K$14=Bitkiler!$C$48,0.002,IF(Topraklar!$L$14="Evet",0.001,0)))</f>
        <v/>
      </c>
      <c r="O49" s="16">
        <f>IF(OR(Topraklar!$J$15="Evet",AND(Topraklar!$L$15&lt;&gt;"Evet",Topraklar!$K$15&lt;&gt;Bitkiler!$C$48)),0,MAX(0,1-(Ayarlar!$B$2*ABS(Bitkiler!$D$48-Topraklar!$D$15)+Ayarlar!$B$3*ABS(Bitkiler!$E$48-Topraklar!$E$15)+Ayarlar!$B$4*ABS(Bitkiler!$F$48-Topraklar!$F$15)+Ayarlar!$B$5*ABS(Bitkiler!$G$48-Topraklar!$G$15)+Ayarlar!$B$6*IF(Bitkiler!$H$48=Topraklar!$H$15,0,1))/Ayarlar!$B$7)+IF(Topraklar!$K$15=Bitkiler!$C$48,0.002,IF(Topraklar!$L$15="Evet",0.001,0)))</f>
        <v/>
      </c>
      <c r="P49" s="16">
        <f>IF(OR(Topraklar!$J$16="Evet",AND(Topraklar!$L$16&lt;&gt;"Evet",Topraklar!$K$16&lt;&gt;Bitkiler!$C$48)),0,MAX(0,1-(Ayarlar!$B$2*ABS(Bitkiler!$D$48-Topraklar!$D$16)+Ayarlar!$B$3*ABS(Bitkiler!$E$48-Topraklar!$E$16)+Ayarlar!$B$4*ABS(Bitkiler!$F$48-Topraklar!$F$16)+Ayarlar!$B$5*ABS(Bitkiler!$G$48-Topraklar!$G$16)+Ayarlar!$B$6*IF(Bitkiler!$H$48=Topraklar!$H$16,0,1))/Ayarlar!$B$7)+IF(Topraklar!$K$16=Bitkiler!$C$48,0.002,IF(Topraklar!$L$16="Evet",0.001,0)))</f>
        <v/>
      </c>
      <c r="Q49" s="16">
        <f>IF(OR(Topraklar!$J$17="Evet",AND(Topraklar!$L$17&lt;&gt;"Evet",Topraklar!$K$17&lt;&gt;Bitkiler!$C$48)),0,MAX(0,1-(Ayarlar!$B$2*ABS(Bitkiler!$D$48-Topraklar!$D$17)+Ayarlar!$B$3*ABS(Bitkiler!$E$48-Topraklar!$E$17)+Ayarlar!$B$4*ABS(Bitkiler!$F$48-Topraklar!$F$17)+Ayarlar!$B$5*ABS(Bitkiler!$G$48-Topraklar!$G$17)+Ayarlar!$B$6*IF(Bitkiler!$H$48=Topraklar!$H$17,0,1))/Ayarlar!$B$7)+IF(Topraklar!$K$17=Bitkiler!$C$48,0.002,IF(Topraklar!$L$17="Evet",0.001,0)))</f>
        <v/>
      </c>
      <c r="R49" s="16">
        <f>IF(OR(Topraklar!$J$18="Evet",AND(Topraklar!$L$18&lt;&gt;"Evet",Topraklar!$K$18&lt;&gt;Bitkiler!$C$48)),0,MAX(0,1-(Ayarlar!$B$2*ABS(Bitkiler!$D$48-Topraklar!$D$18)+Ayarlar!$B$3*ABS(Bitkiler!$E$48-Topraklar!$E$18)+Ayarlar!$B$4*ABS(Bitkiler!$F$48-Topraklar!$F$18)+Ayarlar!$B$5*ABS(Bitkiler!$G$48-Topraklar!$G$18)+Ayarlar!$B$6*IF(Bitkiler!$H$48=Topraklar!$H$18,0,1))/Ayarlar!$B$7)+IF(Topraklar!$K$18=Bitkiler!$C$48,0.002,IF(Topraklar!$L$18="Evet",0.001,0)))</f>
        <v/>
      </c>
      <c r="S49" s="16">
        <f>IF(OR(Topraklar!$J$19="Evet",AND(Topraklar!$L$19&lt;&gt;"Evet",Topraklar!$K$19&lt;&gt;Bitkiler!$C$48)),0,MAX(0,1-(Ayarlar!$B$2*ABS(Bitkiler!$D$48-Topraklar!$D$19)+Ayarlar!$B$3*ABS(Bitkiler!$E$48-Topraklar!$E$19)+Ayarlar!$B$4*ABS(Bitkiler!$F$48-Topraklar!$F$19)+Ayarlar!$B$5*ABS(Bitkiler!$G$48-Topraklar!$G$19)+Ayarlar!$B$6*IF(Bitkiler!$H$48=Topraklar!$H$19,0,1))/Ayarlar!$B$7)+IF(Topraklar!$K$19=Bitkiler!$C$48,0.002,IF(Topraklar!$L$19="Evet",0.001,0)))</f>
        <v/>
      </c>
      <c r="T49" s="16">
        <f>IF(OR(Topraklar!$J$20="Evet",AND(Topraklar!$L$20&lt;&gt;"Evet",Topraklar!$K$20&lt;&gt;Bitkiler!$C$48)),0,MAX(0,1-(Ayarlar!$B$2*ABS(Bitkiler!$D$48-Topraklar!$D$20)+Ayarlar!$B$3*ABS(Bitkiler!$E$48-Topraklar!$E$20)+Ayarlar!$B$4*ABS(Bitkiler!$F$48-Topraklar!$F$20)+Ayarlar!$B$5*ABS(Bitkiler!$G$48-Topraklar!$G$20)+Ayarlar!$B$6*IF(Bitkiler!$H$48=Topraklar!$H$20,0,1))/Ayarlar!$B$7)+IF(Topraklar!$K$20=Bitkiler!$C$48,0.002,IF(Topraklar!$L$20="Evet",0.001,0)))</f>
        <v/>
      </c>
      <c r="U49" s="16">
        <f>IF(OR(Topraklar!$J$21="Evet",AND(Topraklar!$L$21&lt;&gt;"Evet",Topraklar!$K$21&lt;&gt;Bitkiler!$C$48)),0,MAX(0,1-(Ayarlar!$B$2*ABS(Bitkiler!$D$48-Topraklar!$D$21)+Ayarlar!$B$3*ABS(Bitkiler!$E$48-Topraklar!$E$21)+Ayarlar!$B$4*ABS(Bitkiler!$F$48-Topraklar!$F$21)+Ayarlar!$B$5*ABS(Bitkiler!$G$48-Topraklar!$G$21)+Ayarlar!$B$6*IF(Bitkiler!$H$48=Topraklar!$H$21,0,1))/Ayarlar!$B$7)+IF(Topraklar!$K$21=Bitkiler!$C$48,0.002,IF(Topraklar!$L$21="Evet",0.001,0)))</f>
        <v/>
      </c>
      <c r="V49" s="16">
        <f>IF(OR(Topraklar!$J$22="Evet",AND(Topraklar!$L$22&lt;&gt;"Evet",Topraklar!$K$22&lt;&gt;Bitkiler!$C$48)),0,MAX(0,1-(Ayarlar!$B$2*ABS(Bitkiler!$D$48-Topraklar!$D$22)+Ayarlar!$B$3*ABS(Bitkiler!$E$48-Topraklar!$E$22)+Ayarlar!$B$4*ABS(Bitkiler!$F$48-Topraklar!$F$22)+Ayarlar!$B$5*ABS(Bitkiler!$G$48-Topraklar!$G$22)+Ayarlar!$B$6*IF(Bitkiler!$H$48=Topraklar!$H$22,0,1))/Ayarlar!$B$7)+IF(Topraklar!$K$22=Bitkiler!$C$48,0.002,IF(Topraklar!$L$22="Evet",0.001,0)))</f>
        <v/>
      </c>
      <c r="W49" s="16">
        <f>IF(OR(Topraklar!$J$23="Evet",AND(Topraklar!$L$23&lt;&gt;"Evet",Topraklar!$K$23&lt;&gt;Bitkiler!$C$48)),0,MAX(0,1-(Ayarlar!$B$2*ABS(Bitkiler!$D$48-Topraklar!$D$23)+Ayarlar!$B$3*ABS(Bitkiler!$E$48-Topraklar!$E$23)+Ayarlar!$B$4*ABS(Bitkiler!$F$48-Topraklar!$F$23)+Ayarlar!$B$5*ABS(Bitkiler!$G$48-Topraklar!$G$23)+Ayarlar!$B$6*IF(Bitkiler!$H$48=Topraklar!$H$23,0,1))/Ayarlar!$B$7)+IF(Topraklar!$K$23=Bitkiler!$C$48,0.002,IF(Topraklar!$L$23="Evet",0.001,0)))</f>
        <v/>
      </c>
      <c r="X49" s="16">
        <f>IF(OR(Topraklar!$J$24="Evet",AND(Topraklar!$L$24&lt;&gt;"Evet",Topraklar!$K$24&lt;&gt;Bitkiler!$C$48)),0,MAX(0,1-(Ayarlar!$B$2*ABS(Bitkiler!$D$48-Topraklar!$D$24)+Ayarlar!$B$3*ABS(Bitkiler!$E$48-Topraklar!$E$24)+Ayarlar!$B$4*ABS(Bitkiler!$F$48-Topraklar!$F$24)+Ayarlar!$B$5*ABS(Bitkiler!$G$48-Topraklar!$G$24)+Ayarlar!$B$6*IF(Bitkiler!$H$48=Topraklar!$H$24,0,1))/Ayarlar!$B$7)+IF(Topraklar!$K$24=Bitkiler!$C$48,0.002,IF(Topraklar!$L$24="Evet",0.001,0)))</f>
        <v/>
      </c>
      <c r="Y49" s="16">
        <f>IF(OR(Topraklar!$J$25="Evet",AND(Topraklar!$L$25&lt;&gt;"Evet",Topraklar!$K$25&lt;&gt;Bitkiler!$C$48)),0,MAX(0,1-(Ayarlar!$B$2*ABS(Bitkiler!$D$48-Topraklar!$D$25)+Ayarlar!$B$3*ABS(Bitkiler!$E$48-Topraklar!$E$25)+Ayarlar!$B$4*ABS(Bitkiler!$F$48-Topraklar!$F$25)+Ayarlar!$B$5*ABS(Bitkiler!$G$48-Topraklar!$G$25)+Ayarlar!$B$6*IF(Bitkiler!$H$48=Topraklar!$H$25,0,1))/Ayarlar!$B$7)+IF(Topraklar!$K$25=Bitkiler!$C$48,0.002,IF(Topraklar!$L$25="Evet",0.001,0)))</f>
        <v/>
      </c>
      <c r="Z49" s="16">
        <f>IF(OR(Topraklar!$J$26="Evet",AND(Topraklar!$L$26&lt;&gt;"Evet",Topraklar!$K$26&lt;&gt;Bitkiler!$C$48)),0,MAX(0,1-(Ayarlar!$B$2*ABS(Bitkiler!$D$48-Topraklar!$D$26)+Ayarlar!$B$3*ABS(Bitkiler!$E$48-Topraklar!$E$26)+Ayarlar!$B$4*ABS(Bitkiler!$F$48-Topraklar!$F$26)+Ayarlar!$B$5*ABS(Bitkiler!$G$48-Topraklar!$G$26)+Ayarlar!$B$6*IF(Bitkiler!$H$48=Topraklar!$H$26,0,1))/Ayarlar!$B$7)+IF(Topraklar!$K$26=Bitkiler!$C$48,0.002,IF(Topraklar!$L$26="Evet",0.001,0)))</f>
        <v/>
      </c>
      <c r="AA49" s="16">
        <f>IF(OR(Topraklar!$J$27="Evet",AND(Topraklar!$L$27&lt;&gt;"Evet",Topraklar!$K$27&lt;&gt;Bitkiler!$C$48)),0,MAX(0,1-(Ayarlar!$B$2*ABS(Bitkiler!$D$48-Topraklar!$D$27)+Ayarlar!$B$3*ABS(Bitkiler!$E$48-Topraklar!$E$27)+Ayarlar!$B$4*ABS(Bitkiler!$F$48-Topraklar!$F$27)+Ayarlar!$B$5*ABS(Bitkiler!$G$48-Topraklar!$G$27)+Ayarlar!$B$6*IF(Bitkiler!$H$48=Topraklar!$H$27,0,1))/Ayarlar!$B$7)+IF(Topraklar!$K$27=Bitkiler!$C$48,0.002,IF(Topraklar!$L$27="Evet",0.001,0)))</f>
        <v/>
      </c>
      <c r="AB49" s="16">
        <f>IF(OR(Topraklar!$J$28="Evet",AND(Topraklar!$L$28&lt;&gt;"Evet",Topraklar!$K$28&lt;&gt;Bitkiler!$C$48)),0,MAX(0,1-(Ayarlar!$B$2*ABS(Bitkiler!$D$48-Topraklar!$D$28)+Ayarlar!$B$3*ABS(Bitkiler!$E$48-Topraklar!$E$28)+Ayarlar!$B$4*ABS(Bitkiler!$F$48-Topraklar!$F$28)+Ayarlar!$B$5*ABS(Bitkiler!$G$48-Topraklar!$G$28)+Ayarlar!$B$6*IF(Bitkiler!$H$48=Topraklar!$H$28,0,1))/Ayarlar!$B$7)+IF(Topraklar!$K$28=Bitkiler!$C$48,0.002,IF(Topraklar!$L$28="Evet",0.001,0)))</f>
        <v/>
      </c>
      <c r="AC49" s="16">
        <f>IF(OR(Topraklar!$J$29="Evet",AND(Topraklar!$L$29&lt;&gt;"Evet",Topraklar!$K$29&lt;&gt;Bitkiler!$C$48)),0,MAX(0,1-(Ayarlar!$B$2*ABS(Bitkiler!$D$48-Topraklar!$D$29)+Ayarlar!$B$3*ABS(Bitkiler!$E$48-Topraklar!$E$29)+Ayarlar!$B$4*ABS(Bitkiler!$F$48-Topraklar!$F$29)+Ayarlar!$B$5*ABS(Bitkiler!$G$48-Topraklar!$G$29)+Ayarlar!$B$6*IF(Bitkiler!$H$48=Topraklar!$H$29,0,1))/Ayarlar!$B$7)+IF(Topraklar!$K$29=Bitkiler!$C$48,0.002,IF(Topraklar!$L$29="Evet",0.001,0)))</f>
        <v/>
      </c>
      <c r="AD49" s="16">
        <f>IF(OR(Topraklar!$J$30="Evet",AND(Topraklar!$L$30&lt;&gt;"Evet",Topraklar!$K$30&lt;&gt;Bitkiler!$C$48)),0,MAX(0,1-(Ayarlar!$B$2*ABS(Bitkiler!$D$48-Topraklar!$D$30)+Ayarlar!$B$3*ABS(Bitkiler!$E$48-Topraklar!$E$30)+Ayarlar!$B$4*ABS(Bitkiler!$F$48-Topraklar!$F$30)+Ayarlar!$B$5*ABS(Bitkiler!$G$48-Topraklar!$G$30)+Ayarlar!$B$6*IF(Bitkiler!$H$48=Topraklar!$H$30,0,1))/Ayarlar!$B$7)+IF(Topraklar!$K$30=Bitkiler!$C$48,0.002,IF(Topraklar!$L$30="Evet",0.001,0)))</f>
        <v/>
      </c>
      <c r="AE49" s="16">
        <f>IF(OR(Topraklar!$J$31="Evet",AND(Topraklar!$L$31&lt;&gt;"Evet",Topraklar!$K$31&lt;&gt;Bitkiler!$C$48)),0,MAX(0,1-(Ayarlar!$B$2*ABS(Bitkiler!$D$48-Topraklar!$D$31)+Ayarlar!$B$3*ABS(Bitkiler!$E$48-Topraklar!$E$31)+Ayarlar!$B$4*ABS(Bitkiler!$F$48-Topraklar!$F$31)+Ayarlar!$B$5*ABS(Bitkiler!$G$48-Topraklar!$G$31)+Ayarlar!$B$6*IF(Bitkiler!$H$48=Topraklar!$H$31,0,1))/Ayarlar!$B$7)+IF(Topraklar!$K$31=Bitkiler!$C$48,0.002,IF(Topraklar!$L$31="Evet",0.001,0)))</f>
        <v/>
      </c>
      <c r="AF49" s="16">
        <f>IF(OR(Topraklar!$J$32="Evet",AND(Topraklar!$L$32&lt;&gt;"Evet",Topraklar!$K$32&lt;&gt;Bitkiler!$C$48)),0,MAX(0,1-(Ayarlar!$B$2*ABS(Bitkiler!$D$48-Topraklar!$D$32)+Ayarlar!$B$3*ABS(Bitkiler!$E$48-Topraklar!$E$32)+Ayarlar!$B$4*ABS(Bitkiler!$F$48-Topraklar!$F$32)+Ayarlar!$B$5*ABS(Bitkiler!$G$48-Topraklar!$G$32)+Ayarlar!$B$6*IF(Bitkiler!$H$48=Topraklar!$H$32,0,1))/Ayarlar!$B$7)+IF(Topraklar!$K$32=Bitkiler!$C$48,0.002,IF(Topraklar!$L$32="Evet",0.001,0)))</f>
        <v/>
      </c>
      <c r="AG49" s="16">
        <f>IF(OR(Topraklar!$J$33="Evet",AND(Topraklar!$L$33&lt;&gt;"Evet",Topraklar!$K$33&lt;&gt;Bitkiler!$C$48)),0,MAX(0,1-(Ayarlar!$B$2*ABS(Bitkiler!$D$48-Topraklar!$D$33)+Ayarlar!$B$3*ABS(Bitkiler!$E$48-Topraklar!$E$33)+Ayarlar!$B$4*ABS(Bitkiler!$F$48-Topraklar!$F$33)+Ayarlar!$B$5*ABS(Bitkiler!$G$48-Topraklar!$G$33)+Ayarlar!$B$6*IF(Bitkiler!$H$48=Topraklar!$H$33,0,1))/Ayarlar!$B$7)+IF(Topraklar!$K$33=Bitkiler!$C$48,0.002,IF(Topraklar!$L$33="Evet",0.001,0)))</f>
        <v/>
      </c>
      <c r="AH49" s="16">
        <f>IF(OR(Topraklar!$J$34="Evet",AND(Topraklar!$L$34&lt;&gt;"Evet",Topraklar!$K$34&lt;&gt;Bitkiler!$C$48)),0,MAX(0,1-(Ayarlar!$B$2*ABS(Bitkiler!$D$48-Topraklar!$D$34)+Ayarlar!$B$3*ABS(Bitkiler!$E$48-Topraklar!$E$34)+Ayarlar!$B$4*ABS(Bitkiler!$F$48-Topraklar!$F$34)+Ayarlar!$B$5*ABS(Bitkiler!$G$48-Topraklar!$G$34)+Ayarlar!$B$6*IF(Bitkiler!$H$48=Topraklar!$H$34,0,1))/Ayarlar!$B$7)+IF(Topraklar!$K$34=Bitkiler!$C$48,0.002,IF(Topraklar!$L$34="Evet",0.001,0)))</f>
        <v/>
      </c>
      <c r="AI49" s="16">
        <f>IF(OR(Topraklar!$J$35="Evet",AND(Topraklar!$L$35&lt;&gt;"Evet",Topraklar!$K$35&lt;&gt;Bitkiler!$C$48)),0,MAX(0,1-(Ayarlar!$B$2*ABS(Bitkiler!$D$48-Topraklar!$D$35)+Ayarlar!$B$3*ABS(Bitkiler!$E$48-Topraklar!$E$35)+Ayarlar!$B$4*ABS(Bitkiler!$F$48-Topraklar!$F$35)+Ayarlar!$B$5*ABS(Bitkiler!$G$48-Topraklar!$G$35)+Ayarlar!$B$6*IF(Bitkiler!$H$48=Topraklar!$H$35,0,1))/Ayarlar!$B$7)+IF(Topraklar!$K$35=Bitkiler!$C$48,0.002,IF(Topraklar!$L$35="Evet",0.001,0)))</f>
        <v/>
      </c>
      <c r="AJ49" s="16">
        <f>IF(OR(Topraklar!$J$36="Evet",AND(Topraklar!$L$36&lt;&gt;"Evet",Topraklar!$K$36&lt;&gt;Bitkiler!$C$48)),0,MAX(0,1-(Ayarlar!$B$2*ABS(Bitkiler!$D$48-Topraklar!$D$36)+Ayarlar!$B$3*ABS(Bitkiler!$E$48-Topraklar!$E$36)+Ayarlar!$B$4*ABS(Bitkiler!$F$48-Topraklar!$F$36)+Ayarlar!$B$5*ABS(Bitkiler!$G$48-Topraklar!$G$36)+Ayarlar!$B$6*IF(Bitkiler!$H$48=Topraklar!$H$36,0,1))/Ayarlar!$B$7)+IF(Topraklar!$K$36=Bitkiler!$C$48,0.002,IF(Topraklar!$L$36="Evet",0.001,0)))</f>
        <v/>
      </c>
      <c r="AK49" s="16">
        <f>IF(OR(Topraklar!$J$37="Evet",AND(Topraklar!$L$37&lt;&gt;"Evet",Topraklar!$K$37&lt;&gt;Bitkiler!$C$48)),0,MAX(0,1-(Ayarlar!$B$2*ABS(Bitkiler!$D$48-Topraklar!$D$37)+Ayarlar!$B$3*ABS(Bitkiler!$E$48-Topraklar!$E$37)+Ayarlar!$B$4*ABS(Bitkiler!$F$48-Topraklar!$F$37)+Ayarlar!$B$5*ABS(Bitkiler!$G$48-Topraklar!$G$37)+Ayarlar!$B$6*IF(Bitkiler!$H$48=Topraklar!$H$37,0,1))/Ayarlar!$B$7)+IF(Topraklar!$K$37=Bitkiler!$C$48,0.002,IF(Topraklar!$L$37="Evet",0.001,0)))</f>
        <v/>
      </c>
      <c r="AL49" s="16">
        <f>IF(OR(Topraklar!$J$38="Evet",AND(Topraklar!$L$38&lt;&gt;"Evet",Topraklar!$K$38&lt;&gt;Bitkiler!$C$48)),0,MAX(0,1-(Ayarlar!$B$2*ABS(Bitkiler!$D$48-Topraklar!$D$38)+Ayarlar!$B$3*ABS(Bitkiler!$E$48-Topraklar!$E$38)+Ayarlar!$B$4*ABS(Bitkiler!$F$48-Topraklar!$F$38)+Ayarlar!$B$5*ABS(Bitkiler!$G$48-Topraklar!$G$38)+Ayarlar!$B$6*IF(Bitkiler!$H$48=Topraklar!$H$38,0,1))/Ayarlar!$B$7)+IF(Topraklar!$K$38=Bitkiler!$C$48,0.002,IF(Topraklar!$L$38="Evet",0.001,0)))</f>
        <v/>
      </c>
      <c r="AM49" s="16">
        <f>IF(OR(Topraklar!$J$39="Evet",AND(Topraklar!$L$39&lt;&gt;"Evet",Topraklar!$K$39&lt;&gt;Bitkiler!$C$48)),0,MAX(0,1-(Ayarlar!$B$2*ABS(Bitkiler!$D$48-Topraklar!$D$39)+Ayarlar!$B$3*ABS(Bitkiler!$E$48-Topraklar!$E$39)+Ayarlar!$B$4*ABS(Bitkiler!$F$48-Topraklar!$F$39)+Ayarlar!$B$5*ABS(Bitkiler!$G$48-Topraklar!$G$39)+Ayarlar!$B$6*IF(Bitkiler!$H$48=Topraklar!$H$39,0,1))/Ayarlar!$B$7)+IF(Topraklar!$K$39=Bitkiler!$C$48,0.002,IF(Topraklar!$L$39="Evet",0.001,0)))</f>
        <v/>
      </c>
      <c r="AN49" s="16">
        <f>IF(OR(Topraklar!$J$40="Evet",AND(Topraklar!$L$40&lt;&gt;"Evet",Topraklar!$K$40&lt;&gt;Bitkiler!$C$48)),0,MAX(0,1-(Ayarlar!$B$2*ABS(Bitkiler!$D$48-Topraklar!$D$40)+Ayarlar!$B$3*ABS(Bitkiler!$E$48-Topraklar!$E$40)+Ayarlar!$B$4*ABS(Bitkiler!$F$48-Topraklar!$F$40)+Ayarlar!$B$5*ABS(Bitkiler!$G$48-Topraklar!$G$40)+Ayarlar!$B$6*IF(Bitkiler!$H$48=Topraklar!$H$40,0,1))/Ayarlar!$B$7)+IF(Topraklar!$K$40=Bitkiler!$C$48,0.002,IF(Topraklar!$L$40="Evet",0.001,0)))</f>
        <v/>
      </c>
      <c r="AO49" s="16">
        <f>IF(OR(Topraklar!$J$41="Evet",AND(Topraklar!$L$41&lt;&gt;"Evet",Topraklar!$K$41&lt;&gt;Bitkiler!$C$48)),0,MAX(0,1-(Ayarlar!$B$2*ABS(Bitkiler!$D$48-Topraklar!$D$41)+Ayarlar!$B$3*ABS(Bitkiler!$E$48-Topraklar!$E$41)+Ayarlar!$B$4*ABS(Bitkiler!$F$48-Topraklar!$F$41)+Ayarlar!$B$5*ABS(Bitkiler!$G$48-Topraklar!$G$41)+Ayarlar!$B$6*IF(Bitkiler!$H$48=Topraklar!$H$41,0,1))/Ayarlar!$B$7)+IF(Topraklar!$K$41=Bitkiler!$C$48,0.002,IF(Topraklar!$L$41="Evet",0.001,0)))</f>
        <v/>
      </c>
      <c r="AP49" s="16">
        <f>IF(OR(Topraklar!$J$42="Evet",AND(Topraklar!$L$42&lt;&gt;"Evet",Topraklar!$K$42&lt;&gt;Bitkiler!$C$48)),0,MAX(0,1-(Ayarlar!$B$2*ABS(Bitkiler!$D$48-Topraklar!$D$42)+Ayarlar!$B$3*ABS(Bitkiler!$E$48-Topraklar!$E$42)+Ayarlar!$B$4*ABS(Bitkiler!$F$48-Topraklar!$F$42)+Ayarlar!$B$5*ABS(Bitkiler!$G$48-Topraklar!$G$42)+Ayarlar!$B$6*IF(Bitkiler!$H$48=Topraklar!$H$42,0,1))/Ayarlar!$B$7)+IF(Topraklar!$K$42=Bitkiler!$C$48,0.002,IF(Topraklar!$L$42="Evet",0.001,0)))</f>
        <v/>
      </c>
      <c r="AQ49" s="16">
        <f>IF(OR(Topraklar!$J$43="Evet",AND(Topraklar!$L$43&lt;&gt;"Evet",Topraklar!$K$43&lt;&gt;Bitkiler!$C$48)),0,MAX(0,1-(Ayarlar!$B$2*ABS(Bitkiler!$D$48-Topraklar!$D$43)+Ayarlar!$B$3*ABS(Bitkiler!$E$48-Topraklar!$E$43)+Ayarlar!$B$4*ABS(Bitkiler!$F$48-Topraklar!$F$43)+Ayarlar!$B$5*ABS(Bitkiler!$G$48-Topraklar!$G$43)+Ayarlar!$B$6*IF(Bitkiler!$H$48=Topraklar!$H$43,0,1))/Ayarlar!$B$7)+IF(Topraklar!$K$43=Bitkiler!$C$48,0.002,IF(Topraklar!$L$43="Evet",0.001,0)))</f>
        <v/>
      </c>
      <c r="AR49" s="16">
        <f>IF(OR(Topraklar!$J$44="Evet",AND(Topraklar!$L$44&lt;&gt;"Evet",Topraklar!$K$44&lt;&gt;Bitkiler!$C$48)),0,MAX(0,1-(Ayarlar!$B$2*ABS(Bitkiler!$D$48-Topraklar!$D$44)+Ayarlar!$B$3*ABS(Bitkiler!$E$48-Topraklar!$E$44)+Ayarlar!$B$4*ABS(Bitkiler!$F$48-Topraklar!$F$44)+Ayarlar!$B$5*ABS(Bitkiler!$G$48-Topraklar!$G$44)+Ayarlar!$B$6*IF(Bitkiler!$H$48=Topraklar!$H$44,0,1))/Ayarlar!$B$7)+IF(Topraklar!$K$44=Bitkiler!$C$48,0.002,IF(Topraklar!$L$44="Evet",0.001,0)))</f>
        <v/>
      </c>
      <c r="AS49" s="16">
        <f>IF(OR(Topraklar!$J$45="Evet",AND(Topraklar!$L$45&lt;&gt;"Evet",Topraklar!$K$45&lt;&gt;Bitkiler!$C$48)),0,MAX(0,1-(Ayarlar!$B$2*ABS(Bitkiler!$D$48-Topraklar!$D$45)+Ayarlar!$B$3*ABS(Bitkiler!$E$48-Topraklar!$E$45)+Ayarlar!$B$4*ABS(Bitkiler!$F$48-Topraklar!$F$45)+Ayarlar!$B$5*ABS(Bitkiler!$G$48-Topraklar!$G$45)+Ayarlar!$B$6*IF(Bitkiler!$H$48=Topraklar!$H$45,0,1))/Ayarlar!$B$7)+IF(Topraklar!$K$45=Bitkiler!$C$48,0.002,IF(Topraklar!$L$45="Evet",0.001,0)))</f>
        <v/>
      </c>
      <c r="AT49" s="16">
        <f>IF(OR(Topraklar!$J$46="Evet",AND(Topraklar!$L$46&lt;&gt;"Evet",Topraklar!$K$46&lt;&gt;Bitkiler!$C$48)),0,MAX(0,1-(Ayarlar!$B$2*ABS(Bitkiler!$D$48-Topraklar!$D$46)+Ayarlar!$B$3*ABS(Bitkiler!$E$48-Topraklar!$E$46)+Ayarlar!$B$4*ABS(Bitkiler!$F$48-Topraklar!$F$46)+Ayarlar!$B$5*ABS(Bitkiler!$G$48-Topraklar!$G$46)+Ayarlar!$B$6*IF(Bitkiler!$H$48=Topraklar!$H$46,0,1))/Ayarlar!$B$7)+IF(Topraklar!$K$46=Bitkiler!$C$48,0.002,IF(Topraklar!$L$46="Evet",0.001,0)))</f>
        <v/>
      </c>
      <c r="AU49" s="16">
        <f>IF(OR(Topraklar!$J$47="Evet",AND(Topraklar!$L$47&lt;&gt;"Evet",Topraklar!$K$47&lt;&gt;Bitkiler!$C$48)),0,MAX(0,1-(Ayarlar!$B$2*ABS(Bitkiler!$D$48-Topraklar!$D$47)+Ayarlar!$B$3*ABS(Bitkiler!$E$48-Topraklar!$E$47)+Ayarlar!$B$4*ABS(Bitkiler!$F$48-Topraklar!$F$47)+Ayarlar!$B$5*ABS(Bitkiler!$G$48-Topraklar!$G$47)+Ayarlar!$B$6*IF(Bitkiler!$H$48=Topraklar!$H$47,0,1))/Ayarlar!$B$7)+IF(Topraklar!$K$47=Bitkiler!$C$48,0.002,IF(Topraklar!$L$47="Evet",0.001,0)))</f>
        <v/>
      </c>
      <c r="AV49" s="16">
        <f>IF(OR(Topraklar!$J$48="Evet",AND(Topraklar!$L$48&lt;&gt;"Evet",Topraklar!$K$48&lt;&gt;Bitkiler!$C$48)),0,MAX(0,1-(Ayarlar!$B$2*ABS(Bitkiler!$D$48-Topraklar!$D$48)+Ayarlar!$B$3*ABS(Bitkiler!$E$48-Topraklar!$E$48)+Ayarlar!$B$4*ABS(Bitkiler!$F$48-Topraklar!$F$48)+Ayarlar!$B$5*ABS(Bitkiler!$G$48-Topraklar!$G$48)+Ayarlar!$B$6*IF(Bitkiler!$H$48=Topraklar!$H$48,0,1))/Ayarlar!$B$7)+IF(Topraklar!$K$48=Bitkiler!$C$48,0.002,IF(Topraklar!$L$48="Evet",0.001,0)))</f>
        <v/>
      </c>
      <c r="AW49" s="16">
        <f>IF(OR(Topraklar!$J$49="Evet",AND(Topraklar!$L$49&lt;&gt;"Evet",Topraklar!$K$49&lt;&gt;Bitkiler!$C$48)),0,MAX(0,1-(Ayarlar!$B$2*ABS(Bitkiler!$D$48-Topraklar!$D$49)+Ayarlar!$B$3*ABS(Bitkiler!$E$48-Topraklar!$E$49)+Ayarlar!$B$4*ABS(Bitkiler!$F$48-Topraklar!$F$49)+Ayarlar!$B$5*ABS(Bitkiler!$G$48-Topraklar!$G$49)+Ayarlar!$B$6*IF(Bitkiler!$H$48=Topraklar!$H$49,0,1))/Ayarlar!$B$7)+IF(Topraklar!$K$49=Bitkiler!$C$48,0.002,IF(Topraklar!$L$49="Evet",0.001,0)))</f>
        <v/>
      </c>
      <c r="AX49" s="16">
        <f>IF(OR(Topraklar!$J$50="Evet",AND(Topraklar!$L$50&lt;&gt;"Evet",Topraklar!$K$50&lt;&gt;Bitkiler!$C$48)),0,MAX(0,1-(Ayarlar!$B$2*ABS(Bitkiler!$D$48-Topraklar!$D$50)+Ayarlar!$B$3*ABS(Bitkiler!$E$48-Topraklar!$E$50)+Ayarlar!$B$4*ABS(Bitkiler!$F$48-Topraklar!$F$50)+Ayarlar!$B$5*ABS(Bitkiler!$G$48-Topraklar!$G$50)+Ayarlar!$B$6*IF(Bitkiler!$H$48=Topraklar!$H$50,0,1))/Ayarlar!$B$7)+IF(Topraklar!$K$50=Bitkiler!$C$48,0.002,IF(Topraklar!$L$50="Evet",0.001,0)))</f>
        <v/>
      </c>
      <c r="AY49" s="16">
        <f>IF(OR(Topraklar!$J$51="Evet",AND(Topraklar!$L$51&lt;&gt;"Evet",Topraklar!$K$51&lt;&gt;Bitkiler!$C$48)),0,MAX(0,1-(Ayarlar!$B$2*ABS(Bitkiler!$D$48-Topraklar!$D$51)+Ayarlar!$B$3*ABS(Bitkiler!$E$48-Topraklar!$E$51)+Ayarlar!$B$4*ABS(Bitkiler!$F$48-Topraklar!$F$51)+Ayarlar!$B$5*ABS(Bitkiler!$G$48-Topraklar!$G$51)+Ayarlar!$B$6*IF(Bitkiler!$H$48=Topraklar!$H$51,0,1))/Ayarlar!$B$7)+IF(Topraklar!$K$51=Bitkiler!$C$48,0.002,IF(Topraklar!$L$51="Evet",0.001,0)))</f>
        <v/>
      </c>
    </row>
    <row r="50">
      <c r="A50" s="15">
        <f>Bitkiler!A49</f>
        <v/>
      </c>
      <c r="B50" s="16">
        <f>IF(OR(Topraklar!$J$2="Evet",AND(Topraklar!$L$2&lt;&gt;"Evet",Topraklar!$K$2&lt;&gt;Bitkiler!$C$49)),0,MAX(0,1-(Ayarlar!$B$2*ABS(Bitkiler!$D$49-Topraklar!$D$2)+Ayarlar!$B$3*ABS(Bitkiler!$E$49-Topraklar!$E$2)+Ayarlar!$B$4*ABS(Bitkiler!$F$49-Topraklar!$F$2)+Ayarlar!$B$5*ABS(Bitkiler!$G$49-Topraklar!$G$2)+Ayarlar!$B$6*IF(Bitkiler!$H$49=Topraklar!$H$2,0,1))/Ayarlar!$B$7)+IF(Topraklar!$K$2=Bitkiler!$C$49,0.002,IF(Topraklar!$L$2="Evet",0.001,0)))</f>
        <v/>
      </c>
      <c r="C50" s="16">
        <f>IF(OR(Topraklar!$J$3="Evet",AND(Topraklar!$L$3&lt;&gt;"Evet",Topraklar!$K$3&lt;&gt;Bitkiler!$C$49)),0,MAX(0,1-(Ayarlar!$B$2*ABS(Bitkiler!$D$49-Topraklar!$D$3)+Ayarlar!$B$3*ABS(Bitkiler!$E$49-Topraklar!$E$3)+Ayarlar!$B$4*ABS(Bitkiler!$F$49-Topraklar!$F$3)+Ayarlar!$B$5*ABS(Bitkiler!$G$49-Topraklar!$G$3)+Ayarlar!$B$6*IF(Bitkiler!$H$49=Topraklar!$H$3,0,1))/Ayarlar!$B$7)+IF(Topraklar!$K$3=Bitkiler!$C$49,0.002,IF(Topraklar!$L$3="Evet",0.001,0)))</f>
        <v/>
      </c>
      <c r="D50" s="16">
        <f>IF(OR(Topraklar!$J$4="Evet",AND(Topraklar!$L$4&lt;&gt;"Evet",Topraklar!$K$4&lt;&gt;Bitkiler!$C$49)),0,MAX(0,1-(Ayarlar!$B$2*ABS(Bitkiler!$D$49-Topraklar!$D$4)+Ayarlar!$B$3*ABS(Bitkiler!$E$49-Topraklar!$E$4)+Ayarlar!$B$4*ABS(Bitkiler!$F$49-Topraklar!$F$4)+Ayarlar!$B$5*ABS(Bitkiler!$G$49-Topraklar!$G$4)+Ayarlar!$B$6*IF(Bitkiler!$H$49=Topraklar!$H$4,0,1))/Ayarlar!$B$7)+IF(Topraklar!$K$4=Bitkiler!$C$49,0.002,IF(Topraklar!$L$4="Evet",0.001,0)))</f>
        <v/>
      </c>
      <c r="E50" s="16">
        <f>IF(OR(Topraklar!$J$5="Evet",AND(Topraklar!$L$5&lt;&gt;"Evet",Topraklar!$K$5&lt;&gt;Bitkiler!$C$49)),0,MAX(0,1-(Ayarlar!$B$2*ABS(Bitkiler!$D$49-Topraklar!$D$5)+Ayarlar!$B$3*ABS(Bitkiler!$E$49-Topraklar!$E$5)+Ayarlar!$B$4*ABS(Bitkiler!$F$49-Topraklar!$F$5)+Ayarlar!$B$5*ABS(Bitkiler!$G$49-Topraklar!$G$5)+Ayarlar!$B$6*IF(Bitkiler!$H$49=Topraklar!$H$5,0,1))/Ayarlar!$B$7)+IF(Topraklar!$K$5=Bitkiler!$C$49,0.002,IF(Topraklar!$L$5="Evet",0.001,0)))</f>
        <v/>
      </c>
      <c r="F50" s="16">
        <f>IF(OR(Topraklar!$J$6="Evet",AND(Topraklar!$L$6&lt;&gt;"Evet",Topraklar!$K$6&lt;&gt;Bitkiler!$C$49)),0,MAX(0,1-(Ayarlar!$B$2*ABS(Bitkiler!$D$49-Topraklar!$D$6)+Ayarlar!$B$3*ABS(Bitkiler!$E$49-Topraklar!$E$6)+Ayarlar!$B$4*ABS(Bitkiler!$F$49-Topraklar!$F$6)+Ayarlar!$B$5*ABS(Bitkiler!$G$49-Topraklar!$G$6)+Ayarlar!$B$6*IF(Bitkiler!$H$49=Topraklar!$H$6,0,1))/Ayarlar!$B$7)+IF(Topraklar!$K$6=Bitkiler!$C$49,0.002,IF(Topraklar!$L$6="Evet",0.001,0)))</f>
        <v/>
      </c>
      <c r="G50" s="16">
        <f>IF(OR(Topraklar!$J$7="Evet",AND(Topraklar!$L$7&lt;&gt;"Evet",Topraklar!$K$7&lt;&gt;Bitkiler!$C$49)),0,MAX(0,1-(Ayarlar!$B$2*ABS(Bitkiler!$D$49-Topraklar!$D$7)+Ayarlar!$B$3*ABS(Bitkiler!$E$49-Topraklar!$E$7)+Ayarlar!$B$4*ABS(Bitkiler!$F$49-Topraklar!$F$7)+Ayarlar!$B$5*ABS(Bitkiler!$G$49-Topraklar!$G$7)+Ayarlar!$B$6*IF(Bitkiler!$H$49=Topraklar!$H$7,0,1))/Ayarlar!$B$7)+IF(Topraklar!$K$7=Bitkiler!$C$49,0.002,IF(Topraklar!$L$7="Evet",0.001,0)))</f>
        <v/>
      </c>
      <c r="H50" s="16">
        <f>IF(OR(Topraklar!$J$8="Evet",AND(Topraklar!$L$8&lt;&gt;"Evet",Topraklar!$K$8&lt;&gt;Bitkiler!$C$49)),0,MAX(0,1-(Ayarlar!$B$2*ABS(Bitkiler!$D$49-Topraklar!$D$8)+Ayarlar!$B$3*ABS(Bitkiler!$E$49-Topraklar!$E$8)+Ayarlar!$B$4*ABS(Bitkiler!$F$49-Topraklar!$F$8)+Ayarlar!$B$5*ABS(Bitkiler!$G$49-Topraklar!$G$8)+Ayarlar!$B$6*IF(Bitkiler!$H$49=Topraklar!$H$8,0,1))/Ayarlar!$B$7)+IF(Topraklar!$K$8=Bitkiler!$C$49,0.002,IF(Topraklar!$L$8="Evet",0.001,0)))</f>
        <v/>
      </c>
      <c r="I50" s="16">
        <f>IF(OR(Topraklar!$J$9="Evet",AND(Topraklar!$L$9&lt;&gt;"Evet",Topraklar!$K$9&lt;&gt;Bitkiler!$C$49)),0,MAX(0,1-(Ayarlar!$B$2*ABS(Bitkiler!$D$49-Topraklar!$D$9)+Ayarlar!$B$3*ABS(Bitkiler!$E$49-Topraklar!$E$9)+Ayarlar!$B$4*ABS(Bitkiler!$F$49-Topraklar!$F$9)+Ayarlar!$B$5*ABS(Bitkiler!$G$49-Topraklar!$G$9)+Ayarlar!$B$6*IF(Bitkiler!$H$49=Topraklar!$H$9,0,1))/Ayarlar!$B$7)+IF(Topraklar!$K$9=Bitkiler!$C$49,0.002,IF(Topraklar!$L$9="Evet",0.001,0)))</f>
        <v/>
      </c>
      <c r="J50" s="16">
        <f>IF(OR(Topraklar!$J$10="Evet",AND(Topraklar!$L$10&lt;&gt;"Evet",Topraklar!$K$10&lt;&gt;Bitkiler!$C$49)),0,MAX(0,1-(Ayarlar!$B$2*ABS(Bitkiler!$D$49-Topraklar!$D$10)+Ayarlar!$B$3*ABS(Bitkiler!$E$49-Topraklar!$E$10)+Ayarlar!$B$4*ABS(Bitkiler!$F$49-Topraklar!$F$10)+Ayarlar!$B$5*ABS(Bitkiler!$G$49-Topraklar!$G$10)+Ayarlar!$B$6*IF(Bitkiler!$H$49=Topraklar!$H$10,0,1))/Ayarlar!$B$7)+IF(Topraklar!$K$10=Bitkiler!$C$49,0.002,IF(Topraklar!$L$10="Evet",0.001,0)))</f>
        <v/>
      </c>
      <c r="K50" s="16">
        <f>IF(OR(Topraklar!$J$11="Evet",AND(Topraklar!$L$11&lt;&gt;"Evet",Topraklar!$K$11&lt;&gt;Bitkiler!$C$49)),0,MAX(0,1-(Ayarlar!$B$2*ABS(Bitkiler!$D$49-Topraklar!$D$11)+Ayarlar!$B$3*ABS(Bitkiler!$E$49-Topraklar!$E$11)+Ayarlar!$B$4*ABS(Bitkiler!$F$49-Topraklar!$F$11)+Ayarlar!$B$5*ABS(Bitkiler!$G$49-Topraklar!$G$11)+Ayarlar!$B$6*IF(Bitkiler!$H$49=Topraklar!$H$11,0,1))/Ayarlar!$B$7)+IF(Topraklar!$K$11=Bitkiler!$C$49,0.002,IF(Topraklar!$L$11="Evet",0.001,0)))</f>
        <v/>
      </c>
      <c r="L50" s="16">
        <f>IF(OR(Topraklar!$J$12="Evet",AND(Topraklar!$L$12&lt;&gt;"Evet",Topraklar!$K$12&lt;&gt;Bitkiler!$C$49)),0,MAX(0,1-(Ayarlar!$B$2*ABS(Bitkiler!$D$49-Topraklar!$D$12)+Ayarlar!$B$3*ABS(Bitkiler!$E$49-Topraklar!$E$12)+Ayarlar!$B$4*ABS(Bitkiler!$F$49-Topraklar!$F$12)+Ayarlar!$B$5*ABS(Bitkiler!$G$49-Topraklar!$G$12)+Ayarlar!$B$6*IF(Bitkiler!$H$49=Topraklar!$H$12,0,1))/Ayarlar!$B$7)+IF(Topraklar!$K$12=Bitkiler!$C$49,0.002,IF(Topraklar!$L$12="Evet",0.001,0)))</f>
        <v/>
      </c>
      <c r="M50" s="16">
        <f>IF(OR(Topraklar!$J$13="Evet",AND(Topraklar!$L$13&lt;&gt;"Evet",Topraklar!$K$13&lt;&gt;Bitkiler!$C$49)),0,MAX(0,1-(Ayarlar!$B$2*ABS(Bitkiler!$D$49-Topraklar!$D$13)+Ayarlar!$B$3*ABS(Bitkiler!$E$49-Topraklar!$E$13)+Ayarlar!$B$4*ABS(Bitkiler!$F$49-Topraklar!$F$13)+Ayarlar!$B$5*ABS(Bitkiler!$G$49-Topraklar!$G$13)+Ayarlar!$B$6*IF(Bitkiler!$H$49=Topraklar!$H$13,0,1))/Ayarlar!$B$7)+IF(Topraklar!$K$13=Bitkiler!$C$49,0.002,IF(Topraklar!$L$13="Evet",0.001,0)))</f>
        <v/>
      </c>
      <c r="N50" s="16">
        <f>IF(OR(Topraklar!$J$14="Evet",AND(Topraklar!$L$14&lt;&gt;"Evet",Topraklar!$K$14&lt;&gt;Bitkiler!$C$49)),0,MAX(0,1-(Ayarlar!$B$2*ABS(Bitkiler!$D$49-Topraklar!$D$14)+Ayarlar!$B$3*ABS(Bitkiler!$E$49-Topraklar!$E$14)+Ayarlar!$B$4*ABS(Bitkiler!$F$49-Topraklar!$F$14)+Ayarlar!$B$5*ABS(Bitkiler!$G$49-Topraklar!$G$14)+Ayarlar!$B$6*IF(Bitkiler!$H$49=Topraklar!$H$14,0,1))/Ayarlar!$B$7)+IF(Topraklar!$K$14=Bitkiler!$C$49,0.002,IF(Topraklar!$L$14="Evet",0.001,0)))</f>
        <v/>
      </c>
      <c r="O50" s="16">
        <f>IF(OR(Topraklar!$J$15="Evet",AND(Topraklar!$L$15&lt;&gt;"Evet",Topraklar!$K$15&lt;&gt;Bitkiler!$C$49)),0,MAX(0,1-(Ayarlar!$B$2*ABS(Bitkiler!$D$49-Topraklar!$D$15)+Ayarlar!$B$3*ABS(Bitkiler!$E$49-Topraklar!$E$15)+Ayarlar!$B$4*ABS(Bitkiler!$F$49-Topraklar!$F$15)+Ayarlar!$B$5*ABS(Bitkiler!$G$49-Topraklar!$G$15)+Ayarlar!$B$6*IF(Bitkiler!$H$49=Topraklar!$H$15,0,1))/Ayarlar!$B$7)+IF(Topraklar!$K$15=Bitkiler!$C$49,0.002,IF(Topraklar!$L$15="Evet",0.001,0)))</f>
        <v/>
      </c>
      <c r="P50" s="16">
        <f>IF(OR(Topraklar!$J$16="Evet",AND(Topraklar!$L$16&lt;&gt;"Evet",Topraklar!$K$16&lt;&gt;Bitkiler!$C$49)),0,MAX(0,1-(Ayarlar!$B$2*ABS(Bitkiler!$D$49-Topraklar!$D$16)+Ayarlar!$B$3*ABS(Bitkiler!$E$49-Topraklar!$E$16)+Ayarlar!$B$4*ABS(Bitkiler!$F$49-Topraklar!$F$16)+Ayarlar!$B$5*ABS(Bitkiler!$G$49-Topraklar!$G$16)+Ayarlar!$B$6*IF(Bitkiler!$H$49=Topraklar!$H$16,0,1))/Ayarlar!$B$7)+IF(Topraklar!$K$16=Bitkiler!$C$49,0.002,IF(Topraklar!$L$16="Evet",0.001,0)))</f>
        <v/>
      </c>
      <c r="Q50" s="16">
        <f>IF(OR(Topraklar!$J$17="Evet",AND(Topraklar!$L$17&lt;&gt;"Evet",Topraklar!$K$17&lt;&gt;Bitkiler!$C$49)),0,MAX(0,1-(Ayarlar!$B$2*ABS(Bitkiler!$D$49-Topraklar!$D$17)+Ayarlar!$B$3*ABS(Bitkiler!$E$49-Topraklar!$E$17)+Ayarlar!$B$4*ABS(Bitkiler!$F$49-Topraklar!$F$17)+Ayarlar!$B$5*ABS(Bitkiler!$G$49-Topraklar!$G$17)+Ayarlar!$B$6*IF(Bitkiler!$H$49=Topraklar!$H$17,0,1))/Ayarlar!$B$7)+IF(Topraklar!$K$17=Bitkiler!$C$49,0.002,IF(Topraklar!$L$17="Evet",0.001,0)))</f>
        <v/>
      </c>
      <c r="R50" s="16">
        <f>IF(OR(Topraklar!$J$18="Evet",AND(Topraklar!$L$18&lt;&gt;"Evet",Topraklar!$K$18&lt;&gt;Bitkiler!$C$49)),0,MAX(0,1-(Ayarlar!$B$2*ABS(Bitkiler!$D$49-Topraklar!$D$18)+Ayarlar!$B$3*ABS(Bitkiler!$E$49-Topraklar!$E$18)+Ayarlar!$B$4*ABS(Bitkiler!$F$49-Topraklar!$F$18)+Ayarlar!$B$5*ABS(Bitkiler!$G$49-Topraklar!$G$18)+Ayarlar!$B$6*IF(Bitkiler!$H$49=Topraklar!$H$18,0,1))/Ayarlar!$B$7)+IF(Topraklar!$K$18=Bitkiler!$C$49,0.002,IF(Topraklar!$L$18="Evet",0.001,0)))</f>
        <v/>
      </c>
      <c r="S50" s="16">
        <f>IF(OR(Topraklar!$J$19="Evet",AND(Topraklar!$L$19&lt;&gt;"Evet",Topraklar!$K$19&lt;&gt;Bitkiler!$C$49)),0,MAX(0,1-(Ayarlar!$B$2*ABS(Bitkiler!$D$49-Topraklar!$D$19)+Ayarlar!$B$3*ABS(Bitkiler!$E$49-Topraklar!$E$19)+Ayarlar!$B$4*ABS(Bitkiler!$F$49-Topraklar!$F$19)+Ayarlar!$B$5*ABS(Bitkiler!$G$49-Topraklar!$G$19)+Ayarlar!$B$6*IF(Bitkiler!$H$49=Topraklar!$H$19,0,1))/Ayarlar!$B$7)+IF(Topraklar!$K$19=Bitkiler!$C$49,0.002,IF(Topraklar!$L$19="Evet",0.001,0)))</f>
        <v/>
      </c>
      <c r="T50" s="16">
        <f>IF(OR(Topraklar!$J$20="Evet",AND(Topraklar!$L$20&lt;&gt;"Evet",Topraklar!$K$20&lt;&gt;Bitkiler!$C$49)),0,MAX(0,1-(Ayarlar!$B$2*ABS(Bitkiler!$D$49-Topraklar!$D$20)+Ayarlar!$B$3*ABS(Bitkiler!$E$49-Topraklar!$E$20)+Ayarlar!$B$4*ABS(Bitkiler!$F$49-Topraklar!$F$20)+Ayarlar!$B$5*ABS(Bitkiler!$G$49-Topraklar!$G$20)+Ayarlar!$B$6*IF(Bitkiler!$H$49=Topraklar!$H$20,0,1))/Ayarlar!$B$7)+IF(Topraklar!$K$20=Bitkiler!$C$49,0.002,IF(Topraklar!$L$20="Evet",0.001,0)))</f>
        <v/>
      </c>
      <c r="U50" s="16">
        <f>IF(OR(Topraklar!$J$21="Evet",AND(Topraklar!$L$21&lt;&gt;"Evet",Topraklar!$K$21&lt;&gt;Bitkiler!$C$49)),0,MAX(0,1-(Ayarlar!$B$2*ABS(Bitkiler!$D$49-Topraklar!$D$21)+Ayarlar!$B$3*ABS(Bitkiler!$E$49-Topraklar!$E$21)+Ayarlar!$B$4*ABS(Bitkiler!$F$49-Topraklar!$F$21)+Ayarlar!$B$5*ABS(Bitkiler!$G$49-Topraklar!$G$21)+Ayarlar!$B$6*IF(Bitkiler!$H$49=Topraklar!$H$21,0,1))/Ayarlar!$B$7)+IF(Topraklar!$K$21=Bitkiler!$C$49,0.002,IF(Topraklar!$L$21="Evet",0.001,0)))</f>
        <v/>
      </c>
      <c r="V50" s="16">
        <f>IF(OR(Topraklar!$J$22="Evet",AND(Topraklar!$L$22&lt;&gt;"Evet",Topraklar!$K$22&lt;&gt;Bitkiler!$C$49)),0,MAX(0,1-(Ayarlar!$B$2*ABS(Bitkiler!$D$49-Topraklar!$D$22)+Ayarlar!$B$3*ABS(Bitkiler!$E$49-Topraklar!$E$22)+Ayarlar!$B$4*ABS(Bitkiler!$F$49-Topraklar!$F$22)+Ayarlar!$B$5*ABS(Bitkiler!$G$49-Topraklar!$G$22)+Ayarlar!$B$6*IF(Bitkiler!$H$49=Topraklar!$H$22,0,1))/Ayarlar!$B$7)+IF(Topraklar!$K$22=Bitkiler!$C$49,0.002,IF(Topraklar!$L$22="Evet",0.001,0)))</f>
        <v/>
      </c>
      <c r="W50" s="16">
        <f>IF(OR(Topraklar!$J$23="Evet",AND(Topraklar!$L$23&lt;&gt;"Evet",Topraklar!$K$23&lt;&gt;Bitkiler!$C$49)),0,MAX(0,1-(Ayarlar!$B$2*ABS(Bitkiler!$D$49-Topraklar!$D$23)+Ayarlar!$B$3*ABS(Bitkiler!$E$49-Topraklar!$E$23)+Ayarlar!$B$4*ABS(Bitkiler!$F$49-Topraklar!$F$23)+Ayarlar!$B$5*ABS(Bitkiler!$G$49-Topraklar!$G$23)+Ayarlar!$B$6*IF(Bitkiler!$H$49=Topraklar!$H$23,0,1))/Ayarlar!$B$7)+IF(Topraklar!$K$23=Bitkiler!$C$49,0.002,IF(Topraklar!$L$23="Evet",0.001,0)))</f>
        <v/>
      </c>
      <c r="X50" s="16">
        <f>IF(OR(Topraklar!$J$24="Evet",AND(Topraklar!$L$24&lt;&gt;"Evet",Topraklar!$K$24&lt;&gt;Bitkiler!$C$49)),0,MAX(0,1-(Ayarlar!$B$2*ABS(Bitkiler!$D$49-Topraklar!$D$24)+Ayarlar!$B$3*ABS(Bitkiler!$E$49-Topraklar!$E$24)+Ayarlar!$B$4*ABS(Bitkiler!$F$49-Topraklar!$F$24)+Ayarlar!$B$5*ABS(Bitkiler!$G$49-Topraklar!$G$24)+Ayarlar!$B$6*IF(Bitkiler!$H$49=Topraklar!$H$24,0,1))/Ayarlar!$B$7)+IF(Topraklar!$K$24=Bitkiler!$C$49,0.002,IF(Topraklar!$L$24="Evet",0.001,0)))</f>
        <v/>
      </c>
      <c r="Y50" s="16">
        <f>IF(OR(Topraklar!$J$25="Evet",AND(Topraklar!$L$25&lt;&gt;"Evet",Topraklar!$K$25&lt;&gt;Bitkiler!$C$49)),0,MAX(0,1-(Ayarlar!$B$2*ABS(Bitkiler!$D$49-Topraklar!$D$25)+Ayarlar!$B$3*ABS(Bitkiler!$E$49-Topraklar!$E$25)+Ayarlar!$B$4*ABS(Bitkiler!$F$49-Topraklar!$F$25)+Ayarlar!$B$5*ABS(Bitkiler!$G$49-Topraklar!$G$25)+Ayarlar!$B$6*IF(Bitkiler!$H$49=Topraklar!$H$25,0,1))/Ayarlar!$B$7)+IF(Topraklar!$K$25=Bitkiler!$C$49,0.002,IF(Topraklar!$L$25="Evet",0.001,0)))</f>
        <v/>
      </c>
      <c r="Z50" s="16">
        <f>IF(OR(Topraklar!$J$26="Evet",AND(Topraklar!$L$26&lt;&gt;"Evet",Topraklar!$K$26&lt;&gt;Bitkiler!$C$49)),0,MAX(0,1-(Ayarlar!$B$2*ABS(Bitkiler!$D$49-Topraklar!$D$26)+Ayarlar!$B$3*ABS(Bitkiler!$E$49-Topraklar!$E$26)+Ayarlar!$B$4*ABS(Bitkiler!$F$49-Topraklar!$F$26)+Ayarlar!$B$5*ABS(Bitkiler!$G$49-Topraklar!$G$26)+Ayarlar!$B$6*IF(Bitkiler!$H$49=Topraklar!$H$26,0,1))/Ayarlar!$B$7)+IF(Topraklar!$K$26=Bitkiler!$C$49,0.002,IF(Topraklar!$L$26="Evet",0.001,0)))</f>
        <v/>
      </c>
      <c r="AA50" s="16">
        <f>IF(OR(Topraklar!$J$27="Evet",AND(Topraklar!$L$27&lt;&gt;"Evet",Topraklar!$K$27&lt;&gt;Bitkiler!$C$49)),0,MAX(0,1-(Ayarlar!$B$2*ABS(Bitkiler!$D$49-Topraklar!$D$27)+Ayarlar!$B$3*ABS(Bitkiler!$E$49-Topraklar!$E$27)+Ayarlar!$B$4*ABS(Bitkiler!$F$49-Topraklar!$F$27)+Ayarlar!$B$5*ABS(Bitkiler!$G$49-Topraklar!$G$27)+Ayarlar!$B$6*IF(Bitkiler!$H$49=Topraklar!$H$27,0,1))/Ayarlar!$B$7)+IF(Topraklar!$K$27=Bitkiler!$C$49,0.002,IF(Topraklar!$L$27="Evet",0.001,0)))</f>
        <v/>
      </c>
      <c r="AB50" s="16">
        <f>IF(OR(Topraklar!$J$28="Evet",AND(Topraklar!$L$28&lt;&gt;"Evet",Topraklar!$K$28&lt;&gt;Bitkiler!$C$49)),0,MAX(0,1-(Ayarlar!$B$2*ABS(Bitkiler!$D$49-Topraklar!$D$28)+Ayarlar!$B$3*ABS(Bitkiler!$E$49-Topraklar!$E$28)+Ayarlar!$B$4*ABS(Bitkiler!$F$49-Topraklar!$F$28)+Ayarlar!$B$5*ABS(Bitkiler!$G$49-Topraklar!$G$28)+Ayarlar!$B$6*IF(Bitkiler!$H$49=Topraklar!$H$28,0,1))/Ayarlar!$B$7)+IF(Topraklar!$K$28=Bitkiler!$C$49,0.002,IF(Topraklar!$L$28="Evet",0.001,0)))</f>
        <v/>
      </c>
      <c r="AC50" s="16">
        <f>IF(OR(Topraklar!$J$29="Evet",AND(Topraklar!$L$29&lt;&gt;"Evet",Topraklar!$K$29&lt;&gt;Bitkiler!$C$49)),0,MAX(0,1-(Ayarlar!$B$2*ABS(Bitkiler!$D$49-Topraklar!$D$29)+Ayarlar!$B$3*ABS(Bitkiler!$E$49-Topraklar!$E$29)+Ayarlar!$B$4*ABS(Bitkiler!$F$49-Topraklar!$F$29)+Ayarlar!$B$5*ABS(Bitkiler!$G$49-Topraklar!$G$29)+Ayarlar!$B$6*IF(Bitkiler!$H$49=Topraklar!$H$29,0,1))/Ayarlar!$B$7)+IF(Topraklar!$K$29=Bitkiler!$C$49,0.002,IF(Topraklar!$L$29="Evet",0.001,0)))</f>
        <v/>
      </c>
      <c r="AD50" s="16">
        <f>IF(OR(Topraklar!$J$30="Evet",AND(Topraklar!$L$30&lt;&gt;"Evet",Topraklar!$K$30&lt;&gt;Bitkiler!$C$49)),0,MAX(0,1-(Ayarlar!$B$2*ABS(Bitkiler!$D$49-Topraklar!$D$30)+Ayarlar!$B$3*ABS(Bitkiler!$E$49-Topraklar!$E$30)+Ayarlar!$B$4*ABS(Bitkiler!$F$49-Topraklar!$F$30)+Ayarlar!$B$5*ABS(Bitkiler!$G$49-Topraklar!$G$30)+Ayarlar!$B$6*IF(Bitkiler!$H$49=Topraklar!$H$30,0,1))/Ayarlar!$B$7)+IF(Topraklar!$K$30=Bitkiler!$C$49,0.002,IF(Topraklar!$L$30="Evet",0.001,0)))</f>
        <v/>
      </c>
      <c r="AE50" s="16">
        <f>IF(OR(Topraklar!$J$31="Evet",AND(Topraklar!$L$31&lt;&gt;"Evet",Topraklar!$K$31&lt;&gt;Bitkiler!$C$49)),0,MAX(0,1-(Ayarlar!$B$2*ABS(Bitkiler!$D$49-Topraklar!$D$31)+Ayarlar!$B$3*ABS(Bitkiler!$E$49-Topraklar!$E$31)+Ayarlar!$B$4*ABS(Bitkiler!$F$49-Topraklar!$F$31)+Ayarlar!$B$5*ABS(Bitkiler!$G$49-Topraklar!$G$31)+Ayarlar!$B$6*IF(Bitkiler!$H$49=Topraklar!$H$31,0,1))/Ayarlar!$B$7)+IF(Topraklar!$K$31=Bitkiler!$C$49,0.002,IF(Topraklar!$L$31="Evet",0.001,0)))</f>
        <v/>
      </c>
      <c r="AF50" s="16">
        <f>IF(OR(Topraklar!$J$32="Evet",AND(Topraklar!$L$32&lt;&gt;"Evet",Topraklar!$K$32&lt;&gt;Bitkiler!$C$49)),0,MAX(0,1-(Ayarlar!$B$2*ABS(Bitkiler!$D$49-Topraklar!$D$32)+Ayarlar!$B$3*ABS(Bitkiler!$E$49-Topraklar!$E$32)+Ayarlar!$B$4*ABS(Bitkiler!$F$49-Topraklar!$F$32)+Ayarlar!$B$5*ABS(Bitkiler!$G$49-Topraklar!$G$32)+Ayarlar!$B$6*IF(Bitkiler!$H$49=Topraklar!$H$32,0,1))/Ayarlar!$B$7)+IF(Topraklar!$K$32=Bitkiler!$C$49,0.002,IF(Topraklar!$L$32="Evet",0.001,0)))</f>
        <v/>
      </c>
      <c r="AG50" s="16">
        <f>IF(OR(Topraklar!$J$33="Evet",AND(Topraklar!$L$33&lt;&gt;"Evet",Topraklar!$K$33&lt;&gt;Bitkiler!$C$49)),0,MAX(0,1-(Ayarlar!$B$2*ABS(Bitkiler!$D$49-Topraklar!$D$33)+Ayarlar!$B$3*ABS(Bitkiler!$E$49-Topraklar!$E$33)+Ayarlar!$B$4*ABS(Bitkiler!$F$49-Topraklar!$F$33)+Ayarlar!$B$5*ABS(Bitkiler!$G$49-Topraklar!$G$33)+Ayarlar!$B$6*IF(Bitkiler!$H$49=Topraklar!$H$33,0,1))/Ayarlar!$B$7)+IF(Topraklar!$K$33=Bitkiler!$C$49,0.002,IF(Topraklar!$L$33="Evet",0.001,0)))</f>
        <v/>
      </c>
      <c r="AH50" s="16">
        <f>IF(OR(Topraklar!$J$34="Evet",AND(Topraklar!$L$34&lt;&gt;"Evet",Topraklar!$K$34&lt;&gt;Bitkiler!$C$49)),0,MAX(0,1-(Ayarlar!$B$2*ABS(Bitkiler!$D$49-Topraklar!$D$34)+Ayarlar!$B$3*ABS(Bitkiler!$E$49-Topraklar!$E$34)+Ayarlar!$B$4*ABS(Bitkiler!$F$49-Topraklar!$F$34)+Ayarlar!$B$5*ABS(Bitkiler!$G$49-Topraklar!$G$34)+Ayarlar!$B$6*IF(Bitkiler!$H$49=Topraklar!$H$34,0,1))/Ayarlar!$B$7)+IF(Topraklar!$K$34=Bitkiler!$C$49,0.002,IF(Topraklar!$L$34="Evet",0.001,0)))</f>
        <v/>
      </c>
      <c r="AI50" s="16">
        <f>IF(OR(Topraklar!$J$35="Evet",AND(Topraklar!$L$35&lt;&gt;"Evet",Topraklar!$K$35&lt;&gt;Bitkiler!$C$49)),0,MAX(0,1-(Ayarlar!$B$2*ABS(Bitkiler!$D$49-Topraklar!$D$35)+Ayarlar!$B$3*ABS(Bitkiler!$E$49-Topraklar!$E$35)+Ayarlar!$B$4*ABS(Bitkiler!$F$49-Topraklar!$F$35)+Ayarlar!$B$5*ABS(Bitkiler!$G$49-Topraklar!$G$35)+Ayarlar!$B$6*IF(Bitkiler!$H$49=Topraklar!$H$35,0,1))/Ayarlar!$B$7)+IF(Topraklar!$K$35=Bitkiler!$C$49,0.002,IF(Topraklar!$L$35="Evet",0.001,0)))</f>
        <v/>
      </c>
      <c r="AJ50" s="16">
        <f>IF(OR(Topraklar!$J$36="Evet",AND(Topraklar!$L$36&lt;&gt;"Evet",Topraklar!$K$36&lt;&gt;Bitkiler!$C$49)),0,MAX(0,1-(Ayarlar!$B$2*ABS(Bitkiler!$D$49-Topraklar!$D$36)+Ayarlar!$B$3*ABS(Bitkiler!$E$49-Topraklar!$E$36)+Ayarlar!$B$4*ABS(Bitkiler!$F$49-Topraklar!$F$36)+Ayarlar!$B$5*ABS(Bitkiler!$G$49-Topraklar!$G$36)+Ayarlar!$B$6*IF(Bitkiler!$H$49=Topraklar!$H$36,0,1))/Ayarlar!$B$7)+IF(Topraklar!$K$36=Bitkiler!$C$49,0.002,IF(Topraklar!$L$36="Evet",0.001,0)))</f>
        <v/>
      </c>
      <c r="AK50" s="16">
        <f>IF(OR(Topraklar!$J$37="Evet",AND(Topraklar!$L$37&lt;&gt;"Evet",Topraklar!$K$37&lt;&gt;Bitkiler!$C$49)),0,MAX(0,1-(Ayarlar!$B$2*ABS(Bitkiler!$D$49-Topraklar!$D$37)+Ayarlar!$B$3*ABS(Bitkiler!$E$49-Topraklar!$E$37)+Ayarlar!$B$4*ABS(Bitkiler!$F$49-Topraklar!$F$37)+Ayarlar!$B$5*ABS(Bitkiler!$G$49-Topraklar!$G$37)+Ayarlar!$B$6*IF(Bitkiler!$H$49=Topraklar!$H$37,0,1))/Ayarlar!$B$7)+IF(Topraklar!$K$37=Bitkiler!$C$49,0.002,IF(Topraklar!$L$37="Evet",0.001,0)))</f>
        <v/>
      </c>
      <c r="AL50" s="16">
        <f>IF(OR(Topraklar!$J$38="Evet",AND(Topraklar!$L$38&lt;&gt;"Evet",Topraklar!$K$38&lt;&gt;Bitkiler!$C$49)),0,MAX(0,1-(Ayarlar!$B$2*ABS(Bitkiler!$D$49-Topraklar!$D$38)+Ayarlar!$B$3*ABS(Bitkiler!$E$49-Topraklar!$E$38)+Ayarlar!$B$4*ABS(Bitkiler!$F$49-Topraklar!$F$38)+Ayarlar!$B$5*ABS(Bitkiler!$G$49-Topraklar!$G$38)+Ayarlar!$B$6*IF(Bitkiler!$H$49=Topraklar!$H$38,0,1))/Ayarlar!$B$7)+IF(Topraklar!$K$38=Bitkiler!$C$49,0.002,IF(Topraklar!$L$38="Evet",0.001,0)))</f>
        <v/>
      </c>
      <c r="AM50" s="16">
        <f>IF(OR(Topraklar!$J$39="Evet",AND(Topraklar!$L$39&lt;&gt;"Evet",Topraklar!$K$39&lt;&gt;Bitkiler!$C$49)),0,MAX(0,1-(Ayarlar!$B$2*ABS(Bitkiler!$D$49-Topraklar!$D$39)+Ayarlar!$B$3*ABS(Bitkiler!$E$49-Topraklar!$E$39)+Ayarlar!$B$4*ABS(Bitkiler!$F$49-Topraklar!$F$39)+Ayarlar!$B$5*ABS(Bitkiler!$G$49-Topraklar!$G$39)+Ayarlar!$B$6*IF(Bitkiler!$H$49=Topraklar!$H$39,0,1))/Ayarlar!$B$7)+IF(Topraklar!$K$39=Bitkiler!$C$49,0.002,IF(Topraklar!$L$39="Evet",0.001,0)))</f>
        <v/>
      </c>
      <c r="AN50" s="16">
        <f>IF(OR(Topraklar!$J$40="Evet",AND(Topraklar!$L$40&lt;&gt;"Evet",Topraklar!$K$40&lt;&gt;Bitkiler!$C$49)),0,MAX(0,1-(Ayarlar!$B$2*ABS(Bitkiler!$D$49-Topraklar!$D$40)+Ayarlar!$B$3*ABS(Bitkiler!$E$49-Topraklar!$E$40)+Ayarlar!$B$4*ABS(Bitkiler!$F$49-Topraklar!$F$40)+Ayarlar!$B$5*ABS(Bitkiler!$G$49-Topraklar!$G$40)+Ayarlar!$B$6*IF(Bitkiler!$H$49=Topraklar!$H$40,0,1))/Ayarlar!$B$7)+IF(Topraklar!$K$40=Bitkiler!$C$49,0.002,IF(Topraklar!$L$40="Evet",0.001,0)))</f>
        <v/>
      </c>
      <c r="AO50" s="16">
        <f>IF(OR(Topraklar!$J$41="Evet",AND(Topraklar!$L$41&lt;&gt;"Evet",Topraklar!$K$41&lt;&gt;Bitkiler!$C$49)),0,MAX(0,1-(Ayarlar!$B$2*ABS(Bitkiler!$D$49-Topraklar!$D$41)+Ayarlar!$B$3*ABS(Bitkiler!$E$49-Topraklar!$E$41)+Ayarlar!$B$4*ABS(Bitkiler!$F$49-Topraklar!$F$41)+Ayarlar!$B$5*ABS(Bitkiler!$G$49-Topraklar!$G$41)+Ayarlar!$B$6*IF(Bitkiler!$H$49=Topraklar!$H$41,0,1))/Ayarlar!$B$7)+IF(Topraklar!$K$41=Bitkiler!$C$49,0.002,IF(Topraklar!$L$41="Evet",0.001,0)))</f>
        <v/>
      </c>
      <c r="AP50" s="16">
        <f>IF(OR(Topraklar!$J$42="Evet",AND(Topraklar!$L$42&lt;&gt;"Evet",Topraklar!$K$42&lt;&gt;Bitkiler!$C$49)),0,MAX(0,1-(Ayarlar!$B$2*ABS(Bitkiler!$D$49-Topraklar!$D$42)+Ayarlar!$B$3*ABS(Bitkiler!$E$49-Topraklar!$E$42)+Ayarlar!$B$4*ABS(Bitkiler!$F$49-Topraklar!$F$42)+Ayarlar!$B$5*ABS(Bitkiler!$G$49-Topraklar!$G$42)+Ayarlar!$B$6*IF(Bitkiler!$H$49=Topraklar!$H$42,0,1))/Ayarlar!$B$7)+IF(Topraklar!$K$42=Bitkiler!$C$49,0.002,IF(Topraklar!$L$42="Evet",0.001,0)))</f>
        <v/>
      </c>
      <c r="AQ50" s="16">
        <f>IF(OR(Topraklar!$J$43="Evet",AND(Topraklar!$L$43&lt;&gt;"Evet",Topraklar!$K$43&lt;&gt;Bitkiler!$C$49)),0,MAX(0,1-(Ayarlar!$B$2*ABS(Bitkiler!$D$49-Topraklar!$D$43)+Ayarlar!$B$3*ABS(Bitkiler!$E$49-Topraklar!$E$43)+Ayarlar!$B$4*ABS(Bitkiler!$F$49-Topraklar!$F$43)+Ayarlar!$B$5*ABS(Bitkiler!$G$49-Topraklar!$G$43)+Ayarlar!$B$6*IF(Bitkiler!$H$49=Topraklar!$H$43,0,1))/Ayarlar!$B$7)+IF(Topraklar!$K$43=Bitkiler!$C$49,0.002,IF(Topraklar!$L$43="Evet",0.001,0)))</f>
        <v/>
      </c>
      <c r="AR50" s="16">
        <f>IF(OR(Topraklar!$J$44="Evet",AND(Topraklar!$L$44&lt;&gt;"Evet",Topraklar!$K$44&lt;&gt;Bitkiler!$C$49)),0,MAX(0,1-(Ayarlar!$B$2*ABS(Bitkiler!$D$49-Topraklar!$D$44)+Ayarlar!$B$3*ABS(Bitkiler!$E$49-Topraklar!$E$44)+Ayarlar!$B$4*ABS(Bitkiler!$F$49-Topraklar!$F$44)+Ayarlar!$B$5*ABS(Bitkiler!$G$49-Topraklar!$G$44)+Ayarlar!$B$6*IF(Bitkiler!$H$49=Topraklar!$H$44,0,1))/Ayarlar!$B$7)+IF(Topraklar!$K$44=Bitkiler!$C$49,0.002,IF(Topraklar!$L$44="Evet",0.001,0)))</f>
        <v/>
      </c>
      <c r="AS50" s="16">
        <f>IF(OR(Topraklar!$J$45="Evet",AND(Topraklar!$L$45&lt;&gt;"Evet",Topraklar!$K$45&lt;&gt;Bitkiler!$C$49)),0,MAX(0,1-(Ayarlar!$B$2*ABS(Bitkiler!$D$49-Topraklar!$D$45)+Ayarlar!$B$3*ABS(Bitkiler!$E$49-Topraklar!$E$45)+Ayarlar!$B$4*ABS(Bitkiler!$F$49-Topraklar!$F$45)+Ayarlar!$B$5*ABS(Bitkiler!$G$49-Topraklar!$G$45)+Ayarlar!$B$6*IF(Bitkiler!$H$49=Topraklar!$H$45,0,1))/Ayarlar!$B$7)+IF(Topraklar!$K$45=Bitkiler!$C$49,0.002,IF(Topraklar!$L$45="Evet",0.001,0)))</f>
        <v/>
      </c>
      <c r="AT50" s="16">
        <f>IF(OR(Topraklar!$J$46="Evet",AND(Topraklar!$L$46&lt;&gt;"Evet",Topraklar!$K$46&lt;&gt;Bitkiler!$C$49)),0,MAX(0,1-(Ayarlar!$B$2*ABS(Bitkiler!$D$49-Topraklar!$D$46)+Ayarlar!$B$3*ABS(Bitkiler!$E$49-Topraklar!$E$46)+Ayarlar!$B$4*ABS(Bitkiler!$F$49-Topraklar!$F$46)+Ayarlar!$B$5*ABS(Bitkiler!$G$49-Topraklar!$G$46)+Ayarlar!$B$6*IF(Bitkiler!$H$49=Topraklar!$H$46,0,1))/Ayarlar!$B$7)+IF(Topraklar!$K$46=Bitkiler!$C$49,0.002,IF(Topraklar!$L$46="Evet",0.001,0)))</f>
        <v/>
      </c>
      <c r="AU50" s="16">
        <f>IF(OR(Topraklar!$J$47="Evet",AND(Topraklar!$L$47&lt;&gt;"Evet",Topraklar!$K$47&lt;&gt;Bitkiler!$C$49)),0,MAX(0,1-(Ayarlar!$B$2*ABS(Bitkiler!$D$49-Topraklar!$D$47)+Ayarlar!$B$3*ABS(Bitkiler!$E$49-Topraklar!$E$47)+Ayarlar!$B$4*ABS(Bitkiler!$F$49-Topraklar!$F$47)+Ayarlar!$B$5*ABS(Bitkiler!$G$49-Topraklar!$G$47)+Ayarlar!$B$6*IF(Bitkiler!$H$49=Topraklar!$H$47,0,1))/Ayarlar!$B$7)+IF(Topraklar!$K$47=Bitkiler!$C$49,0.002,IF(Topraklar!$L$47="Evet",0.001,0)))</f>
        <v/>
      </c>
      <c r="AV50" s="16">
        <f>IF(OR(Topraklar!$J$48="Evet",AND(Topraklar!$L$48&lt;&gt;"Evet",Topraklar!$K$48&lt;&gt;Bitkiler!$C$49)),0,MAX(0,1-(Ayarlar!$B$2*ABS(Bitkiler!$D$49-Topraklar!$D$48)+Ayarlar!$B$3*ABS(Bitkiler!$E$49-Topraklar!$E$48)+Ayarlar!$B$4*ABS(Bitkiler!$F$49-Topraklar!$F$48)+Ayarlar!$B$5*ABS(Bitkiler!$G$49-Topraklar!$G$48)+Ayarlar!$B$6*IF(Bitkiler!$H$49=Topraklar!$H$48,0,1))/Ayarlar!$B$7)+IF(Topraklar!$K$48=Bitkiler!$C$49,0.002,IF(Topraklar!$L$48="Evet",0.001,0)))</f>
        <v/>
      </c>
      <c r="AW50" s="16">
        <f>IF(OR(Topraklar!$J$49="Evet",AND(Topraklar!$L$49&lt;&gt;"Evet",Topraklar!$K$49&lt;&gt;Bitkiler!$C$49)),0,MAX(0,1-(Ayarlar!$B$2*ABS(Bitkiler!$D$49-Topraklar!$D$49)+Ayarlar!$B$3*ABS(Bitkiler!$E$49-Topraklar!$E$49)+Ayarlar!$B$4*ABS(Bitkiler!$F$49-Topraklar!$F$49)+Ayarlar!$B$5*ABS(Bitkiler!$G$49-Topraklar!$G$49)+Ayarlar!$B$6*IF(Bitkiler!$H$49=Topraklar!$H$49,0,1))/Ayarlar!$B$7)+IF(Topraklar!$K$49=Bitkiler!$C$49,0.002,IF(Topraklar!$L$49="Evet",0.001,0)))</f>
        <v/>
      </c>
      <c r="AX50" s="16">
        <f>IF(OR(Topraklar!$J$50="Evet",AND(Topraklar!$L$50&lt;&gt;"Evet",Topraklar!$K$50&lt;&gt;Bitkiler!$C$49)),0,MAX(0,1-(Ayarlar!$B$2*ABS(Bitkiler!$D$49-Topraklar!$D$50)+Ayarlar!$B$3*ABS(Bitkiler!$E$49-Topraklar!$E$50)+Ayarlar!$B$4*ABS(Bitkiler!$F$49-Topraklar!$F$50)+Ayarlar!$B$5*ABS(Bitkiler!$G$49-Topraklar!$G$50)+Ayarlar!$B$6*IF(Bitkiler!$H$49=Topraklar!$H$50,0,1))/Ayarlar!$B$7)+IF(Topraklar!$K$50=Bitkiler!$C$49,0.002,IF(Topraklar!$L$50="Evet",0.001,0)))</f>
        <v/>
      </c>
      <c r="AY50" s="16">
        <f>IF(OR(Topraklar!$J$51="Evet",AND(Topraklar!$L$51&lt;&gt;"Evet",Topraklar!$K$51&lt;&gt;Bitkiler!$C$49)),0,MAX(0,1-(Ayarlar!$B$2*ABS(Bitkiler!$D$49-Topraklar!$D$51)+Ayarlar!$B$3*ABS(Bitkiler!$E$49-Topraklar!$E$51)+Ayarlar!$B$4*ABS(Bitkiler!$F$49-Topraklar!$F$51)+Ayarlar!$B$5*ABS(Bitkiler!$G$49-Topraklar!$G$51)+Ayarlar!$B$6*IF(Bitkiler!$H$49=Topraklar!$H$51,0,1))/Ayarlar!$B$7)+IF(Topraklar!$K$51=Bitkiler!$C$49,0.002,IF(Topraklar!$L$51="Evet",0.001,0)))</f>
        <v/>
      </c>
    </row>
    <row r="51">
      <c r="A51" s="15">
        <f>Bitkiler!A50</f>
        <v/>
      </c>
      <c r="B51" s="16">
        <f>IF(OR(Topraklar!$J$2="Evet",AND(Topraklar!$L$2&lt;&gt;"Evet",Topraklar!$K$2&lt;&gt;Bitkiler!$C$50)),0,MAX(0,1-(Ayarlar!$B$2*ABS(Bitkiler!$D$50-Topraklar!$D$2)+Ayarlar!$B$3*ABS(Bitkiler!$E$50-Topraklar!$E$2)+Ayarlar!$B$4*ABS(Bitkiler!$F$50-Topraklar!$F$2)+Ayarlar!$B$5*ABS(Bitkiler!$G$50-Topraklar!$G$2)+Ayarlar!$B$6*IF(Bitkiler!$H$50=Topraklar!$H$2,0,1))/Ayarlar!$B$7)+IF(Topraklar!$K$2=Bitkiler!$C$50,0.002,IF(Topraklar!$L$2="Evet",0.001,0)))</f>
        <v/>
      </c>
      <c r="C51" s="16">
        <f>IF(OR(Topraklar!$J$3="Evet",AND(Topraklar!$L$3&lt;&gt;"Evet",Topraklar!$K$3&lt;&gt;Bitkiler!$C$50)),0,MAX(0,1-(Ayarlar!$B$2*ABS(Bitkiler!$D$50-Topraklar!$D$3)+Ayarlar!$B$3*ABS(Bitkiler!$E$50-Topraklar!$E$3)+Ayarlar!$B$4*ABS(Bitkiler!$F$50-Topraklar!$F$3)+Ayarlar!$B$5*ABS(Bitkiler!$G$50-Topraklar!$G$3)+Ayarlar!$B$6*IF(Bitkiler!$H$50=Topraklar!$H$3,0,1))/Ayarlar!$B$7)+IF(Topraklar!$K$3=Bitkiler!$C$50,0.002,IF(Topraklar!$L$3="Evet",0.001,0)))</f>
        <v/>
      </c>
      <c r="D51" s="16">
        <f>IF(OR(Topraklar!$J$4="Evet",AND(Topraklar!$L$4&lt;&gt;"Evet",Topraklar!$K$4&lt;&gt;Bitkiler!$C$50)),0,MAX(0,1-(Ayarlar!$B$2*ABS(Bitkiler!$D$50-Topraklar!$D$4)+Ayarlar!$B$3*ABS(Bitkiler!$E$50-Topraklar!$E$4)+Ayarlar!$B$4*ABS(Bitkiler!$F$50-Topraklar!$F$4)+Ayarlar!$B$5*ABS(Bitkiler!$G$50-Topraklar!$G$4)+Ayarlar!$B$6*IF(Bitkiler!$H$50=Topraklar!$H$4,0,1))/Ayarlar!$B$7)+IF(Topraklar!$K$4=Bitkiler!$C$50,0.002,IF(Topraklar!$L$4="Evet",0.001,0)))</f>
        <v/>
      </c>
      <c r="E51" s="16">
        <f>IF(OR(Topraklar!$J$5="Evet",AND(Topraklar!$L$5&lt;&gt;"Evet",Topraklar!$K$5&lt;&gt;Bitkiler!$C$50)),0,MAX(0,1-(Ayarlar!$B$2*ABS(Bitkiler!$D$50-Topraklar!$D$5)+Ayarlar!$B$3*ABS(Bitkiler!$E$50-Topraklar!$E$5)+Ayarlar!$B$4*ABS(Bitkiler!$F$50-Topraklar!$F$5)+Ayarlar!$B$5*ABS(Bitkiler!$G$50-Topraklar!$G$5)+Ayarlar!$B$6*IF(Bitkiler!$H$50=Topraklar!$H$5,0,1))/Ayarlar!$B$7)+IF(Topraklar!$K$5=Bitkiler!$C$50,0.002,IF(Topraklar!$L$5="Evet",0.001,0)))</f>
        <v/>
      </c>
      <c r="F51" s="16">
        <f>IF(OR(Topraklar!$J$6="Evet",AND(Topraklar!$L$6&lt;&gt;"Evet",Topraklar!$K$6&lt;&gt;Bitkiler!$C$50)),0,MAX(0,1-(Ayarlar!$B$2*ABS(Bitkiler!$D$50-Topraklar!$D$6)+Ayarlar!$B$3*ABS(Bitkiler!$E$50-Topraklar!$E$6)+Ayarlar!$B$4*ABS(Bitkiler!$F$50-Topraklar!$F$6)+Ayarlar!$B$5*ABS(Bitkiler!$G$50-Topraklar!$G$6)+Ayarlar!$B$6*IF(Bitkiler!$H$50=Topraklar!$H$6,0,1))/Ayarlar!$B$7)+IF(Topraklar!$K$6=Bitkiler!$C$50,0.002,IF(Topraklar!$L$6="Evet",0.001,0)))</f>
        <v/>
      </c>
      <c r="G51" s="16">
        <f>IF(OR(Topraklar!$J$7="Evet",AND(Topraklar!$L$7&lt;&gt;"Evet",Topraklar!$K$7&lt;&gt;Bitkiler!$C$50)),0,MAX(0,1-(Ayarlar!$B$2*ABS(Bitkiler!$D$50-Topraklar!$D$7)+Ayarlar!$B$3*ABS(Bitkiler!$E$50-Topraklar!$E$7)+Ayarlar!$B$4*ABS(Bitkiler!$F$50-Topraklar!$F$7)+Ayarlar!$B$5*ABS(Bitkiler!$G$50-Topraklar!$G$7)+Ayarlar!$B$6*IF(Bitkiler!$H$50=Topraklar!$H$7,0,1))/Ayarlar!$B$7)+IF(Topraklar!$K$7=Bitkiler!$C$50,0.002,IF(Topraklar!$L$7="Evet",0.001,0)))</f>
        <v/>
      </c>
      <c r="H51" s="16">
        <f>IF(OR(Topraklar!$J$8="Evet",AND(Topraklar!$L$8&lt;&gt;"Evet",Topraklar!$K$8&lt;&gt;Bitkiler!$C$50)),0,MAX(0,1-(Ayarlar!$B$2*ABS(Bitkiler!$D$50-Topraklar!$D$8)+Ayarlar!$B$3*ABS(Bitkiler!$E$50-Topraklar!$E$8)+Ayarlar!$B$4*ABS(Bitkiler!$F$50-Topraklar!$F$8)+Ayarlar!$B$5*ABS(Bitkiler!$G$50-Topraklar!$G$8)+Ayarlar!$B$6*IF(Bitkiler!$H$50=Topraklar!$H$8,0,1))/Ayarlar!$B$7)+IF(Topraklar!$K$8=Bitkiler!$C$50,0.002,IF(Topraklar!$L$8="Evet",0.001,0)))</f>
        <v/>
      </c>
      <c r="I51" s="16">
        <f>IF(OR(Topraklar!$J$9="Evet",AND(Topraklar!$L$9&lt;&gt;"Evet",Topraklar!$K$9&lt;&gt;Bitkiler!$C$50)),0,MAX(0,1-(Ayarlar!$B$2*ABS(Bitkiler!$D$50-Topraklar!$D$9)+Ayarlar!$B$3*ABS(Bitkiler!$E$50-Topraklar!$E$9)+Ayarlar!$B$4*ABS(Bitkiler!$F$50-Topraklar!$F$9)+Ayarlar!$B$5*ABS(Bitkiler!$G$50-Topraklar!$G$9)+Ayarlar!$B$6*IF(Bitkiler!$H$50=Topraklar!$H$9,0,1))/Ayarlar!$B$7)+IF(Topraklar!$K$9=Bitkiler!$C$50,0.002,IF(Topraklar!$L$9="Evet",0.001,0)))</f>
        <v/>
      </c>
      <c r="J51" s="16">
        <f>IF(OR(Topraklar!$J$10="Evet",AND(Topraklar!$L$10&lt;&gt;"Evet",Topraklar!$K$10&lt;&gt;Bitkiler!$C$50)),0,MAX(0,1-(Ayarlar!$B$2*ABS(Bitkiler!$D$50-Topraklar!$D$10)+Ayarlar!$B$3*ABS(Bitkiler!$E$50-Topraklar!$E$10)+Ayarlar!$B$4*ABS(Bitkiler!$F$50-Topraklar!$F$10)+Ayarlar!$B$5*ABS(Bitkiler!$G$50-Topraklar!$G$10)+Ayarlar!$B$6*IF(Bitkiler!$H$50=Topraklar!$H$10,0,1))/Ayarlar!$B$7)+IF(Topraklar!$K$10=Bitkiler!$C$50,0.002,IF(Topraklar!$L$10="Evet",0.001,0)))</f>
        <v/>
      </c>
      <c r="K51" s="16">
        <f>IF(OR(Topraklar!$J$11="Evet",AND(Topraklar!$L$11&lt;&gt;"Evet",Topraklar!$K$11&lt;&gt;Bitkiler!$C$50)),0,MAX(0,1-(Ayarlar!$B$2*ABS(Bitkiler!$D$50-Topraklar!$D$11)+Ayarlar!$B$3*ABS(Bitkiler!$E$50-Topraklar!$E$11)+Ayarlar!$B$4*ABS(Bitkiler!$F$50-Topraklar!$F$11)+Ayarlar!$B$5*ABS(Bitkiler!$G$50-Topraklar!$G$11)+Ayarlar!$B$6*IF(Bitkiler!$H$50=Topraklar!$H$11,0,1))/Ayarlar!$B$7)+IF(Topraklar!$K$11=Bitkiler!$C$50,0.002,IF(Topraklar!$L$11="Evet",0.001,0)))</f>
        <v/>
      </c>
      <c r="L51" s="16">
        <f>IF(OR(Topraklar!$J$12="Evet",AND(Topraklar!$L$12&lt;&gt;"Evet",Topraklar!$K$12&lt;&gt;Bitkiler!$C$50)),0,MAX(0,1-(Ayarlar!$B$2*ABS(Bitkiler!$D$50-Topraklar!$D$12)+Ayarlar!$B$3*ABS(Bitkiler!$E$50-Topraklar!$E$12)+Ayarlar!$B$4*ABS(Bitkiler!$F$50-Topraklar!$F$12)+Ayarlar!$B$5*ABS(Bitkiler!$G$50-Topraklar!$G$12)+Ayarlar!$B$6*IF(Bitkiler!$H$50=Topraklar!$H$12,0,1))/Ayarlar!$B$7)+IF(Topraklar!$K$12=Bitkiler!$C$50,0.002,IF(Topraklar!$L$12="Evet",0.001,0)))</f>
        <v/>
      </c>
      <c r="M51" s="16">
        <f>IF(OR(Topraklar!$J$13="Evet",AND(Topraklar!$L$13&lt;&gt;"Evet",Topraklar!$K$13&lt;&gt;Bitkiler!$C$50)),0,MAX(0,1-(Ayarlar!$B$2*ABS(Bitkiler!$D$50-Topraklar!$D$13)+Ayarlar!$B$3*ABS(Bitkiler!$E$50-Topraklar!$E$13)+Ayarlar!$B$4*ABS(Bitkiler!$F$50-Topraklar!$F$13)+Ayarlar!$B$5*ABS(Bitkiler!$G$50-Topraklar!$G$13)+Ayarlar!$B$6*IF(Bitkiler!$H$50=Topraklar!$H$13,0,1))/Ayarlar!$B$7)+IF(Topraklar!$K$13=Bitkiler!$C$50,0.002,IF(Topraklar!$L$13="Evet",0.001,0)))</f>
        <v/>
      </c>
      <c r="N51" s="16">
        <f>IF(OR(Topraklar!$J$14="Evet",AND(Topraklar!$L$14&lt;&gt;"Evet",Topraklar!$K$14&lt;&gt;Bitkiler!$C$50)),0,MAX(0,1-(Ayarlar!$B$2*ABS(Bitkiler!$D$50-Topraklar!$D$14)+Ayarlar!$B$3*ABS(Bitkiler!$E$50-Topraklar!$E$14)+Ayarlar!$B$4*ABS(Bitkiler!$F$50-Topraklar!$F$14)+Ayarlar!$B$5*ABS(Bitkiler!$G$50-Topraklar!$G$14)+Ayarlar!$B$6*IF(Bitkiler!$H$50=Topraklar!$H$14,0,1))/Ayarlar!$B$7)+IF(Topraklar!$K$14=Bitkiler!$C$50,0.002,IF(Topraklar!$L$14="Evet",0.001,0)))</f>
        <v/>
      </c>
      <c r="O51" s="16">
        <f>IF(OR(Topraklar!$J$15="Evet",AND(Topraklar!$L$15&lt;&gt;"Evet",Topraklar!$K$15&lt;&gt;Bitkiler!$C$50)),0,MAX(0,1-(Ayarlar!$B$2*ABS(Bitkiler!$D$50-Topraklar!$D$15)+Ayarlar!$B$3*ABS(Bitkiler!$E$50-Topraklar!$E$15)+Ayarlar!$B$4*ABS(Bitkiler!$F$50-Topraklar!$F$15)+Ayarlar!$B$5*ABS(Bitkiler!$G$50-Topraklar!$G$15)+Ayarlar!$B$6*IF(Bitkiler!$H$50=Topraklar!$H$15,0,1))/Ayarlar!$B$7)+IF(Topraklar!$K$15=Bitkiler!$C$50,0.002,IF(Topraklar!$L$15="Evet",0.001,0)))</f>
        <v/>
      </c>
      <c r="P51" s="16">
        <f>IF(OR(Topraklar!$J$16="Evet",AND(Topraklar!$L$16&lt;&gt;"Evet",Topraklar!$K$16&lt;&gt;Bitkiler!$C$50)),0,MAX(0,1-(Ayarlar!$B$2*ABS(Bitkiler!$D$50-Topraklar!$D$16)+Ayarlar!$B$3*ABS(Bitkiler!$E$50-Topraklar!$E$16)+Ayarlar!$B$4*ABS(Bitkiler!$F$50-Topraklar!$F$16)+Ayarlar!$B$5*ABS(Bitkiler!$G$50-Topraklar!$G$16)+Ayarlar!$B$6*IF(Bitkiler!$H$50=Topraklar!$H$16,0,1))/Ayarlar!$B$7)+IF(Topraklar!$K$16=Bitkiler!$C$50,0.002,IF(Topraklar!$L$16="Evet",0.001,0)))</f>
        <v/>
      </c>
      <c r="Q51" s="16">
        <f>IF(OR(Topraklar!$J$17="Evet",AND(Topraklar!$L$17&lt;&gt;"Evet",Topraklar!$K$17&lt;&gt;Bitkiler!$C$50)),0,MAX(0,1-(Ayarlar!$B$2*ABS(Bitkiler!$D$50-Topraklar!$D$17)+Ayarlar!$B$3*ABS(Bitkiler!$E$50-Topraklar!$E$17)+Ayarlar!$B$4*ABS(Bitkiler!$F$50-Topraklar!$F$17)+Ayarlar!$B$5*ABS(Bitkiler!$G$50-Topraklar!$G$17)+Ayarlar!$B$6*IF(Bitkiler!$H$50=Topraklar!$H$17,0,1))/Ayarlar!$B$7)+IF(Topraklar!$K$17=Bitkiler!$C$50,0.002,IF(Topraklar!$L$17="Evet",0.001,0)))</f>
        <v/>
      </c>
      <c r="R51" s="16">
        <f>IF(OR(Topraklar!$J$18="Evet",AND(Topraklar!$L$18&lt;&gt;"Evet",Topraklar!$K$18&lt;&gt;Bitkiler!$C$50)),0,MAX(0,1-(Ayarlar!$B$2*ABS(Bitkiler!$D$50-Topraklar!$D$18)+Ayarlar!$B$3*ABS(Bitkiler!$E$50-Topraklar!$E$18)+Ayarlar!$B$4*ABS(Bitkiler!$F$50-Topraklar!$F$18)+Ayarlar!$B$5*ABS(Bitkiler!$G$50-Topraklar!$G$18)+Ayarlar!$B$6*IF(Bitkiler!$H$50=Topraklar!$H$18,0,1))/Ayarlar!$B$7)+IF(Topraklar!$K$18=Bitkiler!$C$50,0.002,IF(Topraklar!$L$18="Evet",0.001,0)))</f>
        <v/>
      </c>
      <c r="S51" s="16">
        <f>IF(OR(Topraklar!$J$19="Evet",AND(Topraklar!$L$19&lt;&gt;"Evet",Topraklar!$K$19&lt;&gt;Bitkiler!$C$50)),0,MAX(0,1-(Ayarlar!$B$2*ABS(Bitkiler!$D$50-Topraklar!$D$19)+Ayarlar!$B$3*ABS(Bitkiler!$E$50-Topraklar!$E$19)+Ayarlar!$B$4*ABS(Bitkiler!$F$50-Topraklar!$F$19)+Ayarlar!$B$5*ABS(Bitkiler!$G$50-Topraklar!$G$19)+Ayarlar!$B$6*IF(Bitkiler!$H$50=Topraklar!$H$19,0,1))/Ayarlar!$B$7)+IF(Topraklar!$K$19=Bitkiler!$C$50,0.002,IF(Topraklar!$L$19="Evet",0.001,0)))</f>
        <v/>
      </c>
      <c r="T51" s="16">
        <f>IF(OR(Topraklar!$J$20="Evet",AND(Topraklar!$L$20&lt;&gt;"Evet",Topraklar!$K$20&lt;&gt;Bitkiler!$C$50)),0,MAX(0,1-(Ayarlar!$B$2*ABS(Bitkiler!$D$50-Topraklar!$D$20)+Ayarlar!$B$3*ABS(Bitkiler!$E$50-Topraklar!$E$20)+Ayarlar!$B$4*ABS(Bitkiler!$F$50-Topraklar!$F$20)+Ayarlar!$B$5*ABS(Bitkiler!$G$50-Topraklar!$G$20)+Ayarlar!$B$6*IF(Bitkiler!$H$50=Topraklar!$H$20,0,1))/Ayarlar!$B$7)+IF(Topraklar!$K$20=Bitkiler!$C$50,0.002,IF(Topraklar!$L$20="Evet",0.001,0)))</f>
        <v/>
      </c>
      <c r="U51" s="16">
        <f>IF(OR(Topraklar!$J$21="Evet",AND(Topraklar!$L$21&lt;&gt;"Evet",Topraklar!$K$21&lt;&gt;Bitkiler!$C$50)),0,MAX(0,1-(Ayarlar!$B$2*ABS(Bitkiler!$D$50-Topraklar!$D$21)+Ayarlar!$B$3*ABS(Bitkiler!$E$50-Topraklar!$E$21)+Ayarlar!$B$4*ABS(Bitkiler!$F$50-Topraklar!$F$21)+Ayarlar!$B$5*ABS(Bitkiler!$G$50-Topraklar!$G$21)+Ayarlar!$B$6*IF(Bitkiler!$H$50=Topraklar!$H$21,0,1))/Ayarlar!$B$7)+IF(Topraklar!$K$21=Bitkiler!$C$50,0.002,IF(Topraklar!$L$21="Evet",0.001,0)))</f>
        <v/>
      </c>
      <c r="V51" s="16">
        <f>IF(OR(Topraklar!$J$22="Evet",AND(Topraklar!$L$22&lt;&gt;"Evet",Topraklar!$K$22&lt;&gt;Bitkiler!$C$50)),0,MAX(0,1-(Ayarlar!$B$2*ABS(Bitkiler!$D$50-Topraklar!$D$22)+Ayarlar!$B$3*ABS(Bitkiler!$E$50-Topraklar!$E$22)+Ayarlar!$B$4*ABS(Bitkiler!$F$50-Topraklar!$F$22)+Ayarlar!$B$5*ABS(Bitkiler!$G$50-Topraklar!$G$22)+Ayarlar!$B$6*IF(Bitkiler!$H$50=Topraklar!$H$22,0,1))/Ayarlar!$B$7)+IF(Topraklar!$K$22=Bitkiler!$C$50,0.002,IF(Topraklar!$L$22="Evet",0.001,0)))</f>
        <v/>
      </c>
      <c r="W51" s="16">
        <f>IF(OR(Topraklar!$J$23="Evet",AND(Topraklar!$L$23&lt;&gt;"Evet",Topraklar!$K$23&lt;&gt;Bitkiler!$C$50)),0,MAX(0,1-(Ayarlar!$B$2*ABS(Bitkiler!$D$50-Topraklar!$D$23)+Ayarlar!$B$3*ABS(Bitkiler!$E$50-Topraklar!$E$23)+Ayarlar!$B$4*ABS(Bitkiler!$F$50-Topraklar!$F$23)+Ayarlar!$B$5*ABS(Bitkiler!$G$50-Topraklar!$G$23)+Ayarlar!$B$6*IF(Bitkiler!$H$50=Topraklar!$H$23,0,1))/Ayarlar!$B$7)+IF(Topraklar!$K$23=Bitkiler!$C$50,0.002,IF(Topraklar!$L$23="Evet",0.001,0)))</f>
        <v/>
      </c>
      <c r="X51" s="16">
        <f>IF(OR(Topraklar!$J$24="Evet",AND(Topraklar!$L$24&lt;&gt;"Evet",Topraklar!$K$24&lt;&gt;Bitkiler!$C$50)),0,MAX(0,1-(Ayarlar!$B$2*ABS(Bitkiler!$D$50-Topraklar!$D$24)+Ayarlar!$B$3*ABS(Bitkiler!$E$50-Topraklar!$E$24)+Ayarlar!$B$4*ABS(Bitkiler!$F$50-Topraklar!$F$24)+Ayarlar!$B$5*ABS(Bitkiler!$G$50-Topraklar!$G$24)+Ayarlar!$B$6*IF(Bitkiler!$H$50=Topraklar!$H$24,0,1))/Ayarlar!$B$7)+IF(Topraklar!$K$24=Bitkiler!$C$50,0.002,IF(Topraklar!$L$24="Evet",0.001,0)))</f>
        <v/>
      </c>
      <c r="Y51" s="16">
        <f>IF(OR(Topraklar!$J$25="Evet",AND(Topraklar!$L$25&lt;&gt;"Evet",Topraklar!$K$25&lt;&gt;Bitkiler!$C$50)),0,MAX(0,1-(Ayarlar!$B$2*ABS(Bitkiler!$D$50-Topraklar!$D$25)+Ayarlar!$B$3*ABS(Bitkiler!$E$50-Topraklar!$E$25)+Ayarlar!$B$4*ABS(Bitkiler!$F$50-Topraklar!$F$25)+Ayarlar!$B$5*ABS(Bitkiler!$G$50-Topraklar!$G$25)+Ayarlar!$B$6*IF(Bitkiler!$H$50=Topraklar!$H$25,0,1))/Ayarlar!$B$7)+IF(Topraklar!$K$25=Bitkiler!$C$50,0.002,IF(Topraklar!$L$25="Evet",0.001,0)))</f>
        <v/>
      </c>
      <c r="Z51" s="16">
        <f>IF(OR(Topraklar!$J$26="Evet",AND(Topraklar!$L$26&lt;&gt;"Evet",Topraklar!$K$26&lt;&gt;Bitkiler!$C$50)),0,MAX(0,1-(Ayarlar!$B$2*ABS(Bitkiler!$D$50-Topraklar!$D$26)+Ayarlar!$B$3*ABS(Bitkiler!$E$50-Topraklar!$E$26)+Ayarlar!$B$4*ABS(Bitkiler!$F$50-Topraklar!$F$26)+Ayarlar!$B$5*ABS(Bitkiler!$G$50-Topraklar!$G$26)+Ayarlar!$B$6*IF(Bitkiler!$H$50=Topraklar!$H$26,0,1))/Ayarlar!$B$7)+IF(Topraklar!$K$26=Bitkiler!$C$50,0.002,IF(Topraklar!$L$26="Evet",0.001,0)))</f>
        <v/>
      </c>
      <c r="AA51" s="16">
        <f>IF(OR(Topraklar!$J$27="Evet",AND(Topraklar!$L$27&lt;&gt;"Evet",Topraklar!$K$27&lt;&gt;Bitkiler!$C$50)),0,MAX(0,1-(Ayarlar!$B$2*ABS(Bitkiler!$D$50-Topraklar!$D$27)+Ayarlar!$B$3*ABS(Bitkiler!$E$50-Topraklar!$E$27)+Ayarlar!$B$4*ABS(Bitkiler!$F$50-Topraklar!$F$27)+Ayarlar!$B$5*ABS(Bitkiler!$G$50-Topraklar!$G$27)+Ayarlar!$B$6*IF(Bitkiler!$H$50=Topraklar!$H$27,0,1))/Ayarlar!$B$7)+IF(Topraklar!$K$27=Bitkiler!$C$50,0.002,IF(Topraklar!$L$27="Evet",0.001,0)))</f>
        <v/>
      </c>
      <c r="AB51" s="16">
        <f>IF(OR(Topraklar!$J$28="Evet",AND(Topraklar!$L$28&lt;&gt;"Evet",Topraklar!$K$28&lt;&gt;Bitkiler!$C$50)),0,MAX(0,1-(Ayarlar!$B$2*ABS(Bitkiler!$D$50-Topraklar!$D$28)+Ayarlar!$B$3*ABS(Bitkiler!$E$50-Topraklar!$E$28)+Ayarlar!$B$4*ABS(Bitkiler!$F$50-Topraklar!$F$28)+Ayarlar!$B$5*ABS(Bitkiler!$G$50-Topraklar!$G$28)+Ayarlar!$B$6*IF(Bitkiler!$H$50=Topraklar!$H$28,0,1))/Ayarlar!$B$7)+IF(Topraklar!$K$28=Bitkiler!$C$50,0.002,IF(Topraklar!$L$28="Evet",0.001,0)))</f>
        <v/>
      </c>
      <c r="AC51" s="16">
        <f>IF(OR(Topraklar!$J$29="Evet",AND(Topraklar!$L$29&lt;&gt;"Evet",Topraklar!$K$29&lt;&gt;Bitkiler!$C$50)),0,MAX(0,1-(Ayarlar!$B$2*ABS(Bitkiler!$D$50-Topraklar!$D$29)+Ayarlar!$B$3*ABS(Bitkiler!$E$50-Topraklar!$E$29)+Ayarlar!$B$4*ABS(Bitkiler!$F$50-Topraklar!$F$29)+Ayarlar!$B$5*ABS(Bitkiler!$G$50-Topraklar!$G$29)+Ayarlar!$B$6*IF(Bitkiler!$H$50=Topraklar!$H$29,0,1))/Ayarlar!$B$7)+IF(Topraklar!$K$29=Bitkiler!$C$50,0.002,IF(Topraklar!$L$29="Evet",0.001,0)))</f>
        <v/>
      </c>
      <c r="AD51" s="16">
        <f>IF(OR(Topraklar!$J$30="Evet",AND(Topraklar!$L$30&lt;&gt;"Evet",Topraklar!$K$30&lt;&gt;Bitkiler!$C$50)),0,MAX(0,1-(Ayarlar!$B$2*ABS(Bitkiler!$D$50-Topraklar!$D$30)+Ayarlar!$B$3*ABS(Bitkiler!$E$50-Topraklar!$E$30)+Ayarlar!$B$4*ABS(Bitkiler!$F$50-Topraklar!$F$30)+Ayarlar!$B$5*ABS(Bitkiler!$G$50-Topraklar!$G$30)+Ayarlar!$B$6*IF(Bitkiler!$H$50=Topraklar!$H$30,0,1))/Ayarlar!$B$7)+IF(Topraklar!$K$30=Bitkiler!$C$50,0.002,IF(Topraklar!$L$30="Evet",0.001,0)))</f>
        <v/>
      </c>
      <c r="AE51" s="16">
        <f>IF(OR(Topraklar!$J$31="Evet",AND(Topraklar!$L$31&lt;&gt;"Evet",Topraklar!$K$31&lt;&gt;Bitkiler!$C$50)),0,MAX(0,1-(Ayarlar!$B$2*ABS(Bitkiler!$D$50-Topraklar!$D$31)+Ayarlar!$B$3*ABS(Bitkiler!$E$50-Topraklar!$E$31)+Ayarlar!$B$4*ABS(Bitkiler!$F$50-Topraklar!$F$31)+Ayarlar!$B$5*ABS(Bitkiler!$G$50-Topraklar!$G$31)+Ayarlar!$B$6*IF(Bitkiler!$H$50=Topraklar!$H$31,0,1))/Ayarlar!$B$7)+IF(Topraklar!$K$31=Bitkiler!$C$50,0.002,IF(Topraklar!$L$31="Evet",0.001,0)))</f>
        <v/>
      </c>
      <c r="AF51" s="16">
        <f>IF(OR(Topraklar!$J$32="Evet",AND(Topraklar!$L$32&lt;&gt;"Evet",Topraklar!$K$32&lt;&gt;Bitkiler!$C$50)),0,MAX(0,1-(Ayarlar!$B$2*ABS(Bitkiler!$D$50-Topraklar!$D$32)+Ayarlar!$B$3*ABS(Bitkiler!$E$50-Topraklar!$E$32)+Ayarlar!$B$4*ABS(Bitkiler!$F$50-Topraklar!$F$32)+Ayarlar!$B$5*ABS(Bitkiler!$G$50-Topraklar!$G$32)+Ayarlar!$B$6*IF(Bitkiler!$H$50=Topraklar!$H$32,0,1))/Ayarlar!$B$7)+IF(Topraklar!$K$32=Bitkiler!$C$50,0.002,IF(Topraklar!$L$32="Evet",0.001,0)))</f>
        <v/>
      </c>
      <c r="AG51" s="16">
        <f>IF(OR(Topraklar!$J$33="Evet",AND(Topraklar!$L$33&lt;&gt;"Evet",Topraklar!$K$33&lt;&gt;Bitkiler!$C$50)),0,MAX(0,1-(Ayarlar!$B$2*ABS(Bitkiler!$D$50-Topraklar!$D$33)+Ayarlar!$B$3*ABS(Bitkiler!$E$50-Topraklar!$E$33)+Ayarlar!$B$4*ABS(Bitkiler!$F$50-Topraklar!$F$33)+Ayarlar!$B$5*ABS(Bitkiler!$G$50-Topraklar!$G$33)+Ayarlar!$B$6*IF(Bitkiler!$H$50=Topraklar!$H$33,0,1))/Ayarlar!$B$7)+IF(Topraklar!$K$33=Bitkiler!$C$50,0.002,IF(Topraklar!$L$33="Evet",0.001,0)))</f>
        <v/>
      </c>
      <c r="AH51" s="16">
        <f>IF(OR(Topraklar!$J$34="Evet",AND(Topraklar!$L$34&lt;&gt;"Evet",Topraklar!$K$34&lt;&gt;Bitkiler!$C$50)),0,MAX(0,1-(Ayarlar!$B$2*ABS(Bitkiler!$D$50-Topraklar!$D$34)+Ayarlar!$B$3*ABS(Bitkiler!$E$50-Topraklar!$E$34)+Ayarlar!$B$4*ABS(Bitkiler!$F$50-Topraklar!$F$34)+Ayarlar!$B$5*ABS(Bitkiler!$G$50-Topraklar!$G$34)+Ayarlar!$B$6*IF(Bitkiler!$H$50=Topraklar!$H$34,0,1))/Ayarlar!$B$7)+IF(Topraklar!$K$34=Bitkiler!$C$50,0.002,IF(Topraklar!$L$34="Evet",0.001,0)))</f>
        <v/>
      </c>
      <c r="AI51" s="16">
        <f>IF(OR(Topraklar!$J$35="Evet",AND(Topraklar!$L$35&lt;&gt;"Evet",Topraklar!$K$35&lt;&gt;Bitkiler!$C$50)),0,MAX(0,1-(Ayarlar!$B$2*ABS(Bitkiler!$D$50-Topraklar!$D$35)+Ayarlar!$B$3*ABS(Bitkiler!$E$50-Topraklar!$E$35)+Ayarlar!$B$4*ABS(Bitkiler!$F$50-Topraklar!$F$35)+Ayarlar!$B$5*ABS(Bitkiler!$G$50-Topraklar!$G$35)+Ayarlar!$B$6*IF(Bitkiler!$H$50=Topraklar!$H$35,0,1))/Ayarlar!$B$7)+IF(Topraklar!$K$35=Bitkiler!$C$50,0.002,IF(Topraklar!$L$35="Evet",0.001,0)))</f>
        <v/>
      </c>
      <c r="AJ51" s="16">
        <f>IF(OR(Topraklar!$J$36="Evet",AND(Topraklar!$L$36&lt;&gt;"Evet",Topraklar!$K$36&lt;&gt;Bitkiler!$C$50)),0,MAX(0,1-(Ayarlar!$B$2*ABS(Bitkiler!$D$50-Topraklar!$D$36)+Ayarlar!$B$3*ABS(Bitkiler!$E$50-Topraklar!$E$36)+Ayarlar!$B$4*ABS(Bitkiler!$F$50-Topraklar!$F$36)+Ayarlar!$B$5*ABS(Bitkiler!$G$50-Topraklar!$G$36)+Ayarlar!$B$6*IF(Bitkiler!$H$50=Topraklar!$H$36,0,1))/Ayarlar!$B$7)+IF(Topraklar!$K$36=Bitkiler!$C$50,0.002,IF(Topraklar!$L$36="Evet",0.001,0)))</f>
        <v/>
      </c>
      <c r="AK51" s="16">
        <f>IF(OR(Topraklar!$J$37="Evet",AND(Topraklar!$L$37&lt;&gt;"Evet",Topraklar!$K$37&lt;&gt;Bitkiler!$C$50)),0,MAX(0,1-(Ayarlar!$B$2*ABS(Bitkiler!$D$50-Topraklar!$D$37)+Ayarlar!$B$3*ABS(Bitkiler!$E$50-Topraklar!$E$37)+Ayarlar!$B$4*ABS(Bitkiler!$F$50-Topraklar!$F$37)+Ayarlar!$B$5*ABS(Bitkiler!$G$50-Topraklar!$G$37)+Ayarlar!$B$6*IF(Bitkiler!$H$50=Topraklar!$H$37,0,1))/Ayarlar!$B$7)+IF(Topraklar!$K$37=Bitkiler!$C$50,0.002,IF(Topraklar!$L$37="Evet",0.001,0)))</f>
        <v/>
      </c>
      <c r="AL51" s="16">
        <f>IF(OR(Topraklar!$J$38="Evet",AND(Topraklar!$L$38&lt;&gt;"Evet",Topraklar!$K$38&lt;&gt;Bitkiler!$C$50)),0,MAX(0,1-(Ayarlar!$B$2*ABS(Bitkiler!$D$50-Topraklar!$D$38)+Ayarlar!$B$3*ABS(Bitkiler!$E$50-Topraklar!$E$38)+Ayarlar!$B$4*ABS(Bitkiler!$F$50-Topraklar!$F$38)+Ayarlar!$B$5*ABS(Bitkiler!$G$50-Topraklar!$G$38)+Ayarlar!$B$6*IF(Bitkiler!$H$50=Topraklar!$H$38,0,1))/Ayarlar!$B$7)+IF(Topraklar!$K$38=Bitkiler!$C$50,0.002,IF(Topraklar!$L$38="Evet",0.001,0)))</f>
        <v/>
      </c>
      <c r="AM51" s="16">
        <f>IF(OR(Topraklar!$J$39="Evet",AND(Topraklar!$L$39&lt;&gt;"Evet",Topraklar!$K$39&lt;&gt;Bitkiler!$C$50)),0,MAX(0,1-(Ayarlar!$B$2*ABS(Bitkiler!$D$50-Topraklar!$D$39)+Ayarlar!$B$3*ABS(Bitkiler!$E$50-Topraklar!$E$39)+Ayarlar!$B$4*ABS(Bitkiler!$F$50-Topraklar!$F$39)+Ayarlar!$B$5*ABS(Bitkiler!$G$50-Topraklar!$G$39)+Ayarlar!$B$6*IF(Bitkiler!$H$50=Topraklar!$H$39,0,1))/Ayarlar!$B$7)+IF(Topraklar!$K$39=Bitkiler!$C$50,0.002,IF(Topraklar!$L$39="Evet",0.001,0)))</f>
        <v/>
      </c>
      <c r="AN51" s="16">
        <f>IF(OR(Topraklar!$J$40="Evet",AND(Topraklar!$L$40&lt;&gt;"Evet",Topraklar!$K$40&lt;&gt;Bitkiler!$C$50)),0,MAX(0,1-(Ayarlar!$B$2*ABS(Bitkiler!$D$50-Topraklar!$D$40)+Ayarlar!$B$3*ABS(Bitkiler!$E$50-Topraklar!$E$40)+Ayarlar!$B$4*ABS(Bitkiler!$F$50-Topraklar!$F$40)+Ayarlar!$B$5*ABS(Bitkiler!$G$50-Topraklar!$G$40)+Ayarlar!$B$6*IF(Bitkiler!$H$50=Topraklar!$H$40,0,1))/Ayarlar!$B$7)+IF(Topraklar!$K$40=Bitkiler!$C$50,0.002,IF(Topraklar!$L$40="Evet",0.001,0)))</f>
        <v/>
      </c>
      <c r="AO51" s="16">
        <f>IF(OR(Topraklar!$J$41="Evet",AND(Topraklar!$L$41&lt;&gt;"Evet",Topraklar!$K$41&lt;&gt;Bitkiler!$C$50)),0,MAX(0,1-(Ayarlar!$B$2*ABS(Bitkiler!$D$50-Topraklar!$D$41)+Ayarlar!$B$3*ABS(Bitkiler!$E$50-Topraklar!$E$41)+Ayarlar!$B$4*ABS(Bitkiler!$F$50-Topraklar!$F$41)+Ayarlar!$B$5*ABS(Bitkiler!$G$50-Topraklar!$G$41)+Ayarlar!$B$6*IF(Bitkiler!$H$50=Topraklar!$H$41,0,1))/Ayarlar!$B$7)+IF(Topraklar!$K$41=Bitkiler!$C$50,0.002,IF(Topraklar!$L$41="Evet",0.001,0)))</f>
        <v/>
      </c>
      <c r="AP51" s="16">
        <f>IF(OR(Topraklar!$J$42="Evet",AND(Topraklar!$L$42&lt;&gt;"Evet",Topraklar!$K$42&lt;&gt;Bitkiler!$C$50)),0,MAX(0,1-(Ayarlar!$B$2*ABS(Bitkiler!$D$50-Topraklar!$D$42)+Ayarlar!$B$3*ABS(Bitkiler!$E$50-Topraklar!$E$42)+Ayarlar!$B$4*ABS(Bitkiler!$F$50-Topraklar!$F$42)+Ayarlar!$B$5*ABS(Bitkiler!$G$50-Topraklar!$G$42)+Ayarlar!$B$6*IF(Bitkiler!$H$50=Topraklar!$H$42,0,1))/Ayarlar!$B$7)+IF(Topraklar!$K$42=Bitkiler!$C$50,0.002,IF(Topraklar!$L$42="Evet",0.001,0)))</f>
        <v/>
      </c>
      <c r="AQ51" s="16">
        <f>IF(OR(Topraklar!$J$43="Evet",AND(Topraklar!$L$43&lt;&gt;"Evet",Topraklar!$K$43&lt;&gt;Bitkiler!$C$50)),0,MAX(0,1-(Ayarlar!$B$2*ABS(Bitkiler!$D$50-Topraklar!$D$43)+Ayarlar!$B$3*ABS(Bitkiler!$E$50-Topraklar!$E$43)+Ayarlar!$B$4*ABS(Bitkiler!$F$50-Topraklar!$F$43)+Ayarlar!$B$5*ABS(Bitkiler!$G$50-Topraklar!$G$43)+Ayarlar!$B$6*IF(Bitkiler!$H$50=Topraklar!$H$43,0,1))/Ayarlar!$B$7)+IF(Topraklar!$K$43=Bitkiler!$C$50,0.002,IF(Topraklar!$L$43="Evet",0.001,0)))</f>
        <v/>
      </c>
      <c r="AR51" s="16">
        <f>IF(OR(Topraklar!$J$44="Evet",AND(Topraklar!$L$44&lt;&gt;"Evet",Topraklar!$K$44&lt;&gt;Bitkiler!$C$50)),0,MAX(0,1-(Ayarlar!$B$2*ABS(Bitkiler!$D$50-Topraklar!$D$44)+Ayarlar!$B$3*ABS(Bitkiler!$E$50-Topraklar!$E$44)+Ayarlar!$B$4*ABS(Bitkiler!$F$50-Topraklar!$F$44)+Ayarlar!$B$5*ABS(Bitkiler!$G$50-Topraklar!$G$44)+Ayarlar!$B$6*IF(Bitkiler!$H$50=Topraklar!$H$44,0,1))/Ayarlar!$B$7)+IF(Topraklar!$K$44=Bitkiler!$C$50,0.002,IF(Topraklar!$L$44="Evet",0.001,0)))</f>
        <v/>
      </c>
      <c r="AS51" s="16">
        <f>IF(OR(Topraklar!$J$45="Evet",AND(Topraklar!$L$45&lt;&gt;"Evet",Topraklar!$K$45&lt;&gt;Bitkiler!$C$50)),0,MAX(0,1-(Ayarlar!$B$2*ABS(Bitkiler!$D$50-Topraklar!$D$45)+Ayarlar!$B$3*ABS(Bitkiler!$E$50-Topraklar!$E$45)+Ayarlar!$B$4*ABS(Bitkiler!$F$50-Topraklar!$F$45)+Ayarlar!$B$5*ABS(Bitkiler!$G$50-Topraklar!$G$45)+Ayarlar!$B$6*IF(Bitkiler!$H$50=Topraklar!$H$45,0,1))/Ayarlar!$B$7)+IF(Topraklar!$K$45=Bitkiler!$C$50,0.002,IF(Topraklar!$L$45="Evet",0.001,0)))</f>
        <v/>
      </c>
      <c r="AT51" s="16">
        <f>IF(OR(Topraklar!$J$46="Evet",AND(Topraklar!$L$46&lt;&gt;"Evet",Topraklar!$K$46&lt;&gt;Bitkiler!$C$50)),0,MAX(0,1-(Ayarlar!$B$2*ABS(Bitkiler!$D$50-Topraklar!$D$46)+Ayarlar!$B$3*ABS(Bitkiler!$E$50-Topraklar!$E$46)+Ayarlar!$B$4*ABS(Bitkiler!$F$50-Topraklar!$F$46)+Ayarlar!$B$5*ABS(Bitkiler!$G$50-Topraklar!$G$46)+Ayarlar!$B$6*IF(Bitkiler!$H$50=Topraklar!$H$46,0,1))/Ayarlar!$B$7)+IF(Topraklar!$K$46=Bitkiler!$C$50,0.002,IF(Topraklar!$L$46="Evet",0.001,0)))</f>
        <v/>
      </c>
      <c r="AU51" s="16">
        <f>IF(OR(Topraklar!$J$47="Evet",AND(Topraklar!$L$47&lt;&gt;"Evet",Topraklar!$K$47&lt;&gt;Bitkiler!$C$50)),0,MAX(0,1-(Ayarlar!$B$2*ABS(Bitkiler!$D$50-Topraklar!$D$47)+Ayarlar!$B$3*ABS(Bitkiler!$E$50-Topraklar!$E$47)+Ayarlar!$B$4*ABS(Bitkiler!$F$50-Topraklar!$F$47)+Ayarlar!$B$5*ABS(Bitkiler!$G$50-Topraklar!$G$47)+Ayarlar!$B$6*IF(Bitkiler!$H$50=Topraklar!$H$47,0,1))/Ayarlar!$B$7)+IF(Topraklar!$K$47=Bitkiler!$C$50,0.002,IF(Topraklar!$L$47="Evet",0.001,0)))</f>
        <v/>
      </c>
      <c r="AV51" s="16">
        <f>IF(OR(Topraklar!$J$48="Evet",AND(Topraklar!$L$48&lt;&gt;"Evet",Topraklar!$K$48&lt;&gt;Bitkiler!$C$50)),0,MAX(0,1-(Ayarlar!$B$2*ABS(Bitkiler!$D$50-Topraklar!$D$48)+Ayarlar!$B$3*ABS(Bitkiler!$E$50-Topraklar!$E$48)+Ayarlar!$B$4*ABS(Bitkiler!$F$50-Topraklar!$F$48)+Ayarlar!$B$5*ABS(Bitkiler!$G$50-Topraklar!$G$48)+Ayarlar!$B$6*IF(Bitkiler!$H$50=Topraklar!$H$48,0,1))/Ayarlar!$B$7)+IF(Topraklar!$K$48=Bitkiler!$C$50,0.002,IF(Topraklar!$L$48="Evet",0.001,0)))</f>
        <v/>
      </c>
      <c r="AW51" s="16">
        <f>IF(OR(Topraklar!$J$49="Evet",AND(Topraklar!$L$49&lt;&gt;"Evet",Topraklar!$K$49&lt;&gt;Bitkiler!$C$50)),0,MAX(0,1-(Ayarlar!$B$2*ABS(Bitkiler!$D$50-Topraklar!$D$49)+Ayarlar!$B$3*ABS(Bitkiler!$E$50-Topraklar!$E$49)+Ayarlar!$B$4*ABS(Bitkiler!$F$50-Topraklar!$F$49)+Ayarlar!$B$5*ABS(Bitkiler!$G$50-Topraklar!$G$49)+Ayarlar!$B$6*IF(Bitkiler!$H$50=Topraklar!$H$49,0,1))/Ayarlar!$B$7)+IF(Topraklar!$K$49=Bitkiler!$C$50,0.002,IF(Topraklar!$L$49="Evet",0.001,0)))</f>
        <v/>
      </c>
      <c r="AX51" s="16">
        <f>IF(OR(Topraklar!$J$50="Evet",AND(Topraklar!$L$50&lt;&gt;"Evet",Topraklar!$K$50&lt;&gt;Bitkiler!$C$50)),0,MAX(0,1-(Ayarlar!$B$2*ABS(Bitkiler!$D$50-Topraklar!$D$50)+Ayarlar!$B$3*ABS(Bitkiler!$E$50-Topraklar!$E$50)+Ayarlar!$B$4*ABS(Bitkiler!$F$50-Topraklar!$F$50)+Ayarlar!$B$5*ABS(Bitkiler!$G$50-Topraklar!$G$50)+Ayarlar!$B$6*IF(Bitkiler!$H$50=Topraklar!$H$50,0,1))/Ayarlar!$B$7)+IF(Topraklar!$K$50=Bitkiler!$C$50,0.002,IF(Topraklar!$L$50="Evet",0.001,0)))</f>
        <v/>
      </c>
      <c r="AY51" s="16">
        <f>IF(OR(Topraklar!$J$51="Evet",AND(Topraklar!$L$51&lt;&gt;"Evet",Topraklar!$K$51&lt;&gt;Bitkiler!$C$50)),0,MAX(0,1-(Ayarlar!$B$2*ABS(Bitkiler!$D$50-Topraklar!$D$51)+Ayarlar!$B$3*ABS(Bitkiler!$E$50-Topraklar!$E$51)+Ayarlar!$B$4*ABS(Bitkiler!$F$50-Topraklar!$F$51)+Ayarlar!$B$5*ABS(Bitkiler!$G$50-Topraklar!$G$51)+Ayarlar!$B$6*IF(Bitkiler!$H$50=Topraklar!$H$51,0,1))/Ayarlar!$B$7)+IF(Topraklar!$K$51=Bitkiler!$C$50,0.002,IF(Topraklar!$L$51="Evet",0.001,0)))</f>
        <v/>
      </c>
    </row>
    <row r="52">
      <c r="A52" s="15">
        <f>Bitkiler!A51</f>
        <v/>
      </c>
      <c r="B52" s="16">
        <f>IF(OR(Topraklar!$J$2="Evet",AND(Topraklar!$L$2&lt;&gt;"Evet",Topraklar!$K$2&lt;&gt;Bitkiler!$C$51)),0,MAX(0,1-(Ayarlar!$B$2*ABS(Bitkiler!$D$51-Topraklar!$D$2)+Ayarlar!$B$3*ABS(Bitkiler!$E$51-Topraklar!$E$2)+Ayarlar!$B$4*ABS(Bitkiler!$F$51-Topraklar!$F$2)+Ayarlar!$B$5*ABS(Bitkiler!$G$51-Topraklar!$G$2)+Ayarlar!$B$6*IF(Bitkiler!$H$51=Topraklar!$H$2,0,1))/Ayarlar!$B$7)+IF(Topraklar!$K$2=Bitkiler!$C$51,0.002,IF(Topraklar!$L$2="Evet",0.001,0)))</f>
        <v/>
      </c>
      <c r="C52" s="16">
        <f>IF(OR(Topraklar!$J$3="Evet",AND(Topraklar!$L$3&lt;&gt;"Evet",Topraklar!$K$3&lt;&gt;Bitkiler!$C$51)),0,MAX(0,1-(Ayarlar!$B$2*ABS(Bitkiler!$D$51-Topraklar!$D$3)+Ayarlar!$B$3*ABS(Bitkiler!$E$51-Topraklar!$E$3)+Ayarlar!$B$4*ABS(Bitkiler!$F$51-Topraklar!$F$3)+Ayarlar!$B$5*ABS(Bitkiler!$G$51-Topraklar!$G$3)+Ayarlar!$B$6*IF(Bitkiler!$H$51=Topraklar!$H$3,0,1))/Ayarlar!$B$7)+IF(Topraklar!$K$3=Bitkiler!$C$51,0.002,IF(Topraklar!$L$3="Evet",0.001,0)))</f>
        <v/>
      </c>
      <c r="D52" s="16">
        <f>IF(OR(Topraklar!$J$4="Evet",AND(Topraklar!$L$4&lt;&gt;"Evet",Topraklar!$K$4&lt;&gt;Bitkiler!$C$51)),0,MAX(0,1-(Ayarlar!$B$2*ABS(Bitkiler!$D$51-Topraklar!$D$4)+Ayarlar!$B$3*ABS(Bitkiler!$E$51-Topraklar!$E$4)+Ayarlar!$B$4*ABS(Bitkiler!$F$51-Topraklar!$F$4)+Ayarlar!$B$5*ABS(Bitkiler!$G$51-Topraklar!$G$4)+Ayarlar!$B$6*IF(Bitkiler!$H$51=Topraklar!$H$4,0,1))/Ayarlar!$B$7)+IF(Topraklar!$K$4=Bitkiler!$C$51,0.002,IF(Topraklar!$L$4="Evet",0.001,0)))</f>
        <v/>
      </c>
      <c r="E52" s="16">
        <f>IF(OR(Topraklar!$J$5="Evet",AND(Topraklar!$L$5&lt;&gt;"Evet",Topraklar!$K$5&lt;&gt;Bitkiler!$C$51)),0,MAX(0,1-(Ayarlar!$B$2*ABS(Bitkiler!$D$51-Topraklar!$D$5)+Ayarlar!$B$3*ABS(Bitkiler!$E$51-Topraklar!$E$5)+Ayarlar!$B$4*ABS(Bitkiler!$F$51-Topraklar!$F$5)+Ayarlar!$B$5*ABS(Bitkiler!$G$51-Topraklar!$G$5)+Ayarlar!$B$6*IF(Bitkiler!$H$51=Topraklar!$H$5,0,1))/Ayarlar!$B$7)+IF(Topraklar!$K$5=Bitkiler!$C$51,0.002,IF(Topraklar!$L$5="Evet",0.001,0)))</f>
        <v/>
      </c>
      <c r="F52" s="16">
        <f>IF(OR(Topraklar!$J$6="Evet",AND(Topraklar!$L$6&lt;&gt;"Evet",Topraklar!$K$6&lt;&gt;Bitkiler!$C$51)),0,MAX(0,1-(Ayarlar!$B$2*ABS(Bitkiler!$D$51-Topraklar!$D$6)+Ayarlar!$B$3*ABS(Bitkiler!$E$51-Topraklar!$E$6)+Ayarlar!$B$4*ABS(Bitkiler!$F$51-Topraklar!$F$6)+Ayarlar!$B$5*ABS(Bitkiler!$G$51-Topraklar!$G$6)+Ayarlar!$B$6*IF(Bitkiler!$H$51=Topraklar!$H$6,0,1))/Ayarlar!$B$7)+IF(Topraklar!$K$6=Bitkiler!$C$51,0.002,IF(Topraklar!$L$6="Evet",0.001,0)))</f>
        <v/>
      </c>
      <c r="G52" s="16">
        <f>IF(OR(Topraklar!$J$7="Evet",AND(Topraklar!$L$7&lt;&gt;"Evet",Topraklar!$K$7&lt;&gt;Bitkiler!$C$51)),0,MAX(0,1-(Ayarlar!$B$2*ABS(Bitkiler!$D$51-Topraklar!$D$7)+Ayarlar!$B$3*ABS(Bitkiler!$E$51-Topraklar!$E$7)+Ayarlar!$B$4*ABS(Bitkiler!$F$51-Topraklar!$F$7)+Ayarlar!$B$5*ABS(Bitkiler!$G$51-Topraklar!$G$7)+Ayarlar!$B$6*IF(Bitkiler!$H$51=Topraklar!$H$7,0,1))/Ayarlar!$B$7)+IF(Topraklar!$K$7=Bitkiler!$C$51,0.002,IF(Topraklar!$L$7="Evet",0.001,0)))</f>
        <v/>
      </c>
      <c r="H52" s="16">
        <f>IF(OR(Topraklar!$J$8="Evet",AND(Topraklar!$L$8&lt;&gt;"Evet",Topraklar!$K$8&lt;&gt;Bitkiler!$C$51)),0,MAX(0,1-(Ayarlar!$B$2*ABS(Bitkiler!$D$51-Topraklar!$D$8)+Ayarlar!$B$3*ABS(Bitkiler!$E$51-Topraklar!$E$8)+Ayarlar!$B$4*ABS(Bitkiler!$F$51-Topraklar!$F$8)+Ayarlar!$B$5*ABS(Bitkiler!$G$51-Topraklar!$G$8)+Ayarlar!$B$6*IF(Bitkiler!$H$51=Topraklar!$H$8,0,1))/Ayarlar!$B$7)+IF(Topraklar!$K$8=Bitkiler!$C$51,0.002,IF(Topraklar!$L$8="Evet",0.001,0)))</f>
        <v/>
      </c>
      <c r="I52" s="16">
        <f>IF(OR(Topraklar!$J$9="Evet",AND(Topraklar!$L$9&lt;&gt;"Evet",Topraklar!$K$9&lt;&gt;Bitkiler!$C$51)),0,MAX(0,1-(Ayarlar!$B$2*ABS(Bitkiler!$D$51-Topraklar!$D$9)+Ayarlar!$B$3*ABS(Bitkiler!$E$51-Topraklar!$E$9)+Ayarlar!$B$4*ABS(Bitkiler!$F$51-Topraklar!$F$9)+Ayarlar!$B$5*ABS(Bitkiler!$G$51-Topraklar!$G$9)+Ayarlar!$B$6*IF(Bitkiler!$H$51=Topraklar!$H$9,0,1))/Ayarlar!$B$7)+IF(Topraklar!$K$9=Bitkiler!$C$51,0.002,IF(Topraklar!$L$9="Evet",0.001,0)))</f>
        <v/>
      </c>
      <c r="J52" s="16">
        <f>IF(OR(Topraklar!$J$10="Evet",AND(Topraklar!$L$10&lt;&gt;"Evet",Topraklar!$K$10&lt;&gt;Bitkiler!$C$51)),0,MAX(0,1-(Ayarlar!$B$2*ABS(Bitkiler!$D$51-Topraklar!$D$10)+Ayarlar!$B$3*ABS(Bitkiler!$E$51-Topraklar!$E$10)+Ayarlar!$B$4*ABS(Bitkiler!$F$51-Topraklar!$F$10)+Ayarlar!$B$5*ABS(Bitkiler!$G$51-Topraklar!$G$10)+Ayarlar!$B$6*IF(Bitkiler!$H$51=Topraklar!$H$10,0,1))/Ayarlar!$B$7)+IF(Topraklar!$K$10=Bitkiler!$C$51,0.002,IF(Topraklar!$L$10="Evet",0.001,0)))</f>
        <v/>
      </c>
      <c r="K52" s="16">
        <f>IF(OR(Topraklar!$J$11="Evet",AND(Topraklar!$L$11&lt;&gt;"Evet",Topraklar!$K$11&lt;&gt;Bitkiler!$C$51)),0,MAX(0,1-(Ayarlar!$B$2*ABS(Bitkiler!$D$51-Topraklar!$D$11)+Ayarlar!$B$3*ABS(Bitkiler!$E$51-Topraklar!$E$11)+Ayarlar!$B$4*ABS(Bitkiler!$F$51-Topraklar!$F$11)+Ayarlar!$B$5*ABS(Bitkiler!$G$51-Topraklar!$G$11)+Ayarlar!$B$6*IF(Bitkiler!$H$51=Topraklar!$H$11,0,1))/Ayarlar!$B$7)+IF(Topraklar!$K$11=Bitkiler!$C$51,0.002,IF(Topraklar!$L$11="Evet",0.001,0)))</f>
        <v/>
      </c>
      <c r="L52" s="16">
        <f>IF(OR(Topraklar!$J$12="Evet",AND(Topraklar!$L$12&lt;&gt;"Evet",Topraklar!$K$12&lt;&gt;Bitkiler!$C$51)),0,MAX(0,1-(Ayarlar!$B$2*ABS(Bitkiler!$D$51-Topraklar!$D$12)+Ayarlar!$B$3*ABS(Bitkiler!$E$51-Topraklar!$E$12)+Ayarlar!$B$4*ABS(Bitkiler!$F$51-Topraklar!$F$12)+Ayarlar!$B$5*ABS(Bitkiler!$G$51-Topraklar!$G$12)+Ayarlar!$B$6*IF(Bitkiler!$H$51=Topraklar!$H$12,0,1))/Ayarlar!$B$7)+IF(Topraklar!$K$12=Bitkiler!$C$51,0.002,IF(Topraklar!$L$12="Evet",0.001,0)))</f>
        <v/>
      </c>
      <c r="M52" s="16">
        <f>IF(OR(Topraklar!$J$13="Evet",AND(Topraklar!$L$13&lt;&gt;"Evet",Topraklar!$K$13&lt;&gt;Bitkiler!$C$51)),0,MAX(0,1-(Ayarlar!$B$2*ABS(Bitkiler!$D$51-Topraklar!$D$13)+Ayarlar!$B$3*ABS(Bitkiler!$E$51-Topraklar!$E$13)+Ayarlar!$B$4*ABS(Bitkiler!$F$51-Topraklar!$F$13)+Ayarlar!$B$5*ABS(Bitkiler!$G$51-Topraklar!$G$13)+Ayarlar!$B$6*IF(Bitkiler!$H$51=Topraklar!$H$13,0,1))/Ayarlar!$B$7)+IF(Topraklar!$K$13=Bitkiler!$C$51,0.002,IF(Topraklar!$L$13="Evet",0.001,0)))</f>
        <v/>
      </c>
      <c r="N52" s="16">
        <f>IF(OR(Topraklar!$J$14="Evet",AND(Topraklar!$L$14&lt;&gt;"Evet",Topraklar!$K$14&lt;&gt;Bitkiler!$C$51)),0,MAX(0,1-(Ayarlar!$B$2*ABS(Bitkiler!$D$51-Topraklar!$D$14)+Ayarlar!$B$3*ABS(Bitkiler!$E$51-Topraklar!$E$14)+Ayarlar!$B$4*ABS(Bitkiler!$F$51-Topraklar!$F$14)+Ayarlar!$B$5*ABS(Bitkiler!$G$51-Topraklar!$G$14)+Ayarlar!$B$6*IF(Bitkiler!$H$51=Topraklar!$H$14,0,1))/Ayarlar!$B$7)+IF(Topraklar!$K$14=Bitkiler!$C$51,0.002,IF(Topraklar!$L$14="Evet",0.001,0)))</f>
        <v/>
      </c>
      <c r="O52" s="16">
        <f>IF(OR(Topraklar!$J$15="Evet",AND(Topraklar!$L$15&lt;&gt;"Evet",Topraklar!$K$15&lt;&gt;Bitkiler!$C$51)),0,MAX(0,1-(Ayarlar!$B$2*ABS(Bitkiler!$D$51-Topraklar!$D$15)+Ayarlar!$B$3*ABS(Bitkiler!$E$51-Topraklar!$E$15)+Ayarlar!$B$4*ABS(Bitkiler!$F$51-Topraklar!$F$15)+Ayarlar!$B$5*ABS(Bitkiler!$G$51-Topraklar!$G$15)+Ayarlar!$B$6*IF(Bitkiler!$H$51=Topraklar!$H$15,0,1))/Ayarlar!$B$7)+IF(Topraklar!$K$15=Bitkiler!$C$51,0.002,IF(Topraklar!$L$15="Evet",0.001,0)))</f>
        <v/>
      </c>
      <c r="P52" s="16">
        <f>IF(OR(Topraklar!$J$16="Evet",AND(Topraklar!$L$16&lt;&gt;"Evet",Topraklar!$K$16&lt;&gt;Bitkiler!$C$51)),0,MAX(0,1-(Ayarlar!$B$2*ABS(Bitkiler!$D$51-Topraklar!$D$16)+Ayarlar!$B$3*ABS(Bitkiler!$E$51-Topraklar!$E$16)+Ayarlar!$B$4*ABS(Bitkiler!$F$51-Topraklar!$F$16)+Ayarlar!$B$5*ABS(Bitkiler!$G$51-Topraklar!$G$16)+Ayarlar!$B$6*IF(Bitkiler!$H$51=Topraklar!$H$16,0,1))/Ayarlar!$B$7)+IF(Topraklar!$K$16=Bitkiler!$C$51,0.002,IF(Topraklar!$L$16="Evet",0.001,0)))</f>
        <v/>
      </c>
      <c r="Q52" s="16">
        <f>IF(OR(Topraklar!$J$17="Evet",AND(Topraklar!$L$17&lt;&gt;"Evet",Topraklar!$K$17&lt;&gt;Bitkiler!$C$51)),0,MAX(0,1-(Ayarlar!$B$2*ABS(Bitkiler!$D$51-Topraklar!$D$17)+Ayarlar!$B$3*ABS(Bitkiler!$E$51-Topraklar!$E$17)+Ayarlar!$B$4*ABS(Bitkiler!$F$51-Topraklar!$F$17)+Ayarlar!$B$5*ABS(Bitkiler!$G$51-Topraklar!$G$17)+Ayarlar!$B$6*IF(Bitkiler!$H$51=Topraklar!$H$17,0,1))/Ayarlar!$B$7)+IF(Topraklar!$K$17=Bitkiler!$C$51,0.002,IF(Topraklar!$L$17="Evet",0.001,0)))</f>
        <v/>
      </c>
      <c r="R52" s="16">
        <f>IF(OR(Topraklar!$J$18="Evet",AND(Topraklar!$L$18&lt;&gt;"Evet",Topraklar!$K$18&lt;&gt;Bitkiler!$C$51)),0,MAX(0,1-(Ayarlar!$B$2*ABS(Bitkiler!$D$51-Topraklar!$D$18)+Ayarlar!$B$3*ABS(Bitkiler!$E$51-Topraklar!$E$18)+Ayarlar!$B$4*ABS(Bitkiler!$F$51-Topraklar!$F$18)+Ayarlar!$B$5*ABS(Bitkiler!$G$51-Topraklar!$G$18)+Ayarlar!$B$6*IF(Bitkiler!$H$51=Topraklar!$H$18,0,1))/Ayarlar!$B$7)+IF(Topraklar!$K$18=Bitkiler!$C$51,0.002,IF(Topraklar!$L$18="Evet",0.001,0)))</f>
        <v/>
      </c>
      <c r="S52" s="16">
        <f>IF(OR(Topraklar!$J$19="Evet",AND(Topraklar!$L$19&lt;&gt;"Evet",Topraklar!$K$19&lt;&gt;Bitkiler!$C$51)),0,MAX(0,1-(Ayarlar!$B$2*ABS(Bitkiler!$D$51-Topraklar!$D$19)+Ayarlar!$B$3*ABS(Bitkiler!$E$51-Topraklar!$E$19)+Ayarlar!$B$4*ABS(Bitkiler!$F$51-Topraklar!$F$19)+Ayarlar!$B$5*ABS(Bitkiler!$G$51-Topraklar!$G$19)+Ayarlar!$B$6*IF(Bitkiler!$H$51=Topraklar!$H$19,0,1))/Ayarlar!$B$7)+IF(Topraklar!$K$19=Bitkiler!$C$51,0.002,IF(Topraklar!$L$19="Evet",0.001,0)))</f>
        <v/>
      </c>
      <c r="T52" s="16">
        <f>IF(OR(Topraklar!$J$20="Evet",AND(Topraklar!$L$20&lt;&gt;"Evet",Topraklar!$K$20&lt;&gt;Bitkiler!$C$51)),0,MAX(0,1-(Ayarlar!$B$2*ABS(Bitkiler!$D$51-Topraklar!$D$20)+Ayarlar!$B$3*ABS(Bitkiler!$E$51-Topraklar!$E$20)+Ayarlar!$B$4*ABS(Bitkiler!$F$51-Topraklar!$F$20)+Ayarlar!$B$5*ABS(Bitkiler!$G$51-Topraklar!$G$20)+Ayarlar!$B$6*IF(Bitkiler!$H$51=Topraklar!$H$20,0,1))/Ayarlar!$B$7)+IF(Topraklar!$K$20=Bitkiler!$C$51,0.002,IF(Topraklar!$L$20="Evet",0.001,0)))</f>
        <v/>
      </c>
      <c r="U52" s="16">
        <f>IF(OR(Topraklar!$J$21="Evet",AND(Topraklar!$L$21&lt;&gt;"Evet",Topraklar!$K$21&lt;&gt;Bitkiler!$C$51)),0,MAX(0,1-(Ayarlar!$B$2*ABS(Bitkiler!$D$51-Topraklar!$D$21)+Ayarlar!$B$3*ABS(Bitkiler!$E$51-Topraklar!$E$21)+Ayarlar!$B$4*ABS(Bitkiler!$F$51-Topraklar!$F$21)+Ayarlar!$B$5*ABS(Bitkiler!$G$51-Topraklar!$G$21)+Ayarlar!$B$6*IF(Bitkiler!$H$51=Topraklar!$H$21,0,1))/Ayarlar!$B$7)+IF(Topraklar!$K$21=Bitkiler!$C$51,0.002,IF(Topraklar!$L$21="Evet",0.001,0)))</f>
        <v/>
      </c>
      <c r="V52" s="16">
        <f>IF(OR(Topraklar!$J$22="Evet",AND(Topraklar!$L$22&lt;&gt;"Evet",Topraklar!$K$22&lt;&gt;Bitkiler!$C$51)),0,MAX(0,1-(Ayarlar!$B$2*ABS(Bitkiler!$D$51-Topraklar!$D$22)+Ayarlar!$B$3*ABS(Bitkiler!$E$51-Topraklar!$E$22)+Ayarlar!$B$4*ABS(Bitkiler!$F$51-Topraklar!$F$22)+Ayarlar!$B$5*ABS(Bitkiler!$G$51-Topraklar!$G$22)+Ayarlar!$B$6*IF(Bitkiler!$H$51=Topraklar!$H$22,0,1))/Ayarlar!$B$7)+IF(Topraklar!$K$22=Bitkiler!$C$51,0.002,IF(Topraklar!$L$22="Evet",0.001,0)))</f>
        <v/>
      </c>
      <c r="W52" s="16">
        <f>IF(OR(Topraklar!$J$23="Evet",AND(Topraklar!$L$23&lt;&gt;"Evet",Topraklar!$K$23&lt;&gt;Bitkiler!$C$51)),0,MAX(0,1-(Ayarlar!$B$2*ABS(Bitkiler!$D$51-Topraklar!$D$23)+Ayarlar!$B$3*ABS(Bitkiler!$E$51-Topraklar!$E$23)+Ayarlar!$B$4*ABS(Bitkiler!$F$51-Topraklar!$F$23)+Ayarlar!$B$5*ABS(Bitkiler!$G$51-Topraklar!$G$23)+Ayarlar!$B$6*IF(Bitkiler!$H$51=Topraklar!$H$23,0,1))/Ayarlar!$B$7)+IF(Topraklar!$K$23=Bitkiler!$C$51,0.002,IF(Topraklar!$L$23="Evet",0.001,0)))</f>
        <v/>
      </c>
      <c r="X52" s="16">
        <f>IF(OR(Topraklar!$J$24="Evet",AND(Topraklar!$L$24&lt;&gt;"Evet",Topraklar!$K$24&lt;&gt;Bitkiler!$C$51)),0,MAX(0,1-(Ayarlar!$B$2*ABS(Bitkiler!$D$51-Topraklar!$D$24)+Ayarlar!$B$3*ABS(Bitkiler!$E$51-Topraklar!$E$24)+Ayarlar!$B$4*ABS(Bitkiler!$F$51-Topraklar!$F$24)+Ayarlar!$B$5*ABS(Bitkiler!$G$51-Topraklar!$G$24)+Ayarlar!$B$6*IF(Bitkiler!$H$51=Topraklar!$H$24,0,1))/Ayarlar!$B$7)+IF(Topraklar!$K$24=Bitkiler!$C$51,0.002,IF(Topraklar!$L$24="Evet",0.001,0)))</f>
        <v/>
      </c>
      <c r="Y52" s="16">
        <f>IF(OR(Topraklar!$J$25="Evet",AND(Topraklar!$L$25&lt;&gt;"Evet",Topraklar!$K$25&lt;&gt;Bitkiler!$C$51)),0,MAX(0,1-(Ayarlar!$B$2*ABS(Bitkiler!$D$51-Topraklar!$D$25)+Ayarlar!$B$3*ABS(Bitkiler!$E$51-Topraklar!$E$25)+Ayarlar!$B$4*ABS(Bitkiler!$F$51-Topraklar!$F$25)+Ayarlar!$B$5*ABS(Bitkiler!$G$51-Topraklar!$G$25)+Ayarlar!$B$6*IF(Bitkiler!$H$51=Topraklar!$H$25,0,1))/Ayarlar!$B$7)+IF(Topraklar!$K$25=Bitkiler!$C$51,0.002,IF(Topraklar!$L$25="Evet",0.001,0)))</f>
        <v/>
      </c>
      <c r="Z52" s="16">
        <f>IF(OR(Topraklar!$J$26="Evet",AND(Topraklar!$L$26&lt;&gt;"Evet",Topraklar!$K$26&lt;&gt;Bitkiler!$C$51)),0,MAX(0,1-(Ayarlar!$B$2*ABS(Bitkiler!$D$51-Topraklar!$D$26)+Ayarlar!$B$3*ABS(Bitkiler!$E$51-Topraklar!$E$26)+Ayarlar!$B$4*ABS(Bitkiler!$F$51-Topraklar!$F$26)+Ayarlar!$B$5*ABS(Bitkiler!$G$51-Topraklar!$G$26)+Ayarlar!$B$6*IF(Bitkiler!$H$51=Topraklar!$H$26,0,1))/Ayarlar!$B$7)+IF(Topraklar!$K$26=Bitkiler!$C$51,0.002,IF(Topraklar!$L$26="Evet",0.001,0)))</f>
        <v/>
      </c>
      <c r="AA52" s="16">
        <f>IF(OR(Topraklar!$J$27="Evet",AND(Topraklar!$L$27&lt;&gt;"Evet",Topraklar!$K$27&lt;&gt;Bitkiler!$C$51)),0,MAX(0,1-(Ayarlar!$B$2*ABS(Bitkiler!$D$51-Topraklar!$D$27)+Ayarlar!$B$3*ABS(Bitkiler!$E$51-Topraklar!$E$27)+Ayarlar!$B$4*ABS(Bitkiler!$F$51-Topraklar!$F$27)+Ayarlar!$B$5*ABS(Bitkiler!$G$51-Topraklar!$G$27)+Ayarlar!$B$6*IF(Bitkiler!$H$51=Topraklar!$H$27,0,1))/Ayarlar!$B$7)+IF(Topraklar!$K$27=Bitkiler!$C$51,0.002,IF(Topraklar!$L$27="Evet",0.001,0)))</f>
        <v/>
      </c>
      <c r="AB52" s="16">
        <f>IF(OR(Topraklar!$J$28="Evet",AND(Topraklar!$L$28&lt;&gt;"Evet",Topraklar!$K$28&lt;&gt;Bitkiler!$C$51)),0,MAX(0,1-(Ayarlar!$B$2*ABS(Bitkiler!$D$51-Topraklar!$D$28)+Ayarlar!$B$3*ABS(Bitkiler!$E$51-Topraklar!$E$28)+Ayarlar!$B$4*ABS(Bitkiler!$F$51-Topraklar!$F$28)+Ayarlar!$B$5*ABS(Bitkiler!$G$51-Topraklar!$G$28)+Ayarlar!$B$6*IF(Bitkiler!$H$51=Topraklar!$H$28,0,1))/Ayarlar!$B$7)+IF(Topraklar!$K$28=Bitkiler!$C$51,0.002,IF(Topraklar!$L$28="Evet",0.001,0)))</f>
        <v/>
      </c>
      <c r="AC52" s="16">
        <f>IF(OR(Topraklar!$J$29="Evet",AND(Topraklar!$L$29&lt;&gt;"Evet",Topraklar!$K$29&lt;&gt;Bitkiler!$C$51)),0,MAX(0,1-(Ayarlar!$B$2*ABS(Bitkiler!$D$51-Topraklar!$D$29)+Ayarlar!$B$3*ABS(Bitkiler!$E$51-Topraklar!$E$29)+Ayarlar!$B$4*ABS(Bitkiler!$F$51-Topraklar!$F$29)+Ayarlar!$B$5*ABS(Bitkiler!$G$51-Topraklar!$G$29)+Ayarlar!$B$6*IF(Bitkiler!$H$51=Topraklar!$H$29,0,1))/Ayarlar!$B$7)+IF(Topraklar!$K$29=Bitkiler!$C$51,0.002,IF(Topraklar!$L$29="Evet",0.001,0)))</f>
        <v/>
      </c>
      <c r="AD52" s="16">
        <f>IF(OR(Topraklar!$J$30="Evet",AND(Topraklar!$L$30&lt;&gt;"Evet",Topraklar!$K$30&lt;&gt;Bitkiler!$C$51)),0,MAX(0,1-(Ayarlar!$B$2*ABS(Bitkiler!$D$51-Topraklar!$D$30)+Ayarlar!$B$3*ABS(Bitkiler!$E$51-Topraklar!$E$30)+Ayarlar!$B$4*ABS(Bitkiler!$F$51-Topraklar!$F$30)+Ayarlar!$B$5*ABS(Bitkiler!$G$51-Topraklar!$G$30)+Ayarlar!$B$6*IF(Bitkiler!$H$51=Topraklar!$H$30,0,1))/Ayarlar!$B$7)+IF(Topraklar!$K$30=Bitkiler!$C$51,0.002,IF(Topraklar!$L$30="Evet",0.001,0)))</f>
        <v/>
      </c>
      <c r="AE52" s="16">
        <f>IF(OR(Topraklar!$J$31="Evet",AND(Topraklar!$L$31&lt;&gt;"Evet",Topraklar!$K$31&lt;&gt;Bitkiler!$C$51)),0,MAX(0,1-(Ayarlar!$B$2*ABS(Bitkiler!$D$51-Topraklar!$D$31)+Ayarlar!$B$3*ABS(Bitkiler!$E$51-Topraklar!$E$31)+Ayarlar!$B$4*ABS(Bitkiler!$F$51-Topraklar!$F$31)+Ayarlar!$B$5*ABS(Bitkiler!$G$51-Topraklar!$G$31)+Ayarlar!$B$6*IF(Bitkiler!$H$51=Topraklar!$H$31,0,1))/Ayarlar!$B$7)+IF(Topraklar!$K$31=Bitkiler!$C$51,0.002,IF(Topraklar!$L$31="Evet",0.001,0)))</f>
        <v/>
      </c>
      <c r="AF52" s="16">
        <f>IF(OR(Topraklar!$J$32="Evet",AND(Topraklar!$L$32&lt;&gt;"Evet",Topraklar!$K$32&lt;&gt;Bitkiler!$C$51)),0,MAX(0,1-(Ayarlar!$B$2*ABS(Bitkiler!$D$51-Topraklar!$D$32)+Ayarlar!$B$3*ABS(Bitkiler!$E$51-Topraklar!$E$32)+Ayarlar!$B$4*ABS(Bitkiler!$F$51-Topraklar!$F$32)+Ayarlar!$B$5*ABS(Bitkiler!$G$51-Topraklar!$G$32)+Ayarlar!$B$6*IF(Bitkiler!$H$51=Topraklar!$H$32,0,1))/Ayarlar!$B$7)+IF(Topraklar!$K$32=Bitkiler!$C$51,0.002,IF(Topraklar!$L$32="Evet",0.001,0)))</f>
        <v/>
      </c>
      <c r="AG52" s="16">
        <f>IF(OR(Topraklar!$J$33="Evet",AND(Topraklar!$L$33&lt;&gt;"Evet",Topraklar!$K$33&lt;&gt;Bitkiler!$C$51)),0,MAX(0,1-(Ayarlar!$B$2*ABS(Bitkiler!$D$51-Topraklar!$D$33)+Ayarlar!$B$3*ABS(Bitkiler!$E$51-Topraklar!$E$33)+Ayarlar!$B$4*ABS(Bitkiler!$F$51-Topraklar!$F$33)+Ayarlar!$B$5*ABS(Bitkiler!$G$51-Topraklar!$G$33)+Ayarlar!$B$6*IF(Bitkiler!$H$51=Topraklar!$H$33,0,1))/Ayarlar!$B$7)+IF(Topraklar!$K$33=Bitkiler!$C$51,0.002,IF(Topraklar!$L$33="Evet",0.001,0)))</f>
        <v/>
      </c>
      <c r="AH52" s="16">
        <f>IF(OR(Topraklar!$J$34="Evet",AND(Topraklar!$L$34&lt;&gt;"Evet",Topraklar!$K$34&lt;&gt;Bitkiler!$C$51)),0,MAX(0,1-(Ayarlar!$B$2*ABS(Bitkiler!$D$51-Topraklar!$D$34)+Ayarlar!$B$3*ABS(Bitkiler!$E$51-Topraklar!$E$34)+Ayarlar!$B$4*ABS(Bitkiler!$F$51-Topraklar!$F$34)+Ayarlar!$B$5*ABS(Bitkiler!$G$51-Topraklar!$G$34)+Ayarlar!$B$6*IF(Bitkiler!$H$51=Topraklar!$H$34,0,1))/Ayarlar!$B$7)+IF(Topraklar!$K$34=Bitkiler!$C$51,0.002,IF(Topraklar!$L$34="Evet",0.001,0)))</f>
        <v/>
      </c>
      <c r="AI52" s="16">
        <f>IF(OR(Topraklar!$J$35="Evet",AND(Topraklar!$L$35&lt;&gt;"Evet",Topraklar!$K$35&lt;&gt;Bitkiler!$C$51)),0,MAX(0,1-(Ayarlar!$B$2*ABS(Bitkiler!$D$51-Topraklar!$D$35)+Ayarlar!$B$3*ABS(Bitkiler!$E$51-Topraklar!$E$35)+Ayarlar!$B$4*ABS(Bitkiler!$F$51-Topraklar!$F$35)+Ayarlar!$B$5*ABS(Bitkiler!$G$51-Topraklar!$G$35)+Ayarlar!$B$6*IF(Bitkiler!$H$51=Topraklar!$H$35,0,1))/Ayarlar!$B$7)+IF(Topraklar!$K$35=Bitkiler!$C$51,0.002,IF(Topraklar!$L$35="Evet",0.001,0)))</f>
        <v/>
      </c>
      <c r="AJ52" s="16">
        <f>IF(OR(Topraklar!$J$36="Evet",AND(Topraklar!$L$36&lt;&gt;"Evet",Topraklar!$K$36&lt;&gt;Bitkiler!$C$51)),0,MAX(0,1-(Ayarlar!$B$2*ABS(Bitkiler!$D$51-Topraklar!$D$36)+Ayarlar!$B$3*ABS(Bitkiler!$E$51-Topraklar!$E$36)+Ayarlar!$B$4*ABS(Bitkiler!$F$51-Topraklar!$F$36)+Ayarlar!$B$5*ABS(Bitkiler!$G$51-Topraklar!$G$36)+Ayarlar!$B$6*IF(Bitkiler!$H$51=Topraklar!$H$36,0,1))/Ayarlar!$B$7)+IF(Topraklar!$K$36=Bitkiler!$C$51,0.002,IF(Topraklar!$L$36="Evet",0.001,0)))</f>
        <v/>
      </c>
      <c r="AK52" s="16">
        <f>IF(OR(Topraklar!$J$37="Evet",AND(Topraklar!$L$37&lt;&gt;"Evet",Topraklar!$K$37&lt;&gt;Bitkiler!$C$51)),0,MAX(0,1-(Ayarlar!$B$2*ABS(Bitkiler!$D$51-Topraklar!$D$37)+Ayarlar!$B$3*ABS(Bitkiler!$E$51-Topraklar!$E$37)+Ayarlar!$B$4*ABS(Bitkiler!$F$51-Topraklar!$F$37)+Ayarlar!$B$5*ABS(Bitkiler!$G$51-Topraklar!$G$37)+Ayarlar!$B$6*IF(Bitkiler!$H$51=Topraklar!$H$37,0,1))/Ayarlar!$B$7)+IF(Topraklar!$K$37=Bitkiler!$C$51,0.002,IF(Topraklar!$L$37="Evet",0.001,0)))</f>
        <v/>
      </c>
      <c r="AL52" s="16">
        <f>IF(OR(Topraklar!$J$38="Evet",AND(Topraklar!$L$38&lt;&gt;"Evet",Topraklar!$K$38&lt;&gt;Bitkiler!$C$51)),0,MAX(0,1-(Ayarlar!$B$2*ABS(Bitkiler!$D$51-Topraklar!$D$38)+Ayarlar!$B$3*ABS(Bitkiler!$E$51-Topraklar!$E$38)+Ayarlar!$B$4*ABS(Bitkiler!$F$51-Topraklar!$F$38)+Ayarlar!$B$5*ABS(Bitkiler!$G$51-Topraklar!$G$38)+Ayarlar!$B$6*IF(Bitkiler!$H$51=Topraklar!$H$38,0,1))/Ayarlar!$B$7)+IF(Topraklar!$K$38=Bitkiler!$C$51,0.002,IF(Topraklar!$L$38="Evet",0.001,0)))</f>
        <v/>
      </c>
      <c r="AM52" s="16">
        <f>IF(OR(Topraklar!$J$39="Evet",AND(Topraklar!$L$39&lt;&gt;"Evet",Topraklar!$K$39&lt;&gt;Bitkiler!$C$51)),0,MAX(0,1-(Ayarlar!$B$2*ABS(Bitkiler!$D$51-Topraklar!$D$39)+Ayarlar!$B$3*ABS(Bitkiler!$E$51-Topraklar!$E$39)+Ayarlar!$B$4*ABS(Bitkiler!$F$51-Topraklar!$F$39)+Ayarlar!$B$5*ABS(Bitkiler!$G$51-Topraklar!$G$39)+Ayarlar!$B$6*IF(Bitkiler!$H$51=Topraklar!$H$39,0,1))/Ayarlar!$B$7)+IF(Topraklar!$K$39=Bitkiler!$C$51,0.002,IF(Topraklar!$L$39="Evet",0.001,0)))</f>
        <v/>
      </c>
      <c r="AN52" s="16">
        <f>IF(OR(Topraklar!$J$40="Evet",AND(Topraklar!$L$40&lt;&gt;"Evet",Topraklar!$K$40&lt;&gt;Bitkiler!$C$51)),0,MAX(0,1-(Ayarlar!$B$2*ABS(Bitkiler!$D$51-Topraklar!$D$40)+Ayarlar!$B$3*ABS(Bitkiler!$E$51-Topraklar!$E$40)+Ayarlar!$B$4*ABS(Bitkiler!$F$51-Topraklar!$F$40)+Ayarlar!$B$5*ABS(Bitkiler!$G$51-Topraklar!$G$40)+Ayarlar!$B$6*IF(Bitkiler!$H$51=Topraklar!$H$40,0,1))/Ayarlar!$B$7)+IF(Topraklar!$K$40=Bitkiler!$C$51,0.002,IF(Topraklar!$L$40="Evet",0.001,0)))</f>
        <v/>
      </c>
      <c r="AO52" s="16">
        <f>IF(OR(Topraklar!$J$41="Evet",AND(Topraklar!$L$41&lt;&gt;"Evet",Topraklar!$K$41&lt;&gt;Bitkiler!$C$51)),0,MAX(0,1-(Ayarlar!$B$2*ABS(Bitkiler!$D$51-Topraklar!$D$41)+Ayarlar!$B$3*ABS(Bitkiler!$E$51-Topraklar!$E$41)+Ayarlar!$B$4*ABS(Bitkiler!$F$51-Topraklar!$F$41)+Ayarlar!$B$5*ABS(Bitkiler!$G$51-Topraklar!$G$41)+Ayarlar!$B$6*IF(Bitkiler!$H$51=Topraklar!$H$41,0,1))/Ayarlar!$B$7)+IF(Topraklar!$K$41=Bitkiler!$C$51,0.002,IF(Topraklar!$L$41="Evet",0.001,0)))</f>
        <v/>
      </c>
      <c r="AP52" s="16">
        <f>IF(OR(Topraklar!$J$42="Evet",AND(Topraklar!$L$42&lt;&gt;"Evet",Topraklar!$K$42&lt;&gt;Bitkiler!$C$51)),0,MAX(0,1-(Ayarlar!$B$2*ABS(Bitkiler!$D$51-Topraklar!$D$42)+Ayarlar!$B$3*ABS(Bitkiler!$E$51-Topraklar!$E$42)+Ayarlar!$B$4*ABS(Bitkiler!$F$51-Topraklar!$F$42)+Ayarlar!$B$5*ABS(Bitkiler!$G$51-Topraklar!$G$42)+Ayarlar!$B$6*IF(Bitkiler!$H$51=Topraklar!$H$42,0,1))/Ayarlar!$B$7)+IF(Topraklar!$K$42=Bitkiler!$C$51,0.002,IF(Topraklar!$L$42="Evet",0.001,0)))</f>
        <v/>
      </c>
      <c r="AQ52" s="16">
        <f>IF(OR(Topraklar!$J$43="Evet",AND(Topraklar!$L$43&lt;&gt;"Evet",Topraklar!$K$43&lt;&gt;Bitkiler!$C$51)),0,MAX(0,1-(Ayarlar!$B$2*ABS(Bitkiler!$D$51-Topraklar!$D$43)+Ayarlar!$B$3*ABS(Bitkiler!$E$51-Topraklar!$E$43)+Ayarlar!$B$4*ABS(Bitkiler!$F$51-Topraklar!$F$43)+Ayarlar!$B$5*ABS(Bitkiler!$G$51-Topraklar!$G$43)+Ayarlar!$B$6*IF(Bitkiler!$H$51=Topraklar!$H$43,0,1))/Ayarlar!$B$7)+IF(Topraklar!$K$43=Bitkiler!$C$51,0.002,IF(Topraklar!$L$43="Evet",0.001,0)))</f>
        <v/>
      </c>
      <c r="AR52" s="16">
        <f>IF(OR(Topraklar!$J$44="Evet",AND(Topraklar!$L$44&lt;&gt;"Evet",Topraklar!$K$44&lt;&gt;Bitkiler!$C$51)),0,MAX(0,1-(Ayarlar!$B$2*ABS(Bitkiler!$D$51-Topraklar!$D$44)+Ayarlar!$B$3*ABS(Bitkiler!$E$51-Topraklar!$E$44)+Ayarlar!$B$4*ABS(Bitkiler!$F$51-Topraklar!$F$44)+Ayarlar!$B$5*ABS(Bitkiler!$G$51-Topraklar!$G$44)+Ayarlar!$B$6*IF(Bitkiler!$H$51=Topraklar!$H$44,0,1))/Ayarlar!$B$7)+IF(Topraklar!$K$44=Bitkiler!$C$51,0.002,IF(Topraklar!$L$44="Evet",0.001,0)))</f>
        <v/>
      </c>
      <c r="AS52" s="16">
        <f>IF(OR(Topraklar!$J$45="Evet",AND(Topraklar!$L$45&lt;&gt;"Evet",Topraklar!$K$45&lt;&gt;Bitkiler!$C$51)),0,MAX(0,1-(Ayarlar!$B$2*ABS(Bitkiler!$D$51-Topraklar!$D$45)+Ayarlar!$B$3*ABS(Bitkiler!$E$51-Topraklar!$E$45)+Ayarlar!$B$4*ABS(Bitkiler!$F$51-Topraklar!$F$45)+Ayarlar!$B$5*ABS(Bitkiler!$G$51-Topraklar!$G$45)+Ayarlar!$B$6*IF(Bitkiler!$H$51=Topraklar!$H$45,0,1))/Ayarlar!$B$7)+IF(Topraklar!$K$45=Bitkiler!$C$51,0.002,IF(Topraklar!$L$45="Evet",0.001,0)))</f>
        <v/>
      </c>
      <c r="AT52" s="16">
        <f>IF(OR(Topraklar!$J$46="Evet",AND(Topraklar!$L$46&lt;&gt;"Evet",Topraklar!$K$46&lt;&gt;Bitkiler!$C$51)),0,MAX(0,1-(Ayarlar!$B$2*ABS(Bitkiler!$D$51-Topraklar!$D$46)+Ayarlar!$B$3*ABS(Bitkiler!$E$51-Topraklar!$E$46)+Ayarlar!$B$4*ABS(Bitkiler!$F$51-Topraklar!$F$46)+Ayarlar!$B$5*ABS(Bitkiler!$G$51-Topraklar!$G$46)+Ayarlar!$B$6*IF(Bitkiler!$H$51=Topraklar!$H$46,0,1))/Ayarlar!$B$7)+IF(Topraklar!$K$46=Bitkiler!$C$51,0.002,IF(Topraklar!$L$46="Evet",0.001,0)))</f>
        <v/>
      </c>
      <c r="AU52" s="16">
        <f>IF(OR(Topraklar!$J$47="Evet",AND(Topraklar!$L$47&lt;&gt;"Evet",Topraklar!$K$47&lt;&gt;Bitkiler!$C$51)),0,MAX(0,1-(Ayarlar!$B$2*ABS(Bitkiler!$D$51-Topraklar!$D$47)+Ayarlar!$B$3*ABS(Bitkiler!$E$51-Topraklar!$E$47)+Ayarlar!$B$4*ABS(Bitkiler!$F$51-Topraklar!$F$47)+Ayarlar!$B$5*ABS(Bitkiler!$G$51-Topraklar!$G$47)+Ayarlar!$B$6*IF(Bitkiler!$H$51=Topraklar!$H$47,0,1))/Ayarlar!$B$7)+IF(Topraklar!$K$47=Bitkiler!$C$51,0.002,IF(Topraklar!$L$47="Evet",0.001,0)))</f>
        <v/>
      </c>
      <c r="AV52" s="16">
        <f>IF(OR(Topraklar!$J$48="Evet",AND(Topraklar!$L$48&lt;&gt;"Evet",Topraklar!$K$48&lt;&gt;Bitkiler!$C$51)),0,MAX(0,1-(Ayarlar!$B$2*ABS(Bitkiler!$D$51-Topraklar!$D$48)+Ayarlar!$B$3*ABS(Bitkiler!$E$51-Topraklar!$E$48)+Ayarlar!$B$4*ABS(Bitkiler!$F$51-Topraklar!$F$48)+Ayarlar!$B$5*ABS(Bitkiler!$G$51-Topraklar!$G$48)+Ayarlar!$B$6*IF(Bitkiler!$H$51=Topraklar!$H$48,0,1))/Ayarlar!$B$7)+IF(Topraklar!$K$48=Bitkiler!$C$51,0.002,IF(Topraklar!$L$48="Evet",0.001,0)))</f>
        <v/>
      </c>
      <c r="AW52" s="16">
        <f>IF(OR(Topraklar!$J$49="Evet",AND(Topraklar!$L$49&lt;&gt;"Evet",Topraklar!$K$49&lt;&gt;Bitkiler!$C$51)),0,MAX(0,1-(Ayarlar!$B$2*ABS(Bitkiler!$D$51-Topraklar!$D$49)+Ayarlar!$B$3*ABS(Bitkiler!$E$51-Topraklar!$E$49)+Ayarlar!$B$4*ABS(Bitkiler!$F$51-Topraklar!$F$49)+Ayarlar!$B$5*ABS(Bitkiler!$G$51-Topraklar!$G$49)+Ayarlar!$B$6*IF(Bitkiler!$H$51=Topraklar!$H$49,0,1))/Ayarlar!$B$7)+IF(Topraklar!$K$49=Bitkiler!$C$51,0.002,IF(Topraklar!$L$49="Evet",0.001,0)))</f>
        <v/>
      </c>
      <c r="AX52" s="16">
        <f>IF(OR(Topraklar!$J$50="Evet",AND(Topraklar!$L$50&lt;&gt;"Evet",Topraklar!$K$50&lt;&gt;Bitkiler!$C$51)),0,MAX(0,1-(Ayarlar!$B$2*ABS(Bitkiler!$D$51-Topraklar!$D$50)+Ayarlar!$B$3*ABS(Bitkiler!$E$51-Topraklar!$E$50)+Ayarlar!$B$4*ABS(Bitkiler!$F$51-Topraklar!$F$50)+Ayarlar!$B$5*ABS(Bitkiler!$G$51-Topraklar!$G$50)+Ayarlar!$B$6*IF(Bitkiler!$H$51=Topraklar!$H$50,0,1))/Ayarlar!$B$7)+IF(Topraklar!$K$50=Bitkiler!$C$51,0.002,IF(Topraklar!$L$50="Evet",0.001,0)))</f>
        <v/>
      </c>
      <c r="AY52" s="16">
        <f>IF(OR(Topraklar!$J$51="Evet",AND(Topraklar!$L$51&lt;&gt;"Evet",Topraklar!$K$51&lt;&gt;Bitkiler!$C$51)),0,MAX(0,1-(Ayarlar!$B$2*ABS(Bitkiler!$D$51-Topraklar!$D$51)+Ayarlar!$B$3*ABS(Bitkiler!$E$51-Topraklar!$E$51)+Ayarlar!$B$4*ABS(Bitkiler!$F$51-Topraklar!$F$51)+Ayarlar!$B$5*ABS(Bitkiler!$G$51-Topraklar!$G$51)+Ayarlar!$B$6*IF(Bitkiler!$H$51=Topraklar!$H$51,0,1))/Ayarlar!$B$7)+IF(Topraklar!$K$51=Bitkiler!$C$51,0.002,IF(Topraklar!$L$51="Evet",0.001,0)))</f>
        <v/>
      </c>
    </row>
    <row r="53">
      <c r="A53" s="15">
        <f>Bitkiler!A52</f>
        <v/>
      </c>
      <c r="B53" s="16">
        <f>IF(OR(Topraklar!$J$2="Evet",AND(Topraklar!$L$2&lt;&gt;"Evet",Topraklar!$K$2&lt;&gt;Bitkiler!$C$52)),0,MAX(0,1-(Ayarlar!$B$2*ABS(Bitkiler!$D$52-Topraklar!$D$2)+Ayarlar!$B$3*ABS(Bitkiler!$E$52-Topraklar!$E$2)+Ayarlar!$B$4*ABS(Bitkiler!$F$52-Topraklar!$F$2)+Ayarlar!$B$5*ABS(Bitkiler!$G$52-Topraklar!$G$2)+Ayarlar!$B$6*IF(Bitkiler!$H$52=Topraklar!$H$2,0,1))/Ayarlar!$B$7)+IF(Topraklar!$K$2=Bitkiler!$C$52,0.002,IF(Topraklar!$L$2="Evet",0.001,0)))</f>
        <v/>
      </c>
      <c r="C53" s="16">
        <f>IF(OR(Topraklar!$J$3="Evet",AND(Topraklar!$L$3&lt;&gt;"Evet",Topraklar!$K$3&lt;&gt;Bitkiler!$C$52)),0,MAX(0,1-(Ayarlar!$B$2*ABS(Bitkiler!$D$52-Topraklar!$D$3)+Ayarlar!$B$3*ABS(Bitkiler!$E$52-Topraklar!$E$3)+Ayarlar!$B$4*ABS(Bitkiler!$F$52-Topraklar!$F$3)+Ayarlar!$B$5*ABS(Bitkiler!$G$52-Topraklar!$G$3)+Ayarlar!$B$6*IF(Bitkiler!$H$52=Topraklar!$H$3,0,1))/Ayarlar!$B$7)+IF(Topraklar!$K$3=Bitkiler!$C$52,0.002,IF(Topraklar!$L$3="Evet",0.001,0)))</f>
        <v/>
      </c>
      <c r="D53" s="16">
        <f>IF(OR(Topraklar!$J$4="Evet",AND(Topraklar!$L$4&lt;&gt;"Evet",Topraklar!$K$4&lt;&gt;Bitkiler!$C$52)),0,MAX(0,1-(Ayarlar!$B$2*ABS(Bitkiler!$D$52-Topraklar!$D$4)+Ayarlar!$B$3*ABS(Bitkiler!$E$52-Topraklar!$E$4)+Ayarlar!$B$4*ABS(Bitkiler!$F$52-Topraklar!$F$4)+Ayarlar!$B$5*ABS(Bitkiler!$G$52-Topraklar!$G$4)+Ayarlar!$B$6*IF(Bitkiler!$H$52=Topraklar!$H$4,0,1))/Ayarlar!$B$7)+IF(Topraklar!$K$4=Bitkiler!$C$52,0.002,IF(Topraklar!$L$4="Evet",0.001,0)))</f>
        <v/>
      </c>
      <c r="E53" s="16">
        <f>IF(OR(Topraklar!$J$5="Evet",AND(Topraklar!$L$5&lt;&gt;"Evet",Topraklar!$K$5&lt;&gt;Bitkiler!$C$52)),0,MAX(0,1-(Ayarlar!$B$2*ABS(Bitkiler!$D$52-Topraklar!$D$5)+Ayarlar!$B$3*ABS(Bitkiler!$E$52-Topraklar!$E$5)+Ayarlar!$B$4*ABS(Bitkiler!$F$52-Topraklar!$F$5)+Ayarlar!$B$5*ABS(Bitkiler!$G$52-Topraklar!$G$5)+Ayarlar!$B$6*IF(Bitkiler!$H$52=Topraklar!$H$5,0,1))/Ayarlar!$B$7)+IF(Topraklar!$K$5=Bitkiler!$C$52,0.002,IF(Topraklar!$L$5="Evet",0.001,0)))</f>
        <v/>
      </c>
      <c r="F53" s="16">
        <f>IF(OR(Topraklar!$J$6="Evet",AND(Topraklar!$L$6&lt;&gt;"Evet",Topraklar!$K$6&lt;&gt;Bitkiler!$C$52)),0,MAX(0,1-(Ayarlar!$B$2*ABS(Bitkiler!$D$52-Topraklar!$D$6)+Ayarlar!$B$3*ABS(Bitkiler!$E$52-Topraklar!$E$6)+Ayarlar!$B$4*ABS(Bitkiler!$F$52-Topraklar!$F$6)+Ayarlar!$B$5*ABS(Bitkiler!$G$52-Topraklar!$G$6)+Ayarlar!$B$6*IF(Bitkiler!$H$52=Topraklar!$H$6,0,1))/Ayarlar!$B$7)+IF(Topraklar!$K$6=Bitkiler!$C$52,0.002,IF(Topraklar!$L$6="Evet",0.001,0)))</f>
        <v/>
      </c>
      <c r="G53" s="16">
        <f>IF(OR(Topraklar!$J$7="Evet",AND(Topraklar!$L$7&lt;&gt;"Evet",Topraklar!$K$7&lt;&gt;Bitkiler!$C$52)),0,MAX(0,1-(Ayarlar!$B$2*ABS(Bitkiler!$D$52-Topraklar!$D$7)+Ayarlar!$B$3*ABS(Bitkiler!$E$52-Topraklar!$E$7)+Ayarlar!$B$4*ABS(Bitkiler!$F$52-Topraklar!$F$7)+Ayarlar!$B$5*ABS(Bitkiler!$G$52-Topraklar!$G$7)+Ayarlar!$B$6*IF(Bitkiler!$H$52=Topraklar!$H$7,0,1))/Ayarlar!$B$7)+IF(Topraklar!$K$7=Bitkiler!$C$52,0.002,IF(Topraklar!$L$7="Evet",0.001,0)))</f>
        <v/>
      </c>
      <c r="H53" s="16">
        <f>IF(OR(Topraklar!$J$8="Evet",AND(Topraklar!$L$8&lt;&gt;"Evet",Topraklar!$K$8&lt;&gt;Bitkiler!$C$52)),0,MAX(0,1-(Ayarlar!$B$2*ABS(Bitkiler!$D$52-Topraklar!$D$8)+Ayarlar!$B$3*ABS(Bitkiler!$E$52-Topraklar!$E$8)+Ayarlar!$B$4*ABS(Bitkiler!$F$52-Topraklar!$F$8)+Ayarlar!$B$5*ABS(Bitkiler!$G$52-Topraklar!$G$8)+Ayarlar!$B$6*IF(Bitkiler!$H$52=Topraklar!$H$8,0,1))/Ayarlar!$B$7)+IF(Topraklar!$K$8=Bitkiler!$C$52,0.002,IF(Topraklar!$L$8="Evet",0.001,0)))</f>
        <v/>
      </c>
      <c r="I53" s="16">
        <f>IF(OR(Topraklar!$J$9="Evet",AND(Topraklar!$L$9&lt;&gt;"Evet",Topraklar!$K$9&lt;&gt;Bitkiler!$C$52)),0,MAX(0,1-(Ayarlar!$B$2*ABS(Bitkiler!$D$52-Topraklar!$D$9)+Ayarlar!$B$3*ABS(Bitkiler!$E$52-Topraklar!$E$9)+Ayarlar!$B$4*ABS(Bitkiler!$F$52-Topraklar!$F$9)+Ayarlar!$B$5*ABS(Bitkiler!$G$52-Topraklar!$G$9)+Ayarlar!$B$6*IF(Bitkiler!$H$52=Topraklar!$H$9,0,1))/Ayarlar!$B$7)+IF(Topraklar!$K$9=Bitkiler!$C$52,0.002,IF(Topraklar!$L$9="Evet",0.001,0)))</f>
        <v/>
      </c>
      <c r="J53" s="16">
        <f>IF(OR(Topraklar!$J$10="Evet",AND(Topraklar!$L$10&lt;&gt;"Evet",Topraklar!$K$10&lt;&gt;Bitkiler!$C$52)),0,MAX(0,1-(Ayarlar!$B$2*ABS(Bitkiler!$D$52-Topraklar!$D$10)+Ayarlar!$B$3*ABS(Bitkiler!$E$52-Topraklar!$E$10)+Ayarlar!$B$4*ABS(Bitkiler!$F$52-Topraklar!$F$10)+Ayarlar!$B$5*ABS(Bitkiler!$G$52-Topraklar!$G$10)+Ayarlar!$B$6*IF(Bitkiler!$H$52=Topraklar!$H$10,0,1))/Ayarlar!$B$7)+IF(Topraklar!$K$10=Bitkiler!$C$52,0.002,IF(Topraklar!$L$10="Evet",0.001,0)))</f>
        <v/>
      </c>
      <c r="K53" s="16">
        <f>IF(OR(Topraklar!$J$11="Evet",AND(Topraklar!$L$11&lt;&gt;"Evet",Topraklar!$K$11&lt;&gt;Bitkiler!$C$52)),0,MAX(0,1-(Ayarlar!$B$2*ABS(Bitkiler!$D$52-Topraklar!$D$11)+Ayarlar!$B$3*ABS(Bitkiler!$E$52-Topraklar!$E$11)+Ayarlar!$B$4*ABS(Bitkiler!$F$52-Topraklar!$F$11)+Ayarlar!$B$5*ABS(Bitkiler!$G$52-Topraklar!$G$11)+Ayarlar!$B$6*IF(Bitkiler!$H$52=Topraklar!$H$11,0,1))/Ayarlar!$B$7)+IF(Topraklar!$K$11=Bitkiler!$C$52,0.002,IF(Topraklar!$L$11="Evet",0.001,0)))</f>
        <v/>
      </c>
      <c r="L53" s="16">
        <f>IF(OR(Topraklar!$J$12="Evet",AND(Topraklar!$L$12&lt;&gt;"Evet",Topraklar!$K$12&lt;&gt;Bitkiler!$C$52)),0,MAX(0,1-(Ayarlar!$B$2*ABS(Bitkiler!$D$52-Topraklar!$D$12)+Ayarlar!$B$3*ABS(Bitkiler!$E$52-Topraklar!$E$12)+Ayarlar!$B$4*ABS(Bitkiler!$F$52-Topraklar!$F$12)+Ayarlar!$B$5*ABS(Bitkiler!$G$52-Topraklar!$G$12)+Ayarlar!$B$6*IF(Bitkiler!$H$52=Topraklar!$H$12,0,1))/Ayarlar!$B$7)+IF(Topraklar!$K$12=Bitkiler!$C$52,0.002,IF(Topraklar!$L$12="Evet",0.001,0)))</f>
        <v/>
      </c>
      <c r="M53" s="16">
        <f>IF(OR(Topraklar!$J$13="Evet",AND(Topraklar!$L$13&lt;&gt;"Evet",Topraklar!$K$13&lt;&gt;Bitkiler!$C$52)),0,MAX(0,1-(Ayarlar!$B$2*ABS(Bitkiler!$D$52-Topraklar!$D$13)+Ayarlar!$B$3*ABS(Bitkiler!$E$52-Topraklar!$E$13)+Ayarlar!$B$4*ABS(Bitkiler!$F$52-Topraklar!$F$13)+Ayarlar!$B$5*ABS(Bitkiler!$G$52-Topraklar!$G$13)+Ayarlar!$B$6*IF(Bitkiler!$H$52=Topraklar!$H$13,0,1))/Ayarlar!$B$7)+IF(Topraklar!$K$13=Bitkiler!$C$52,0.002,IF(Topraklar!$L$13="Evet",0.001,0)))</f>
        <v/>
      </c>
      <c r="N53" s="16">
        <f>IF(OR(Topraklar!$J$14="Evet",AND(Topraklar!$L$14&lt;&gt;"Evet",Topraklar!$K$14&lt;&gt;Bitkiler!$C$52)),0,MAX(0,1-(Ayarlar!$B$2*ABS(Bitkiler!$D$52-Topraklar!$D$14)+Ayarlar!$B$3*ABS(Bitkiler!$E$52-Topraklar!$E$14)+Ayarlar!$B$4*ABS(Bitkiler!$F$52-Topraklar!$F$14)+Ayarlar!$B$5*ABS(Bitkiler!$G$52-Topraklar!$G$14)+Ayarlar!$B$6*IF(Bitkiler!$H$52=Topraklar!$H$14,0,1))/Ayarlar!$B$7)+IF(Topraklar!$K$14=Bitkiler!$C$52,0.002,IF(Topraklar!$L$14="Evet",0.001,0)))</f>
        <v/>
      </c>
      <c r="O53" s="16">
        <f>IF(OR(Topraklar!$J$15="Evet",AND(Topraklar!$L$15&lt;&gt;"Evet",Topraklar!$K$15&lt;&gt;Bitkiler!$C$52)),0,MAX(0,1-(Ayarlar!$B$2*ABS(Bitkiler!$D$52-Topraklar!$D$15)+Ayarlar!$B$3*ABS(Bitkiler!$E$52-Topraklar!$E$15)+Ayarlar!$B$4*ABS(Bitkiler!$F$52-Topraklar!$F$15)+Ayarlar!$B$5*ABS(Bitkiler!$G$52-Topraklar!$G$15)+Ayarlar!$B$6*IF(Bitkiler!$H$52=Topraklar!$H$15,0,1))/Ayarlar!$B$7)+IF(Topraklar!$K$15=Bitkiler!$C$52,0.002,IF(Topraklar!$L$15="Evet",0.001,0)))</f>
        <v/>
      </c>
      <c r="P53" s="16">
        <f>IF(OR(Topraklar!$J$16="Evet",AND(Topraklar!$L$16&lt;&gt;"Evet",Topraklar!$K$16&lt;&gt;Bitkiler!$C$52)),0,MAX(0,1-(Ayarlar!$B$2*ABS(Bitkiler!$D$52-Topraklar!$D$16)+Ayarlar!$B$3*ABS(Bitkiler!$E$52-Topraklar!$E$16)+Ayarlar!$B$4*ABS(Bitkiler!$F$52-Topraklar!$F$16)+Ayarlar!$B$5*ABS(Bitkiler!$G$52-Topraklar!$G$16)+Ayarlar!$B$6*IF(Bitkiler!$H$52=Topraklar!$H$16,0,1))/Ayarlar!$B$7)+IF(Topraklar!$K$16=Bitkiler!$C$52,0.002,IF(Topraklar!$L$16="Evet",0.001,0)))</f>
        <v/>
      </c>
      <c r="Q53" s="16">
        <f>IF(OR(Topraklar!$J$17="Evet",AND(Topraklar!$L$17&lt;&gt;"Evet",Topraklar!$K$17&lt;&gt;Bitkiler!$C$52)),0,MAX(0,1-(Ayarlar!$B$2*ABS(Bitkiler!$D$52-Topraklar!$D$17)+Ayarlar!$B$3*ABS(Bitkiler!$E$52-Topraklar!$E$17)+Ayarlar!$B$4*ABS(Bitkiler!$F$52-Topraklar!$F$17)+Ayarlar!$B$5*ABS(Bitkiler!$G$52-Topraklar!$G$17)+Ayarlar!$B$6*IF(Bitkiler!$H$52=Topraklar!$H$17,0,1))/Ayarlar!$B$7)+IF(Topraklar!$K$17=Bitkiler!$C$52,0.002,IF(Topraklar!$L$17="Evet",0.001,0)))</f>
        <v/>
      </c>
      <c r="R53" s="16">
        <f>IF(OR(Topraklar!$J$18="Evet",AND(Topraklar!$L$18&lt;&gt;"Evet",Topraklar!$K$18&lt;&gt;Bitkiler!$C$52)),0,MAX(0,1-(Ayarlar!$B$2*ABS(Bitkiler!$D$52-Topraklar!$D$18)+Ayarlar!$B$3*ABS(Bitkiler!$E$52-Topraklar!$E$18)+Ayarlar!$B$4*ABS(Bitkiler!$F$52-Topraklar!$F$18)+Ayarlar!$B$5*ABS(Bitkiler!$G$52-Topraklar!$G$18)+Ayarlar!$B$6*IF(Bitkiler!$H$52=Topraklar!$H$18,0,1))/Ayarlar!$B$7)+IF(Topraklar!$K$18=Bitkiler!$C$52,0.002,IF(Topraklar!$L$18="Evet",0.001,0)))</f>
        <v/>
      </c>
      <c r="S53" s="16">
        <f>IF(OR(Topraklar!$J$19="Evet",AND(Topraklar!$L$19&lt;&gt;"Evet",Topraklar!$K$19&lt;&gt;Bitkiler!$C$52)),0,MAX(0,1-(Ayarlar!$B$2*ABS(Bitkiler!$D$52-Topraklar!$D$19)+Ayarlar!$B$3*ABS(Bitkiler!$E$52-Topraklar!$E$19)+Ayarlar!$B$4*ABS(Bitkiler!$F$52-Topraklar!$F$19)+Ayarlar!$B$5*ABS(Bitkiler!$G$52-Topraklar!$G$19)+Ayarlar!$B$6*IF(Bitkiler!$H$52=Topraklar!$H$19,0,1))/Ayarlar!$B$7)+IF(Topraklar!$K$19=Bitkiler!$C$52,0.002,IF(Topraklar!$L$19="Evet",0.001,0)))</f>
        <v/>
      </c>
      <c r="T53" s="16">
        <f>IF(OR(Topraklar!$J$20="Evet",AND(Topraklar!$L$20&lt;&gt;"Evet",Topraklar!$K$20&lt;&gt;Bitkiler!$C$52)),0,MAX(0,1-(Ayarlar!$B$2*ABS(Bitkiler!$D$52-Topraklar!$D$20)+Ayarlar!$B$3*ABS(Bitkiler!$E$52-Topraklar!$E$20)+Ayarlar!$B$4*ABS(Bitkiler!$F$52-Topraklar!$F$20)+Ayarlar!$B$5*ABS(Bitkiler!$G$52-Topraklar!$G$20)+Ayarlar!$B$6*IF(Bitkiler!$H$52=Topraklar!$H$20,0,1))/Ayarlar!$B$7)+IF(Topraklar!$K$20=Bitkiler!$C$52,0.002,IF(Topraklar!$L$20="Evet",0.001,0)))</f>
        <v/>
      </c>
      <c r="U53" s="16">
        <f>IF(OR(Topraklar!$J$21="Evet",AND(Topraklar!$L$21&lt;&gt;"Evet",Topraklar!$K$21&lt;&gt;Bitkiler!$C$52)),0,MAX(0,1-(Ayarlar!$B$2*ABS(Bitkiler!$D$52-Topraklar!$D$21)+Ayarlar!$B$3*ABS(Bitkiler!$E$52-Topraklar!$E$21)+Ayarlar!$B$4*ABS(Bitkiler!$F$52-Topraklar!$F$21)+Ayarlar!$B$5*ABS(Bitkiler!$G$52-Topraklar!$G$21)+Ayarlar!$B$6*IF(Bitkiler!$H$52=Topraklar!$H$21,0,1))/Ayarlar!$B$7)+IF(Topraklar!$K$21=Bitkiler!$C$52,0.002,IF(Topraklar!$L$21="Evet",0.001,0)))</f>
        <v/>
      </c>
      <c r="V53" s="16">
        <f>IF(OR(Topraklar!$J$22="Evet",AND(Topraklar!$L$22&lt;&gt;"Evet",Topraklar!$K$22&lt;&gt;Bitkiler!$C$52)),0,MAX(0,1-(Ayarlar!$B$2*ABS(Bitkiler!$D$52-Topraklar!$D$22)+Ayarlar!$B$3*ABS(Bitkiler!$E$52-Topraklar!$E$22)+Ayarlar!$B$4*ABS(Bitkiler!$F$52-Topraklar!$F$22)+Ayarlar!$B$5*ABS(Bitkiler!$G$52-Topraklar!$G$22)+Ayarlar!$B$6*IF(Bitkiler!$H$52=Topraklar!$H$22,0,1))/Ayarlar!$B$7)+IF(Topraklar!$K$22=Bitkiler!$C$52,0.002,IF(Topraklar!$L$22="Evet",0.001,0)))</f>
        <v/>
      </c>
      <c r="W53" s="16">
        <f>IF(OR(Topraklar!$J$23="Evet",AND(Topraklar!$L$23&lt;&gt;"Evet",Topraklar!$K$23&lt;&gt;Bitkiler!$C$52)),0,MAX(0,1-(Ayarlar!$B$2*ABS(Bitkiler!$D$52-Topraklar!$D$23)+Ayarlar!$B$3*ABS(Bitkiler!$E$52-Topraklar!$E$23)+Ayarlar!$B$4*ABS(Bitkiler!$F$52-Topraklar!$F$23)+Ayarlar!$B$5*ABS(Bitkiler!$G$52-Topraklar!$G$23)+Ayarlar!$B$6*IF(Bitkiler!$H$52=Topraklar!$H$23,0,1))/Ayarlar!$B$7)+IF(Topraklar!$K$23=Bitkiler!$C$52,0.002,IF(Topraklar!$L$23="Evet",0.001,0)))</f>
        <v/>
      </c>
      <c r="X53" s="16">
        <f>IF(OR(Topraklar!$J$24="Evet",AND(Topraklar!$L$24&lt;&gt;"Evet",Topraklar!$K$24&lt;&gt;Bitkiler!$C$52)),0,MAX(0,1-(Ayarlar!$B$2*ABS(Bitkiler!$D$52-Topraklar!$D$24)+Ayarlar!$B$3*ABS(Bitkiler!$E$52-Topraklar!$E$24)+Ayarlar!$B$4*ABS(Bitkiler!$F$52-Topraklar!$F$24)+Ayarlar!$B$5*ABS(Bitkiler!$G$52-Topraklar!$G$24)+Ayarlar!$B$6*IF(Bitkiler!$H$52=Topraklar!$H$24,0,1))/Ayarlar!$B$7)+IF(Topraklar!$K$24=Bitkiler!$C$52,0.002,IF(Topraklar!$L$24="Evet",0.001,0)))</f>
        <v/>
      </c>
      <c r="Y53" s="16">
        <f>IF(OR(Topraklar!$J$25="Evet",AND(Topraklar!$L$25&lt;&gt;"Evet",Topraklar!$K$25&lt;&gt;Bitkiler!$C$52)),0,MAX(0,1-(Ayarlar!$B$2*ABS(Bitkiler!$D$52-Topraklar!$D$25)+Ayarlar!$B$3*ABS(Bitkiler!$E$52-Topraklar!$E$25)+Ayarlar!$B$4*ABS(Bitkiler!$F$52-Topraklar!$F$25)+Ayarlar!$B$5*ABS(Bitkiler!$G$52-Topraklar!$G$25)+Ayarlar!$B$6*IF(Bitkiler!$H$52=Topraklar!$H$25,0,1))/Ayarlar!$B$7)+IF(Topraklar!$K$25=Bitkiler!$C$52,0.002,IF(Topraklar!$L$25="Evet",0.001,0)))</f>
        <v/>
      </c>
      <c r="Z53" s="16">
        <f>IF(OR(Topraklar!$J$26="Evet",AND(Topraklar!$L$26&lt;&gt;"Evet",Topraklar!$K$26&lt;&gt;Bitkiler!$C$52)),0,MAX(0,1-(Ayarlar!$B$2*ABS(Bitkiler!$D$52-Topraklar!$D$26)+Ayarlar!$B$3*ABS(Bitkiler!$E$52-Topraklar!$E$26)+Ayarlar!$B$4*ABS(Bitkiler!$F$52-Topraklar!$F$26)+Ayarlar!$B$5*ABS(Bitkiler!$G$52-Topraklar!$G$26)+Ayarlar!$B$6*IF(Bitkiler!$H$52=Topraklar!$H$26,0,1))/Ayarlar!$B$7)+IF(Topraklar!$K$26=Bitkiler!$C$52,0.002,IF(Topraklar!$L$26="Evet",0.001,0)))</f>
        <v/>
      </c>
      <c r="AA53" s="16">
        <f>IF(OR(Topraklar!$J$27="Evet",AND(Topraklar!$L$27&lt;&gt;"Evet",Topraklar!$K$27&lt;&gt;Bitkiler!$C$52)),0,MAX(0,1-(Ayarlar!$B$2*ABS(Bitkiler!$D$52-Topraklar!$D$27)+Ayarlar!$B$3*ABS(Bitkiler!$E$52-Topraklar!$E$27)+Ayarlar!$B$4*ABS(Bitkiler!$F$52-Topraklar!$F$27)+Ayarlar!$B$5*ABS(Bitkiler!$G$52-Topraklar!$G$27)+Ayarlar!$B$6*IF(Bitkiler!$H$52=Topraklar!$H$27,0,1))/Ayarlar!$B$7)+IF(Topraklar!$K$27=Bitkiler!$C$52,0.002,IF(Topraklar!$L$27="Evet",0.001,0)))</f>
        <v/>
      </c>
      <c r="AB53" s="16">
        <f>IF(OR(Topraklar!$J$28="Evet",AND(Topraklar!$L$28&lt;&gt;"Evet",Topraklar!$K$28&lt;&gt;Bitkiler!$C$52)),0,MAX(0,1-(Ayarlar!$B$2*ABS(Bitkiler!$D$52-Topraklar!$D$28)+Ayarlar!$B$3*ABS(Bitkiler!$E$52-Topraklar!$E$28)+Ayarlar!$B$4*ABS(Bitkiler!$F$52-Topraklar!$F$28)+Ayarlar!$B$5*ABS(Bitkiler!$G$52-Topraklar!$G$28)+Ayarlar!$B$6*IF(Bitkiler!$H$52=Topraklar!$H$28,0,1))/Ayarlar!$B$7)+IF(Topraklar!$K$28=Bitkiler!$C$52,0.002,IF(Topraklar!$L$28="Evet",0.001,0)))</f>
        <v/>
      </c>
      <c r="AC53" s="16">
        <f>IF(OR(Topraklar!$J$29="Evet",AND(Topraklar!$L$29&lt;&gt;"Evet",Topraklar!$K$29&lt;&gt;Bitkiler!$C$52)),0,MAX(0,1-(Ayarlar!$B$2*ABS(Bitkiler!$D$52-Topraklar!$D$29)+Ayarlar!$B$3*ABS(Bitkiler!$E$52-Topraklar!$E$29)+Ayarlar!$B$4*ABS(Bitkiler!$F$52-Topraklar!$F$29)+Ayarlar!$B$5*ABS(Bitkiler!$G$52-Topraklar!$G$29)+Ayarlar!$B$6*IF(Bitkiler!$H$52=Topraklar!$H$29,0,1))/Ayarlar!$B$7)+IF(Topraklar!$K$29=Bitkiler!$C$52,0.002,IF(Topraklar!$L$29="Evet",0.001,0)))</f>
        <v/>
      </c>
      <c r="AD53" s="16">
        <f>IF(OR(Topraklar!$J$30="Evet",AND(Topraklar!$L$30&lt;&gt;"Evet",Topraklar!$K$30&lt;&gt;Bitkiler!$C$52)),0,MAX(0,1-(Ayarlar!$B$2*ABS(Bitkiler!$D$52-Topraklar!$D$30)+Ayarlar!$B$3*ABS(Bitkiler!$E$52-Topraklar!$E$30)+Ayarlar!$B$4*ABS(Bitkiler!$F$52-Topraklar!$F$30)+Ayarlar!$B$5*ABS(Bitkiler!$G$52-Topraklar!$G$30)+Ayarlar!$B$6*IF(Bitkiler!$H$52=Topraklar!$H$30,0,1))/Ayarlar!$B$7)+IF(Topraklar!$K$30=Bitkiler!$C$52,0.002,IF(Topraklar!$L$30="Evet",0.001,0)))</f>
        <v/>
      </c>
      <c r="AE53" s="16">
        <f>IF(OR(Topraklar!$J$31="Evet",AND(Topraklar!$L$31&lt;&gt;"Evet",Topraklar!$K$31&lt;&gt;Bitkiler!$C$52)),0,MAX(0,1-(Ayarlar!$B$2*ABS(Bitkiler!$D$52-Topraklar!$D$31)+Ayarlar!$B$3*ABS(Bitkiler!$E$52-Topraklar!$E$31)+Ayarlar!$B$4*ABS(Bitkiler!$F$52-Topraklar!$F$31)+Ayarlar!$B$5*ABS(Bitkiler!$G$52-Topraklar!$G$31)+Ayarlar!$B$6*IF(Bitkiler!$H$52=Topraklar!$H$31,0,1))/Ayarlar!$B$7)+IF(Topraklar!$K$31=Bitkiler!$C$52,0.002,IF(Topraklar!$L$31="Evet",0.001,0)))</f>
        <v/>
      </c>
      <c r="AF53" s="16">
        <f>IF(OR(Topraklar!$J$32="Evet",AND(Topraklar!$L$32&lt;&gt;"Evet",Topraklar!$K$32&lt;&gt;Bitkiler!$C$52)),0,MAX(0,1-(Ayarlar!$B$2*ABS(Bitkiler!$D$52-Topraklar!$D$32)+Ayarlar!$B$3*ABS(Bitkiler!$E$52-Topraklar!$E$32)+Ayarlar!$B$4*ABS(Bitkiler!$F$52-Topraklar!$F$32)+Ayarlar!$B$5*ABS(Bitkiler!$G$52-Topraklar!$G$32)+Ayarlar!$B$6*IF(Bitkiler!$H$52=Topraklar!$H$32,0,1))/Ayarlar!$B$7)+IF(Topraklar!$K$32=Bitkiler!$C$52,0.002,IF(Topraklar!$L$32="Evet",0.001,0)))</f>
        <v/>
      </c>
      <c r="AG53" s="16">
        <f>IF(OR(Topraklar!$J$33="Evet",AND(Topraklar!$L$33&lt;&gt;"Evet",Topraklar!$K$33&lt;&gt;Bitkiler!$C$52)),0,MAX(0,1-(Ayarlar!$B$2*ABS(Bitkiler!$D$52-Topraklar!$D$33)+Ayarlar!$B$3*ABS(Bitkiler!$E$52-Topraklar!$E$33)+Ayarlar!$B$4*ABS(Bitkiler!$F$52-Topraklar!$F$33)+Ayarlar!$B$5*ABS(Bitkiler!$G$52-Topraklar!$G$33)+Ayarlar!$B$6*IF(Bitkiler!$H$52=Topraklar!$H$33,0,1))/Ayarlar!$B$7)+IF(Topraklar!$K$33=Bitkiler!$C$52,0.002,IF(Topraklar!$L$33="Evet",0.001,0)))</f>
        <v/>
      </c>
      <c r="AH53" s="16">
        <f>IF(OR(Topraklar!$J$34="Evet",AND(Topraklar!$L$34&lt;&gt;"Evet",Topraklar!$K$34&lt;&gt;Bitkiler!$C$52)),0,MAX(0,1-(Ayarlar!$B$2*ABS(Bitkiler!$D$52-Topraklar!$D$34)+Ayarlar!$B$3*ABS(Bitkiler!$E$52-Topraklar!$E$34)+Ayarlar!$B$4*ABS(Bitkiler!$F$52-Topraklar!$F$34)+Ayarlar!$B$5*ABS(Bitkiler!$G$52-Topraklar!$G$34)+Ayarlar!$B$6*IF(Bitkiler!$H$52=Topraklar!$H$34,0,1))/Ayarlar!$B$7)+IF(Topraklar!$K$34=Bitkiler!$C$52,0.002,IF(Topraklar!$L$34="Evet",0.001,0)))</f>
        <v/>
      </c>
      <c r="AI53" s="16">
        <f>IF(OR(Topraklar!$J$35="Evet",AND(Topraklar!$L$35&lt;&gt;"Evet",Topraklar!$K$35&lt;&gt;Bitkiler!$C$52)),0,MAX(0,1-(Ayarlar!$B$2*ABS(Bitkiler!$D$52-Topraklar!$D$35)+Ayarlar!$B$3*ABS(Bitkiler!$E$52-Topraklar!$E$35)+Ayarlar!$B$4*ABS(Bitkiler!$F$52-Topraklar!$F$35)+Ayarlar!$B$5*ABS(Bitkiler!$G$52-Topraklar!$G$35)+Ayarlar!$B$6*IF(Bitkiler!$H$52=Topraklar!$H$35,0,1))/Ayarlar!$B$7)+IF(Topraklar!$K$35=Bitkiler!$C$52,0.002,IF(Topraklar!$L$35="Evet",0.001,0)))</f>
        <v/>
      </c>
      <c r="AJ53" s="16">
        <f>IF(OR(Topraklar!$J$36="Evet",AND(Topraklar!$L$36&lt;&gt;"Evet",Topraklar!$K$36&lt;&gt;Bitkiler!$C$52)),0,MAX(0,1-(Ayarlar!$B$2*ABS(Bitkiler!$D$52-Topraklar!$D$36)+Ayarlar!$B$3*ABS(Bitkiler!$E$52-Topraklar!$E$36)+Ayarlar!$B$4*ABS(Bitkiler!$F$52-Topraklar!$F$36)+Ayarlar!$B$5*ABS(Bitkiler!$G$52-Topraklar!$G$36)+Ayarlar!$B$6*IF(Bitkiler!$H$52=Topraklar!$H$36,0,1))/Ayarlar!$B$7)+IF(Topraklar!$K$36=Bitkiler!$C$52,0.002,IF(Topraklar!$L$36="Evet",0.001,0)))</f>
        <v/>
      </c>
      <c r="AK53" s="16">
        <f>IF(OR(Topraklar!$J$37="Evet",AND(Topraklar!$L$37&lt;&gt;"Evet",Topraklar!$K$37&lt;&gt;Bitkiler!$C$52)),0,MAX(0,1-(Ayarlar!$B$2*ABS(Bitkiler!$D$52-Topraklar!$D$37)+Ayarlar!$B$3*ABS(Bitkiler!$E$52-Topraklar!$E$37)+Ayarlar!$B$4*ABS(Bitkiler!$F$52-Topraklar!$F$37)+Ayarlar!$B$5*ABS(Bitkiler!$G$52-Topraklar!$G$37)+Ayarlar!$B$6*IF(Bitkiler!$H$52=Topraklar!$H$37,0,1))/Ayarlar!$B$7)+IF(Topraklar!$K$37=Bitkiler!$C$52,0.002,IF(Topraklar!$L$37="Evet",0.001,0)))</f>
        <v/>
      </c>
      <c r="AL53" s="16">
        <f>IF(OR(Topraklar!$J$38="Evet",AND(Topraklar!$L$38&lt;&gt;"Evet",Topraklar!$K$38&lt;&gt;Bitkiler!$C$52)),0,MAX(0,1-(Ayarlar!$B$2*ABS(Bitkiler!$D$52-Topraklar!$D$38)+Ayarlar!$B$3*ABS(Bitkiler!$E$52-Topraklar!$E$38)+Ayarlar!$B$4*ABS(Bitkiler!$F$52-Topraklar!$F$38)+Ayarlar!$B$5*ABS(Bitkiler!$G$52-Topraklar!$G$38)+Ayarlar!$B$6*IF(Bitkiler!$H$52=Topraklar!$H$38,0,1))/Ayarlar!$B$7)+IF(Topraklar!$K$38=Bitkiler!$C$52,0.002,IF(Topraklar!$L$38="Evet",0.001,0)))</f>
        <v/>
      </c>
      <c r="AM53" s="16">
        <f>IF(OR(Topraklar!$J$39="Evet",AND(Topraklar!$L$39&lt;&gt;"Evet",Topraklar!$K$39&lt;&gt;Bitkiler!$C$52)),0,MAX(0,1-(Ayarlar!$B$2*ABS(Bitkiler!$D$52-Topraklar!$D$39)+Ayarlar!$B$3*ABS(Bitkiler!$E$52-Topraklar!$E$39)+Ayarlar!$B$4*ABS(Bitkiler!$F$52-Topraklar!$F$39)+Ayarlar!$B$5*ABS(Bitkiler!$G$52-Topraklar!$G$39)+Ayarlar!$B$6*IF(Bitkiler!$H$52=Topraklar!$H$39,0,1))/Ayarlar!$B$7)+IF(Topraklar!$K$39=Bitkiler!$C$52,0.002,IF(Topraklar!$L$39="Evet",0.001,0)))</f>
        <v/>
      </c>
      <c r="AN53" s="16">
        <f>IF(OR(Topraklar!$J$40="Evet",AND(Topraklar!$L$40&lt;&gt;"Evet",Topraklar!$K$40&lt;&gt;Bitkiler!$C$52)),0,MAX(0,1-(Ayarlar!$B$2*ABS(Bitkiler!$D$52-Topraklar!$D$40)+Ayarlar!$B$3*ABS(Bitkiler!$E$52-Topraklar!$E$40)+Ayarlar!$B$4*ABS(Bitkiler!$F$52-Topraklar!$F$40)+Ayarlar!$B$5*ABS(Bitkiler!$G$52-Topraklar!$G$40)+Ayarlar!$B$6*IF(Bitkiler!$H$52=Topraklar!$H$40,0,1))/Ayarlar!$B$7)+IF(Topraklar!$K$40=Bitkiler!$C$52,0.002,IF(Topraklar!$L$40="Evet",0.001,0)))</f>
        <v/>
      </c>
      <c r="AO53" s="16">
        <f>IF(OR(Topraklar!$J$41="Evet",AND(Topraklar!$L$41&lt;&gt;"Evet",Topraklar!$K$41&lt;&gt;Bitkiler!$C$52)),0,MAX(0,1-(Ayarlar!$B$2*ABS(Bitkiler!$D$52-Topraklar!$D$41)+Ayarlar!$B$3*ABS(Bitkiler!$E$52-Topraklar!$E$41)+Ayarlar!$B$4*ABS(Bitkiler!$F$52-Topraklar!$F$41)+Ayarlar!$B$5*ABS(Bitkiler!$G$52-Topraklar!$G$41)+Ayarlar!$B$6*IF(Bitkiler!$H$52=Topraklar!$H$41,0,1))/Ayarlar!$B$7)+IF(Topraklar!$K$41=Bitkiler!$C$52,0.002,IF(Topraklar!$L$41="Evet",0.001,0)))</f>
        <v/>
      </c>
      <c r="AP53" s="16">
        <f>IF(OR(Topraklar!$J$42="Evet",AND(Topraklar!$L$42&lt;&gt;"Evet",Topraklar!$K$42&lt;&gt;Bitkiler!$C$52)),0,MAX(0,1-(Ayarlar!$B$2*ABS(Bitkiler!$D$52-Topraklar!$D$42)+Ayarlar!$B$3*ABS(Bitkiler!$E$52-Topraklar!$E$42)+Ayarlar!$B$4*ABS(Bitkiler!$F$52-Topraklar!$F$42)+Ayarlar!$B$5*ABS(Bitkiler!$G$52-Topraklar!$G$42)+Ayarlar!$B$6*IF(Bitkiler!$H$52=Topraklar!$H$42,0,1))/Ayarlar!$B$7)+IF(Topraklar!$K$42=Bitkiler!$C$52,0.002,IF(Topraklar!$L$42="Evet",0.001,0)))</f>
        <v/>
      </c>
      <c r="AQ53" s="16">
        <f>IF(OR(Topraklar!$J$43="Evet",AND(Topraklar!$L$43&lt;&gt;"Evet",Topraklar!$K$43&lt;&gt;Bitkiler!$C$52)),0,MAX(0,1-(Ayarlar!$B$2*ABS(Bitkiler!$D$52-Topraklar!$D$43)+Ayarlar!$B$3*ABS(Bitkiler!$E$52-Topraklar!$E$43)+Ayarlar!$B$4*ABS(Bitkiler!$F$52-Topraklar!$F$43)+Ayarlar!$B$5*ABS(Bitkiler!$G$52-Topraklar!$G$43)+Ayarlar!$B$6*IF(Bitkiler!$H$52=Topraklar!$H$43,0,1))/Ayarlar!$B$7)+IF(Topraklar!$K$43=Bitkiler!$C$52,0.002,IF(Topraklar!$L$43="Evet",0.001,0)))</f>
        <v/>
      </c>
      <c r="AR53" s="16">
        <f>IF(OR(Topraklar!$J$44="Evet",AND(Topraklar!$L$44&lt;&gt;"Evet",Topraklar!$K$44&lt;&gt;Bitkiler!$C$52)),0,MAX(0,1-(Ayarlar!$B$2*ABS(Bitkiler!$D$52-Topraklar!$D$44)+Ayarlar!$B$3*ABS(Bitkiler!$E$52-Topraklar!$E$44)+Ayarlar!$B$4*ABS(Bitkiler!$F$52-Topraklar!$F$44)+Ayarlar!$B$5*ABS(Bitkiler!$G$52-Topraklar!$G$44)+Ayarlar!$B$6*IF(Bitkiler!$H$52=Topraklar!$H$44,0,1))/Ayarlar!$B$7)+IF(Topraklar!$K$44=Bitkiler!$C$52,0.002,IF(Topraklar!$L$44="Evet",0.001,0)))</f>
        <v/>
      </c>
      <c r="AS53" s="16">
        <f>IF(OR(Topraklar!$J$45="Evet",AND(Topraklar!$L$45&lt;&gt;"Evet",Topraklar!$K$45&lt;&gt;Bitkiler!$C$52)),0,MAX(0,1-(Ayarlar!$B$2*ABS(Bitkiler!$D$52-Topraklar!$D$45)+Ayarlar!$B$3*ABS(Bitkiler!$E$52-Topraklar!$E$45)+Ayarlar!$B$4*ABS(Bitkiler!$F$52-Topraklar!$F$45)+Ayarlar!$B$5*ABS(Bitkiler!$G$52-Topraklar!$G$45)+Ayarlar!$B$6*IF(Bitkiler!$H$52=Topraklar!$H$45,0,1))/Ayarlar!$B$7)+IF(Topraklar!$K$45=Bitkiler!$C$52,0.002,IF(Topraklar!$L$45="Evet",0.001,0)))</f>
        <v/>
      </c>
      <c r="AT53" s="16">
        <f>IF(OR(Topraklar!$J$46="Evet",AND(Topraklar!$L$46&lt;&gt;"Evet",Topraklar!$K$46&lt;&gt;Bitkiler!$C$52)),0,MAX(0,1-(Ayarlar!$B$2*ABS(Bitkiler!$D$52-Topraklar!$D$46)+Ayarlar!$B$3*ABS(Bitkiler!$E$52-Topraklar!$E$46)+Ayarlar!$B$4*ABS(Bitkiler!$F$52-Topraklar!$F$46)+Ayarlar!$B$5*ABS(Bitkiler!$G$52-Topraklar!$G$46)+Ayarlar!$B$6*IF(Bitkiler!$H$52=Topraklar!$H$46,0,1))/Ayarlar!$B$7)+IF(Topraklar!$K$46=Bitkiler!$C$52,0.002,IF(Topraklar!$L$46="Evet",0.001,0)))</f>
        <v/>
      </c>
      <c r="AU53" s="16">
        <f>IF(OR(Topraklar!$J$47="Evet",AND(Topraklar!$L$47&lt;&gt;"Evet",Topraklar!$K$47&lt;&gt;Bitkiler!$C$52)),0,MAX(0,1-(Ayarlar!$B$2*ABS(Bitkiler!$D$52-Topraklar!$D$47)+Ayarlar!$B$3*ABS(Bitkiler!$E$52-Topraklar!$E$47)+Ayarlar!$B$4*ABS(Bitkiler!$F$52-Topraklar!$F$47)+Ayarlar!$B$5*ABS(Bitkiler!$G$52-Topraklar!$G$47)+Ayarlar!$B$6*IF(Bitkiler!$H$52=Topraklar!$H$47,0,1))/Ayarlar!$B$7)+IF(Topraklar!$K$47=Bitkiler!$C$52,0.002,IF(Topraklar!$L$47="Evet",0.001,0)))</f>
        <v/>
      </c>
      <c r="AV53" s="16">
        <f>IF(OR(Topraklar!$J$48="Evet",AND(Topraklar!$L$48&lt;&gt;"Evet",Topraklar!$K$48&lt;&gt;Bitkiler!$C$52)),0,MAX(0,1-(Ayarlar!$B$2*ABS(Bitkiler!$D$52-Topraklar!$D$48)+Ayarlar!$B$3*ABS(Bitkiler!$E$52-Topraklar!$E$48)+Ayarlar!$B$4*ABS(Bitkiler!$F$52-Topraklar!$F$48)+Ayarlar!$B$5*ABS(Bitkiler!$G$52-Topraklar!$G$48)+Ayarlar!$B$6*IF(Bitkiler!$H$52=Topraklar!$H$48,0,1))/Ayarlar!$B$7)+IF(Topraklar!$K$48=Bitkiler!$C$52,0.002,IF(Topraklar!$L$48="Evet",0.001,0)))</f>
        <v/>
      </c>
      <c r="AW53" s="16">
        <f>IF(OR(Topraklar!$J$49="Evet",AND(Topraklar!$L$49&lt;&gt;"Evet",Topraklar!$K$49&lt;&gt;Bitkiler!$C$52)),0,MAX(0,1-(Ayarlar!$B$2*ABS(Bitkiler!$D$52-Topraklar!$D$49)+Ayarlar!$B$3*ABS(Bitkiler!$E$52-Topraklar!$E$49)+Ayarlar!$B$4*ABS(Bitkiler!$F$52-Topraklar!$F$49)+Ayarlar!$B$5*ABS(Bitkiler!$G$52-Topraklar!$G$49)+Ayarlar!$B$6*IF(Bitkiler!$H$52=Topraklar!$H$49,0,1))/Ayarlar!$B$7)+IF(Topraklar!$K$49=Bitkiler!$C$52,0.002,IF(Topraklar!$L$49="Evet",0.001,0)))</f>
        <v/>
      </c>
      <c r="AX53" s="16">
        <f>IF(OR(Topraklar!$J$50="Evet",AND(Topraklar!$L$50&lt;&gt;"Evet",Topraklar!$K$50&lt;&gt;Bitkiler!$C$52)),0,MAX(0,1-(Ayarlar!$B$2*ABS(Bitkiler!$D$52-Topraklar!$D$50)+Ayarlar!$B$3*ABS(Bitkiler!$E$52-Topraklar!$E$50)+Ayarlar!$B$4*ABS(Bitkiler!$F$52-Topraklar!$F$50)+Ayarlar!$B$5*ABS(Bitkiler!$G$52-Topraklar!$G$50)+Ayarlar!$B$6*IF(Bitkiler!$H$52=Topraklar!$H$50,0,1))/Ayarlar!$B$7)+IF(Topraklar!$K$50=Bitkiler!$C$52,0.002,IF(Topraklar!$L$50="Evet",0.001,0)))</f>
        <v/>
      </c>
      <c r="AY53" s="16">
        <f>IF(OR(Topraklar!$J$51="Evet",AND(Topraklar!$L$51&lt;&gt;"Evet",Topraklar!$K$51&lt;&gt;Bitkiler!$C$52)),0,MAX(0,1-(Ayarlar!$B$2*ABS(Bitkiler!$D$52-Topraklar!$D$51)+Ayarlar!$B$3*ABS(Bitkiler!$E$52-Topraklar!$E$51)+Ayarlar!$B$4*ABS(Bitkiler!$F$52-Topraklar!$F$51)+Ayarlar!$B$5*ABS(Bitkiler!$G$52-Topraklar!$G$51)+Ayarlar!$B$6*IF(Bitkiler!$H$52=Topraklar!$H$51,0,1))/Ayarlar!$B$7)+IF(Topraklar!$K$51=Bitkiler!$C$52,0.002,IF(Topraklar!$L$51="Evet",0.001,0)))</f>
        <v/>
      </c>
    </row>
    <row r="54">
      <c r="A54" s="15">
        <f>Bitkiler!A53</f>
        <v/>
      </c>
      <c r="B54" s="16">
        <f>IF(OR(Topraklar!$J$2="Evet",AND(Topraklar!$L$2&lt;&gt;"Evet",Topraklar!$K$2&lt;&gt;Bitkiler!$C$53)),0,MAX(0,1-(Ayarlar!$B$2*ABS(Bitkiler!$D$53-Topraklar!$D$2)+Ayarlar!$B$3*ABS(Bitkiler!$E$53-Topraklar!$E$2)+Ayarlar!$B$4*ABS(Bitkiler!$F$53-Topraklar!$F$2)+Ayarlar!$B$5*ABS(Bitkiler!$G$53-Topraklar!$G$2)+Ayarlar!$B$6*IF(Bitkiler!$H$53=Topraklar!$H$2,0,1))/Ayarlar!$B$7)+IF(Topraklar!$K$2=Bitkiler!$C$53,0.002,IF(Topraklar!$L$2="Evet",0.001,0)))</f>
        <v/>
      </c>
      <c r="C54" s="16">
        <f>IF(OR(Topraklar!$J$3="Evet",AND(Topraklar!$L$3&lt;&gt;"Evet",Topraklar!$K$3&lt;&gt;Bitkiler!$C$53)),0,MAX(0,1-(Ayarlar!$B$2*ABS(Bitkiler!$D$53-Topraklar!$D$3)+Ayarlar!$B$3*ABS(Bitkiler!$E$53-Topraklar!$E$3)+Ayarlar!$B$4*ABS(Bitkiler!$F$53-Topraklar!$F$3)+Ayarlar!$B$5*ABS(Bitkiler!$G$53-Topraklar!$G$3)+Ayarlar!$B$6*IF(Bitkiler!$H$53=Topraklar!$H$3,0,1))/Ayarlar!$B$7)+IF(Topraklar!$K$3=Bitkiler!$C$53,0.002,IF(Topraklar!$L$3="Evet",0.001,0)))</f>
        <v/>
      </c>
      <c r="D54" s="16">
        <f>IF(OR(Topraklar!$J$4="Evet",AND(Topraklar!$L$4&lt;&gt;"Evet",Topraklar!$K$4&lt;&gt;Bitkiler!$C$53)),0,MAX(0,1-(Ayarlar!$B$2*ABS(Bitkiler!$D$53-Topraklar!$D$4)+Ayarlar!$B$3*ABS(Bitkiler!$E$53-Topraklar!$E$4)+Ayarlar!$B$4*ABS(Bitkiler!$F$53-Topraklar!$F$4)+Ayarlar!$B$5*ABS(Bitkiler!$G$53-Topraklar!$G$4)+Ayarlar!$B$6*IF(Bitkiler!$H$53=Topraklar!$H$4,0,1))/Ayarlar!$B$7)+IF(Topraklar!$K$4=Bitkiler!$C$53,0.002,IF(Topraklar!$L$4="Evet",0.001,0)))</f>
        <v/>
      </c>
      <c r="E54" s="16">
        <f>IF(OR(Topraklar!$J$5="Evet",AND(Topraklar!$L$5&lt;&gt;"Evet",Topraklar!$K$5&lt;&gt;Bitkiler!$C$53)),0,MAX(0,1-(Ayarlar!$B$2*ABS(Bitkiler!$D$53-Topraklar!$D$5)+Ayarlar!$B$3*ABS(Bitkiler!$E$53-Topraklar!$E$5)+Ayarlar!$B$4*ABS(Bitkiler!$F$53-Topraklar!$F$5)+Ayarlar!$B$5*ABS(Bitkiler!$G$53-Topraklar!$G$5)+Ayarlar!$B$6*IF(Bitkiler!$H$53=Topraklar!$H$5,0,1))/Ayarlar!$B$7)+IF(Topraklar!$K$5=Bitkiler!$C$53,0.002,IF(Topraklar!$L$5="Evet",0.001,0)))</f>
        <v/>
      </c>
      <c r="F54" s="16">
        <f>IF(OR(Topraklar!$J$6="Evet",AND(Topraklar!$L$6&lt;&gt;"Evet",Topraklar!$K$6&lt;&gt;Bitkiler!$C$53)),0,MAX(0,1-(Ayarlar!$B$2*ABS(Bitkiler!$D$53-Topraklar!$D$6)+Ayarlar!$B$3*ABS(Bitkiler!$E$53-Topraklar!$E$6)+Ayarlar!$B$4*ABS(Bitkiler!$F$53-Topraklar!$F$6)+Ayarlar!$B$5*ABS(Bitkiler!$G$53-Topraklar!$G$6)+Ayarlar!$B$6*IF(Bitkiler!$H$53=Topraklar!$H$6,0,1))/Ayarlar!$B$7)+IF(Topraklar!$K$6=Bitkiler!$C$53,0.002,IF(Topraklar!$L$6="Evet",0.001,0)))</f>
        <v/>
      </c>
      <c r="G54" s="16">
        <f>IF(OR(Topraklar!$J$7="Evet",AND(Topraklar!$L$7&lt;&gt;"Evet",Topraklar!$K$7&lt;&gt;Bitkiler!$C$53)),0,MAX(0,1-(Ayarlar!$B$2*ABS(Bitkiler!$D$53-Topraklar!$D$7)+Ayarlar!$B$3*ABS(Bitkiler!$E$53-Topraklar!$E$7)+Ayarlar!$B$4*ABS(Bitkiler!$F$53-Topraklar!$F$7)+Ayarlar!$B$5*ABS(Bitkiler!$G$53-Topraklar!$G$7)+Ayarlar!$B$6*IF(Bitkiler!$H$53=Topraklar!$H$7,0,1))/Ayarlar!$B$7)+IF(Topraklar!$K$7=Bitkiler!$C$53,0.002,IF(Topraklar!$L$7="Evet",0.001,0)))</f>
        <v/>
      </c>
      <c r="H54" s="16">
        <f>IF(OR(Topraklar!$J$8="Evet",AND(Topraklar!$L$8&lt;&gt;"Evet",Topraklar!$K$8&lt;&gt;Bitkiler!$C$53)),0,MAX(0,1-(Ayarlar!$B$2*ABS(Bitkiler!$D$53-Topraklar!$D$8)+Ayarlar!$B$3*ABS(Bitkiler!$E$53-Topraklar!$E$8)+Ayarlar!$B$4*ABS(Bitkiler!$F$53-Topraklar!$F$8)+Ayarlar!$B$5*ABS(Bitkiler!$G$53-Topraklar!$G$8)+Ayarlar!$B$6*IF(Bitkiler!$H$53=Topraklar!$H$8,0,1))/Ayarlar!$B$7)+IF(Topraklar!$K$8=Bitkiler!$C$53,0.002,IF(Topraklar!$L$8="Evet",0.001,0)))</f>
        <v/>
      </c>
      <c r="I54" s="16">
        <f>IF(OR(Topraklar!$J$9="Evet",AND(Topraklar!$L$9&lt;&gt;"Evet",Topraklar!$K$9&lt;&gt;Bitkiler!$C$53)),0,MAX(0,1-(Ayarlar!$B$2*ABS(Bitkiler!$D$53-Topraklar!$D$9)+Ayarlar!$B$3*ABS(Bitkiler!$E$53-Topraklar!$E$9)+Ayarlar!$B$4*ABS(Bitkiler!$F$53-Topraklar!$F$9)+Ayarlar!$B$5*ABS(Bitkiler!$G$53-Topraklar!$G$9)+Ayarlar!$B$6*IF(Bitkiler!$H$53=Topraklar!$H$9,0,1))/Ayarlar!$B$7)+IF(Topraklar!$K$9=Bitkiler!$C$53,0.002,IF(Topraklar!$L$9="Evet",0.001,0)))</f>
        <v/>
      </c>
      <c r="J54" s="16">
        <f>IF(OR(Topraklar!$J$10="Evet",AND(Topraklar!$L$10&lt;&gt;"Evet",Topraklar!$K$10&lt;&gt;Bitkiler!$C$53)),0,MAX(0,1-(Ayarlar!$B$2*ABS(Bitkiler!$D$53-Topraklar!$D$10)+Ayarlar!$B$3*ABS(Bitkiler!$E$53-Topraklar!$E$10)+Ayarlar!$B$4*ABS(Bitkiler!$F$53-Topraklar!$F$10)+Ayarlar!$B$5*ABS(Bitkiler!$G$53-Topraklar!$G$10)+Ayarlar!$B$6*IF(Bitkiler!$H$53=Topraklar!$H$10,0,1))/Ayarlar!$B$7)+IF(Topraklar!$K$10=Bitkiler!$C$53,0.002,IF(Topraklar!$L$10="Evet",0.001,0)))</f>
        <v/>
      </c>
      <c r="K54" s="16">
        <f>IF(OR(Topraklar!$J$11="Evet",AND(Topraklar!$L$11&lt;&gt;"Evet",Topraklar!$K$11&lt;&gt;Bitkiler!$C$53)),0,MAX(0,1-(Ayarlar!$B$2*ABS(Bitkiler!$D$53-Topraklar!$D$11)+Ayarlar!$B$3*ABS(Bitkiler!$E$53-Topraklar!$E$11)+Ayarlar!$B$4*ABS(Bitkiler!$F$53-Topraklar!$F$11)+Ayarlar!$B$5*ABS(Bitkiler!$G$53-Topraklar!$G$11)+Ayarlar!$B$6*IF(Bitkiler!$H$53=Topraklar!$H$11,0,1))/Ayarlar!$B$7)+IF(Topraklar!$K$11=Bitkiler!$C$53,0.002,IF(Topraklar!$L$11="Evet",0.001,0)))</f>
        <v/>
      </c>
      <c r="L54" s="16">
        <f>IF(OR(Topraklar!$J$12="Evet",AND(Topraklar!$L$12&lt;&gt;"Evet",Topraklar!$K$12&lt;&gt;Bitkiler!$C$53)),0,MAX(0,1-(Ayarlar!$B$2*ABS(Bitkiler!$D$53-Topraklar!$D$12)+Ayarlar!$B$3*ABS(Bitkiler!$E$53-Topraklar!$E$12)+Ayarlar!$B$4*ABS(Bitkiler!$F$53-Topraklar!$F$12)+Ayarlar!$B$5*ABS(Bitkiler!$G$53-Topraklar!$G$12)+Ayarlar!$B$6*IF(Bitkiler!$H$53=Topraklar!$H$12,0,1))/Ayarlar!$B$7)+IF(Topraklar!$K$12=Bitkiler!$C$53,0.002,IF(Topraklar!$L$12="Evet",0.001,0)))</f>
        <v/>
      </c>
      <c r="M54" s="16">
        <f>IF(OR(Topraklar!$J$13="Evet",AND(Topraklar!$L$13&lt;&gt;"Evet",Topraklar!$K$13&lt;&gt;Bitkiler!$C$53)),0,MAX(0,1-(Ayarlar!$B$2*ABS(Bitkiler!$D$53-Topraklar!$D$13)+Ayarlar!$B$3*ABS(Bitkiler!$E$53-Topraklar!$E$13)+Ayarlar!$B$4*ABS(Bitkiler!$F$53-Topraklar!$F$13)+Ayarlar!$B$5*ABS(Bitkiler!$G$53-Topraklar!$G$13)+Ayarlar!$B$6*IF(Bitkiler!$H$53=Topraklar!$H$13,0,1))/Ayarlar!$B$7)+IF(Topraklar!$K$13=Bitkiler!$C$53,0.002,IF(Topraklar!$L$13="Evet",0.001,0)))</f>
        <v/>
      </c>
      <c r="N54" s="16">
        <f>IF(OR(Topraklar!$J$14="Evet",AND(Topraklar!$L$14&lt;&gt;"Evet",Topraklar!$K$14&lt;&gt;Bitkiler!$C$53)),0,MAX(0,1-(Ayarlar!$B$2*ABS(Bitkiler!$D$53-Topraklar!$D$14)+Ayarlar!$B$3*ABS(Bitkiler!$E$53-Topraklar!$E$14)+Ayarlar!$B$4*ABS(Bitkiler!$F$53-Topraklar!$F$14)+Ayarlar!$B$5*ABS(Bitkiler!$G$53-Topraklar!$G$14)+Ayarlar!$B$6*IF(Bitkiler!$H$53=Topraklar!$H$14,0,1))/Ayarlar!$B$7)+IF(Topraklar!$K$14=Bitkiler!$C$53,0.002,IF(Topraklar!$L$14="Evet",0.001,0)))</f>
        <v/>
      </c>
      <c r="O54" s="16">
        <f>IF(OR(Topraklar!$J$15="Evet",AND(Topraklar!$L$15&lt;&gt;"Evet",Topraklar!$K$15&lt;&gt;Bitkiler!$C$53)),0,MAX(0,1-(Ayarlar!$B$2*ABS(Bitkiler!$D$53-Topraklar!$D$15)+Ayarlar!$B$3*ABS(Bitkiler!$E$53-Topraklar!$E$15)+Ayarlar!$B$4*ABS(Bitkiler!$F$53-Topraklar!$F$15)+Ayarlar!$B$5*ABS(Bitkiler!$G$53-Topraklar!$G$15)+Ayarlar!$B$6*IF(Bitkiler!$H$53=Topraklar!$H$15,0,1))/Ayarlar!$B$7)+IF(Topraklar!$K$15=Bitkiler!$C$53,0.002,IF(Topraklar!$L$15="Evet",0.001,0)))</f>
        <v/>
      </c>
      <c r="P54" s="16">
        <f>IF(OR(Topraklar!$J$16="Evet",AND(Topraklar!$L$16&lt;&gt;"Evet",Topraklar!$K$16&lt;&gt;Bitkiler!$C$53)),0,MAX(0,1-(Ayarlar!$B$2*ABS(Bitkiler!$D$53-Topraklar!$D$16)+Ayarlar!$B$3*ABS(Bitkiler!$E$53-Topraklar!$E$16)+Ayarlar!$B$4*ABS(Bitkiler!$F$53-Topraklar!$F$16)+Ayarlar!$B$5*ABS(Bitkiler!$G$53-Topraklar!$G$16)+Ayarlar!$B$6*IF(Bitkiler!$H$53=Topraklar!$H$16,0,1))/Ayarlar!$B$7)+IF(Topraklar!$K$16=Bitkiler!$C$53,0.002,IF(Topraklar!$L$16="Evet",0.001,0)))</f>
        <v/>
      </c>
      <c r="Q54" s="16">
        <f>IF(OR(Topraklar!$J$17="Evet",AND(Topraklar!$L$17&lt;&gt;"Evet",Topraklar!$K$17&lt;&gt;Bitkiler!$C$53)),0,MAX(0,1-(Ayarlar!$B$2*ABS(Bitkiler!$D$53-Topraklar!$D$17)+Ayarlar!$B$3*ABS(Bitkiler!$E$53-Topraklar!$E$17)+Ayarlar!$B$4*ABS(Bitkiler!$F$53-Topraklar!$F$17)+Ayarlar!$B$5*ABS(Bitkiler!$G$53-Topraklar!$G$17)+Ayarlar!$B$6*IF(Bitkiler!$H$53=Topraklar!$H$17,0,1))/Ayarlar!$B$7)+IF(Topraklar!$K$17=Bitkiler!$C$53,0.002,IF(Topraklar!$L$17="Evet",0.001,0)))</f>
        <v/>
      </c>
      <c r="R54" s="16">
        <f>IF(OR(Topraklar!$J$18="Evet",AND(Topraklar!$L$18&lt;&gt;"Evet",Topraklar!$K$18&lt;&gt;Bitkiler!$C$53)),0,MAX(0,1-(Ayarlar!$B$2*ABS(Bitkiler!$D$53-Topraklar!$D$18)+Ayarlar!$B$3*ABS(Bitkiler!$E$53-Topraklar!$E$18)+Ayarlar!$B$4*ABS(Bitkiler!$F$53-Topraklar!$F$18)+Ayarlar!$B$5*ABS(Bitkiler!$G$53-Topraklar!$G$18)+Ayarlar!$B$6*IF(Bitkiler!$H$53=Topraklar!$H$18,0,1))/Ayarlar!$B$7)+IF(Topraklar!$K$18=Bitkiler!$C$53,0.002,IF(Topraklar!$L$18="Evet",0.001,0)))</f>
        <v/>
      </c>
      <c r="S54" s="16">
        <f>IF(OR(Topraklar!$J$19="Evet",AND(Topraklar!$L$19&lt;&gt;"Evet",Topraklar!$K$19&lt;&gt;Bitkiler!$C$53)),0,MAX(0,1-(Ayarlar!$B$2*ABS(Bitkiler!$D$53-Topraklar!$D$19)+Ayarlar!$B$3*ABS(Bitkiler!$E$53-Topraklar!$E$19)+Ayarlar!$B$4*ABS(Bitkiler!$F$53-Topraklar!$F$19)+Ayarlar!$B$5*ABS(Bitkiler!$G$53-Topraklar!$G$19)+Ayarlar!$B$6*IF(Bitkiler!$H$53=Topraklar!$H$19,0,1))/Ayarlar!$B$7)+IF(Topraklar!$K$19=Bitkiler!$C$53,0.002,IF(Topraklar!$L$19="Evet",0.001,0)))</f>
        <v/>
      </c>
      <c r="T54" s="16">
        <f>IF(OR(Topraklar!$J$20="Evet",AND(Topraklar!$L$20&lt;&gt;"Evet",Topraklar!$K$20&lt;&gt;Bitkiler!$C$53)),0,MAX(0,1-(Ayarlar!$B$2*ABS(Bitkiler!$D$53-Topraklar!$D$20)+Ayarlar!$B$3*ABS(Bitkiler!$E$53-Topraklar!$E$20)+Ayarlar!$B$4*ABS(Bitkiler!$F$53-Topraklar!$F$20)+Ayarlar!$B$5*ABS(Bitkiler!$G$53-Topraklar!$G$20)+Ayarlar!$B$6*IF(Bitkiler!$H$53=Topraklar!$H$20,0,1))/Ayarlar!$B$7)+IF(Topraklar!$K$20=Bitkiler!$C$53,0.002,IF(Topraklar!$L$20="Evet",0.001,0)))</f>
        <v/>
      </c>
      <c r="U54" s="16">
        <f>IF(OR(Topraklar!$J$21="Evet",AND(Topraklar!$L$21&lt;&gt;"Evet",Topraklar!$K$21&lt;&gt;Bitkiler!$C$53)),0,MAX(0,1-(Ayarlar!$B$2*ABS(Bitkiler!$D$53-Topraklar!$D$21)+Ayarlar!$B$3*ABS(Bitkiler!$E$53-Topraklar!$E$21)+Ayarlar!$B$4*ABS(Bitkiler!$F$53-Topraklar!$F$21)+Ayarlar!$B$5*ABS(Bitkiler!$G$53-Topraklar!$G$21)+Ayarlar!$B$6*IF(Bitkiler!$H$53=Topraklar!$H$21,0,1))/Ayarlar!$B$7)+IF(Topraklar!$K$21=Bitkiler!$C$53,0.002,IF(Topraklar!$L$21="Evet",0.001,0)))</f>
        <v/>
      </c>
      <c r="V54" s="16">
        <f>IF(OR(Topraklar!$J$22="Evet",AND(Topraklar!$L$22&lt;&gt;"Evet",Topraklar!$K$22&lt;&gt;Bitkiler!$C$53)),0,MAX(0,1-(Ayarlar!$B$2*ABS(Bitkiler!$D$53-Topraklar!$D$22)+Ayarlar!$B$3*ABS(Bitkiler!$E$53-Topraklar!$E$22)+Ayarlar!$B$4*ABS(Bitkiler!$F$53-Topraklar!$F$22)+Ayarlar!$B$5*ABS(Bitkiler!$G$53-Topraklar!$G$22)+Ayarlar!$B$6*IF(Bitkiler!$H$53=Topraklar!$H$22,0,1))/Ayarlar!$B$7)+IF(Topraklar!$K$22=Bitkiler!$C$53,0.002,IF(Topraklar!$L$22="Evet",0.001,0)))</f>
        <v/>
      </c>
      <c r="W54" s="16">
        <f>IF(OR(Topraklar!$J$23="Evet",AND(Topraklar!$L$23&lt;&gt;"Evet",Topraklar!$K$23&lt;&gt;Bitkiler!$C$53)),0,MAX(0,1-(Ayarlar!$B$2*ABS(Bitkiler!$D$53-Topraklar!$D$23)+Ayarlar!$B$3*ABS(Bitkiler!$E$53-Topraklar!$E$23)+Ayarlar!$B$4*ABS(Bitkiler!$F$53-Topraklar!$F$23)+Ayarlar!$B$5*ABS(Bitkiler!$G$53-Topraklar!$G$23)+Ayarlar!$B$6*IF(Bitkiler!$H$53=Topraklar!$H$23,0,1))/Ayarlar!$B$7)+IF(Topraklar!$K$23=Bitkiler!$C$53,0.002,IF(Topraklar!$L$23="Evet",0.001,0)))</f>
        <v/>
      </c>
      <c r="X54" s="16">
        <f>IF(OR(Topraklar!$J$24="Evet",AND(Topraklar!$L$24&lt;&gt;"Evet",Topraklar!$K$24&lt;&gt;Bitkiler!$C$53)),0,MAX(0,1-(Ayarlar!$B$2*ABS(Bitkiler!$D$53-Topraklar!$D$24)+Ayarlar!$B$3*ABS(Bitkiler!$E$53-Topraklar!$E$24)+Ayarlar!$B$4*ABS(Bitkiler!$F$53-Topraklar!$F$24)+Ayarlar!$B$5*ABS(Bitkiler!$G$53-Topraklar!$G$24)+Ayarlar!$B$6*IF(Bitkiler!$H$53=Topraklar!$H$24,0,1))/Ayarlar!$B$7)+IF(Topraklar!$K$24=Bitkiler!$C$53,0.002,IF(Topraklar!$L$24="Evet",0.001,0)))</f>
        <v/>
      </c>
      <c r="Y54" s="16">
        <f>IF(OR(Topraklar!$J$25="Evet",AND(Topraklar!$L$25&lt;&gt;"Evet",Topraklar!$K$25&lt;&gt;Bitkiler!$C$53)),0,MAX(0,1-(Ayarlar!$B$2*ABS(Bitkiler!$D$53-Topraklar!$D$25)+Ayarlar!$B$3*ABS(Bitkiler!$E$53-Topraklar!$E$25)+Ayarlar!$B$4*ABS(Bitkiler!$F$53-Topraklar!$F$25)+Ayarlar!$B$5*ABS(Bitkiler!$G$53-Topraklar!$G$25)+Ayarlar!$B$6*IF(Bitkiler!$H$53=Topraklar!$H$25,0,1))/Ayarlar!$B$7)+IF(Topraklar!$K$25=Bitkiler!$C$53,0.002,IF(Topraklar!$L$25="Evet",0.001,0)))</f>
        <v/>
      </c>
      <c r="Z54" s="16">
        <f>IF(OR(Topraklar!$J$26="Evet",AND(Topraklar!$L$26&lt;&gt;"Evet",Topraklar!$K$26&lt;&gt;Bitkiler!$C$53)),0,MAX(0,1-(Ayarlar!$B$2*ABS(Bitkiler!$D$53-Topraklar!$D$26)+Ayarlar!$B$3*ABS(Bitkiler!$E$53-Topraklar!$E$26)+Ayarlar!$B$4*ABS(Bitkiler!$F$53-Topraklar!$F$26)+Ayarlar!$B$5*ABS(Bitkiler!$G$53-Topraklar!$G$26)+Ayarlar!$B$6*IF(Bitkiler!$H$53=Topraklar!$H$26,0,1))/Ayarlar!$B$7)+IF(Topraklar!$K$26=Bitkiler!$C$53,0.002,IF(Topraklar!$L$26="Evet",0.001,0)))</f>
        <v/>
      </c>
      <c r="AA54" s="16">
        <f>IF(OR(Topraklar!$J$27="Evet",AND(Topraklar!$L$27&lt;&gt;"Evet",Topraklar!$K$27&lt;&gt;Bitkiler!$C$53)),0,MAX(0,1-(Ayarlar!$B$2*ABS(Bitkiler!$D$53-Topraklar!$D$27)+Ayarlar!$B$3*ABS(Bitkiler!$E$53-Topraklar!$E$27)+Ayarlar!$B$4*ABS(Bitkiler!$F$53-Topraklar!$F$27)+Ayarlar!$B$5*ABS(Bitkiler!$G$53-Topraklar!$G$27)+Ayarlar!$B$6*IF(Bitkiler!$H$53=Topraklar!$H$27,0,1))/Ayarlar!$B$7)+IF(Topraklar!$K$27=Bitkiler!$C$53,0.002,IF(Topraklar!$L$27="Evet",0.001,0)))</f>
        <v/>
      </c>
      <c r="AB54" s="16">
        <f>IF(OR(Topraklar!$J$28="Evet",AND(Topraklar!$L$28&lt;&gt;"Evet",Topraklar!$K$28&lt;&gt;Bitkiler!$C$53)),0,MAX(0,1-(Ayarlar!$B$2*ABS(Bitkiler!$D$53-Topraklar!$D$28)+Ayarlar!$B$3*ABS(Bitkiler!$E$53-Topraklar!$E$28)+Ayarlar!$B$4*ABS(Bitkiler!$F$53-Topraklar!$F$28)+Ayarlar!$B$5*ABS(Bitkiler!$G$53-Topraklar!$G$28)+Ayarlar!$B$6*IF(Bitkiler!$H$53=Topraklar!$H$28,0,1))/Ayarlar!$B$7)+IF(Topraklar!$K$28=Bitkiler!$C$53,0.002,IF(Topraklar!$L$28="Evet",0.001,0)))</f>
        <v/>
      </c>
      <c r="AC54" s="16">
        <f>IF(OR(Topraklar!$J$29="Evet",AND(Topraklar!$L$29&lt;&gt;"Evet",Topraklar!$K$29&lt;&gt;Bitkiler!$C$53)),0,MAX(0,1-(Ayarlar!$B$2*ABS(Bitkiler!$D$53-Topraklar!$D$29)+Ayarlar!$B$3*ABS(Bitkiler!$E$53-Topraklar!$E$29)+Ayarlar!$B$4*ABS(Bitkiler!$F$53-Topraklar!$F$29)+Ayarlar!$B$5*ABS(Bitkiler!$G$53-Topraklar!$G$29)+Ayarlar!$B$6*IF(Bitkiler!$H$53=Topraklar!$H$29,0,1))/Ayarlar!$B$7)+IF(Topraklar!$K$29=Bitkiler!$C$53,0.002,IF(Topraklar!$L$29="Evet",0.001,0)))</f>
        <v/>
      </c>
      <c r="AD54" s="16">
        <f>IF(OR(Topraklar!$J$30="Evet",AND(Topraklar!$L$30&lt;&gt;"Evet",Topraklar!$K$30&lt;&gt;Bitkiler!$C$53)),0,MAX(0,1-(Ayarlar!$B$2*ABS(Bitkiler!$D$53-Topraklar!$D$30)+Ayarlar!$B$3*ABS(Bitkiler!$E$53-Topraklar!$E$30)+Ayarlar!$B$4*ABS(Bitkiler!$F$53-Topraklar!$F$30)+Ayarlar!$B$5*ABS(Bitkiler!$G$53-Topraklar!$G$30)+Ayarlar!$B$6*IF(Bitkiler!$H$53=Topraklar!$H$30,0,1))/Ayarlar!$B$7)+IF(Topraklar!$K$30=Bitkiler!$C$53,0.002,IF(Topraklar!$L$30="Evet",0.001,0)))</f>
        <v/>
      </c>
      <c r="AE54" s="16">
        <f>IF(OR(Topraklar!$J$31="Evet",AND(Topraklar!$L$31&lt;&gt;"Evet",Topraklar!$K$31&lt;&gt;Bitkiler!$C$53)),0,MAX(0,1-(Ayarlar!$B$2*ABS(Bitkiler!$D$53-Topraklar!$D$31)+Ayarlar!$B$3*ABS(Bitkiler!$E$53-Topraklar!$E$31)+Ayarlar!$B$4*ABS(Bitkiler!$F$53-Topraklar!$F$31)+Ayarlar!$B$5*ABS(Bitkiler!$G$53-Topraklar!$G$31)+Ayarlar!$B$6*IF(Bitkiler!$H$53=Topraklar!$H$31,0,1))/Ayarlar!$B$7)+IF(Topraklar!$K$31=Bitkiler!$C$53,0.002,IF(Topraklar!$L$31="Evet",0.001,0)))</f>
        <v/>
      </c>
      <c r="AF54" s="16">
        <f>IF(OR(Topraklar!$J$32="Evet",AND(Topraklar!$L$32&lt;&gt;"Evet",Topraklar!$K$32&lt;&gt;Bitkiler!$C$53)),0,MAX(0,1-(Ayarlar!$B$2*ABS(Bitkiler!$D$53-Topraklar!$D$32)+Ayarlar!$B$3*ABS(Bitkiler!$E$53-Topraklar!$E$32)+Ayarlar!$B$4*ABS(Bitkiler!$F$53-Topraklar!$F$32)+Ayarlar!$B$5*ABS(Bitkiler!$G$53-Topraklar!$G$32)+Ayarlar!$B$6*IF(Bitkiler!$H$53=Topraklar!$H$32,0,1))/Ayarlar!$B$7)+IF(Topraklar!$K$32=Bitkiler!$C$53,0.002,IF(Topraklar!$L$32="Evet",0.001,0)))</f>
        <v/>
      </c>
      <c r="AG54" s="16">
        <f>IF(OR(Topraklar!$J$33="Evet",AND(Topraklar!$L$33&lt;&gt;"Evet",Topraklar!$K$33&lt;&gt;Bitkiler!$C$53)),0,MAX(0,1-(Ayarlar!$B$2*ABS(Bitkiler!$D$53-Topraklar!$D$33)+Ayarlar!$B$3*ABS(Bitkiler!$E$53-Topraklar!$E$33)+Ayarlar!$B$4*ABS(Bitkiler!$F$53-Topraklar!$F$33)+Ayarlar!$B$5*ABS(Bitkiler!$G$53-Topraklar!$G$33)+Ayarlar!$B$6*IF(Bitkiler!$H$53=Topraklar!$H$33,0,1))/Ayarlar!$B$7)+IF(Topraklar!$K$33=Bitkiler!$C$53,0.002,IF(Topraklar!$L$33="Evet",0.001,0)))</f>
        <v/>
      </c>
      <c r="AH54" s="16">
        <f>IF(OR(Topraklar!$J$34="Evet",AND(Topraklar!$L$34&lt;&gt;"Evet",Topraklar!$K$34&lt;&gt;Bitkiler!$C$53)),0,MAX(0,1-(Ayarlar!$B$2*ABS(Bitkiler!$D$53-Topraklar!$D$34)+Ayarlar!$B$3*ABS(Bitkiler!$E$53-Topraklar!$E$34)+Ayarlar!$B$4*ABS(Bitkiler!$F$53-Topraklar!$F$34)+Ayarlar!$B$5*ABS(Bitkiler!$G$53-Topraklar!$G$34)+Ayarlar!$B$6*IF(Bitkiler!$H$53=Topraklar!$H$34,0,1))/Ayarlar!$B$7)+IF(Topraklar!$K$34=Bitkiler!$C$53,0.002,IF(Topraklar!$L$34="Evet",0.001,0)))</f>
        <v/>
      </c>
      <c r="AI54" s="16">
        <f>IF(OR(Topraklar!$J$35="Evet",AND(Topraklar!$L$35&lt;&gt;"Evet",Topraklar!$K$35&lt;&gt;Bitkiler!$C$53)),0,MAX(0,1-(Ayarlar!$B$2*ABS(Bitkiler!$D$53-Topraklar!$D$35)+Ayarlar!$B$3*ABS(Bitkiler!$E$53-Topraklar!$E$35)+Ayarlar!$B$4*ABS(Bitkiler!$F$53-Topraklar!$F$35)+Ayarlar!$B$5*ABS(Bitkiler!$G$53-Topraklar!$G$35)+Ayarlar!$B$6*IF(Bitkiler!$H$53=Topraklar!$H$35,0,1))/Ayarlar!$B$7)+IF(Topraklar!$K$35=Bitkiler!$C$53,0.002,IF(Topraklar!$L$35="Evet",0.001,0)))</f>
        <v/>
      </c>
      <c r="AJ54" s="16">
        <f>IF(OR(Topraklar!$J$36="Evet",AND(Topraklar!$L$36&lt;&gt;"Evet",Topraklar!$K$36&lt;&gt;Bitkiler!$C$53)),0,MAX(0,1-(Ayarlar!$B$2*ABS(Bitkiler!$D$53-Topraklar!$D$36)+Ayarlar!$B$3*ABS(Bitkiler!$E$53-Topraklar!$E$36)+Ayarlar!$B$4*ABS(Bitkiler!$F$53-Topraklar!$F$36)+Ayarlar!$B$5*ABS(Bitkiler!$G$53-Topraklar!$G$36)+Ayarlar!$B$6*IF(Bitkiler!$H$53=Topraklar!$H$36,0,1))/Ayarlar!$B$7)+IF(Topraklar!$K$36=Bitkiler!$C$53,0.002,IF(Topraklar!$L$36="Evet",0.001,0)))</f>
        <v/>
      </c>
      <c r="AK54" s="16">
        <f>IF(OR(Topraklar!$J$37="Evet",AND(Topraklar!$L$37&lt;&gt;"Evet",Topraklar!$K$37&lt;&gt;Bitkiler!$C$53)),0,MAX(0,1-(Ayarlar!$B$2*ABS(Bitkiler!$D$53-Topraklar!$D$37)+Ayarlar!$B$3*ABS(Bitkiler!$E$53-Topraklar!$E$37)+Ayarlar!$B$4*ABS(Bitkiler!$F$53-Topraklar!$F$37)+Ayarlar!$B$5*ABS(Bitkiler!$G$53-Topraklar!$G$37)+Ayarlar!$B$6*IF(Bitkiler!$H$53=Topraklar!$H$37,0,1))/Ayarlar!$B$7)+IF(Topraklar!$K$37=Bitkiler!$C$53,0.002,IF(Topraklar!$L$37="Evet",0.001,0)))</f>
        <v/>
      </c>
      <c r="AL54" s="16">
        <f>IF(OR(Topraklar!$J$38="Evet",AND(Topraklar!$L$38&lt;&gt;"Evet",Topraklar!$K$38&lt;&gt;Bitkiler!$C$53)),0,MAX(0,1-(Ayarlar!$B$2*ABS(Bitkiler!$D$53-Topraklar!$D$38)+Ayarlar!$B$3*ABS(Bitkiler!$E$53-Topraklar!$E$38)+Ayarlar!$B$4*ABS(Bitkiler!$F$53-Topraklar!$F$38)+Ayarlar!$B$5*ABS(Bitkiler!$G$53-Topraklar!$G$38)+Ayarlar!$B$6*IF(Bitkiler!$H$53=Topraklar!$H$38,0,1))/Ayarlar!$B$7)+IF(Topraklar!$K$38=Bitkiler!$C$53,0.002,IF(Topraklar!$L$38="Evet",0.001,0)))</f>
        <v/>
      </c>
      <c r="AM54" s="16">
        <f>IF(OR(Topraklar!$J$39="Evet",AND(Topraklar!$L$39&lt;&gt;"Evet",Topraklar!$K$39&lt;&gt;Bitkiler!$C$53)),0,MAX(0,1-(Ayarlar!$B$2*ABS(Bitkiler!$D$53-Topraklar!$D$39)+Ayarlar!$B$3*ABS(Bitkiler!$E$53-Topraklar!$E$39)+Ayarlar!$B$4*ABS(Bitkiler!$F$53-Topraklar!$F$39)+Ayarlar!$B$5*ABS(Bitkiler!$G$53-Topraklar!$G$39)+Ayarlar!$B$6*IF(Bitkiler!$H$53=Topraklar!$H$39,0,1))/Ayarlar!$B$7)+IF(Topraklar!$K$39=Bitkiler!$C$53,0.002,IF(Topraklar!$L$39="Evet",0.001,0)))</f>
        <v/>
      </c>
      <c r="AN54" s="16">
        <f>IF(OR(Topraklar!$J$40="Evet",AND(Topraklar!$L$40&lt;&gt;"Evet",Topraklar!$K$40&lt;&gt;Bitkiler!$C$53)),0,MAX(0,1-(Ayarlar!$B$2*ABS(Bitkiler!$D$53-Topraklar!$D$40)+Ayarlar!$B$3*ABS(Bitkiler!$E$53-Topraklar!$E$40)+Ayarlar!$B$4*ABS(Bitkiler!$F$53-Topraklar!$F$40)+Ayarlar!$B$5*ABS(Bitkiler!$G$53-Topraklar!$G$40)+Ayarlar!$B$6*IF(Bitkiler!$H$53=Topraklar!$H$40,0,1))/Ayarlar!$B$7)+IF(Topraklar!$K$40=Bitkiler!$C$53,0.002,IF(Topraklar!$L$40="Evet",0.001,0)))</f>
        <v/>
      </c>
      <c r="AO54" s="16">
        <f>IF(OR(Topraklar!$J$41="Evet",AND(Topraklar!$L$41&lt;&gt;"Evet",Topraklar!$K$41&lt;&gt;Bitkiler!$C$53)),0,MAX(0,1-(Ayarlar!$B$2*ABS(Bitkiler!$D$53-Topraklar!$D$41)+Ayarlar!$B$3*ABS(Bitkiler!$E$53-Topraklar!$E$41)+Ayarlar!$B$4*ABS(Bitkiler!$F$53-Topraklar!$F$41)+Ayarlar!$B$5*ABS(Bitkiler!$G$53-Topraklar!$G$41)+Ayarlar!$B$6*IF(Bitkiler!$H$53=Topraklar!$H$41,0,1))/Ayarlar!$B$7)+IF(Topraklar!$K$41=Bitkiler!$C$53,0.002,IF(Topraklar!$L$41="Evet",0.001,0)))</f>
        <v/>
      </c>
      <c r="AP54" s="16">
        <f>IF(OR(Topraklar!$J$42="Evet",AND(Topraklar!$L$42&lt;&gt;"Evet",Topraklar!$K$42&lt;&gt;Bitkiler!$C$53)),0,MAX(0,1-(Ayarlar!$B$2*ABS(Bitkiler!$D$53-Topraklar!$D$42)+Ayarlar!$B$3*ABS(Bitkiler!$E$53-Topraklar!$E$42)+Ayarlar!$B$4*ABS(Bitkiler!$F$53-Topraklar!$F$42)+Ayarlar!$B$5*ABS(Bitkiler!$G$53-Topraklar!$G$42)+Ayarlar!$B$6*IF(Bitkiler!$H$53=Topraklar!$H$42,0,1))/Ayarlar!$B$7)+IF(Topraklar!$K$42=Bitkiler!$C$53,0.002,IF(Topraklar!$L$42="Evet",0.001,0)))</f>
        <v/>
      </c>
      <c r="AQ54" s="16">
        <f>IF(OR(Topraklar!$J$43="Evet",AND(Topraklar!$L$43&lt;&gt;"Evet",Topraklar!$K$43&lt;&gt;Bitkiler!$C$53)),0,MAX(0,1-(Ayarlar!$B$2*ABS(Bitkiler!$D$53-Topraklar!$D$43)+Ayarlar!$B$3*ABS(Bitkiler!$E$53-Topraklar!$E$43)+Ayarlar!$B$4*ABS(Bitkiler!$F$53-Topraklar!$F$43)+Ayarlar!$B$5*ABS(Bitkiler!$G$53-Topraklar!$G$43)+Ayarlar!$B$6*IF(Bitkiler!$H$53=Topraklar!$H$43,0,1))/Ayarlar!$B$7)+IF(Topraklar!$K$43=Bitkiler!$C$53,0.002,IF(Topraklar!$L$43="Evet",0.001,0)))</f>
        <v/>
      </c>
      <c r="AR54" s="16">
        <f>IF(OR(Topraklar!$J$44="Evet",AND(Topraklar!$L$44&lt;&gt;"Evet",Topraklar!$K$44&lt;&gt;Bitkiler!$C$53)),0,MAX(0,1-(Ayarlar!$B$2*ABS(Bitkiler!$D$53-Topraklar!$D$44)+Ayarlar!$B$3*ABS(Bitkiler!$E$53-Topraklar!$E$44)+Ayarlar!$B$4*ABS(Bitkiler!$F$53-Topraklar!$F$44)+Ayarlar!$B$5*ABS(Bitkiler!$G$53-Topraklar!$G$44)+Ayarlar!$B$6*IF(Bitkiler!$H$53=Topraklar!$H$44,0,1))/Ayarlar!$B$7)+IF(Topraklar!$K$44=Bitkiler!$C$53,0.002,IF(Topraklar!$L$44="Evet",0.001,0)))</f>
        <v/>
      </c>
      <c r="AS54" s="16">
        <f>IF(OR(Topraklar!$J$45="Evet",AND(Topraklar!$L$45&lt;&gt;"Evet",Topraklar!$K$45&lt;&gt;Bitkiler!$C$53)),0,MAX(0,1-(Ayarlar!$B$2*ABS(Bitkiler!$D$53-Topraklar!$D$45)+Ayarlar!$B$3*ABS(Bitkiler!$E$53-Topraklar!$E$45)+Ayarlar!$B$4*ABS(Bitkiler!$F$53-Topraklar!$F$45)+Ayarlar!$B$5*ABS(Bitkiler!$G$53-Topraklar!$G$45)+Ayarlar!$B$6*IF(Bitkiler!$H$53=Topraklar!$H$45,0,1))/Ayarlar!$B$7)+IF(Topraklar!$K$45=Bitkiler!$C$53,0.002,IF(Topraklar!$L$45="Evet",0.001,0)))</f>
        <v/>
      </c>
      <c r="AT54" s="16">
        <f>IF(OR(Topraklar!$J$46="Evet",AND(Topraklar!$L$46&lt;&gt;"Evet",Topraklar!$K$46&lt;&gt;Bitkiler!$C$53)),0,MAX(0,1-(Ayarlar!$B$2*ABS(Bitkiler!$D$53-Topraklar!$D$46)+Ayarlar!$B$3*ABS(Bitkiler!$E$53-Topraklar!$E$46)+Ayarlar!$B$4*ABS(Bitkiler!$F$53-Topraklar!$F$46)+Ayarlar!$B$5*ABS(Bitkiler!$G$53-Topraklar!$G$46)+Ayarlar!$B$6*IF(Bitkiler!$H$53=Topraklar!$H$46,0,1))/Ayarlar!$B$7)+IF(Topraklar!$K$46=Bitkiler!$C$53,0.002,IF(Topraklar!$L$46="Evet",0.001,0)))</f>
        <v/>
      </c>
      <c r="AU54" s="16">
        <f>IF(OR(Topraklar!$J$47="Evet",AND(Topraklar!$L$47&lt;&gt;"Evet",Topraklar!$K$47&lt;&gt;Bitkiler!$C$53)),0,MAX(0,1-(Ayarlar!$B$2*ABS(Bitkiler!$D$53-Topraklar!$D$47)+Ayarlar!$B$3*ABS(Bitkiler!$E$53-Topraklar!$E$47)+Ayarlar!$B$4*ABS(Bitkiler!$F$53-Topraklar!$F$47)+Ayarlar!$B$5*ABS(Bitkiler!$G$53-Topraklar!$G$47)+Ayarlar!$B$6*IF(Bitkiler!$H$53=Topraklar!$H$47,0,1))/Ayarlar!$B$7)+IF(Topraklar!$K$47=Bitkiler!$C$53,0.002,IF(Topraklar!$L$47="Evet",0.001,0)))</f>
        <v/>
      </c>
      <c r="AV54" s="16">
        <f>IF(OR(Topraklar!$J$48="Evet",AND(Topraklar!$L$48&lt;&gt;"Evet",Topraklar!$K$48&lt;&gt;Bitkiler!$C$53)),0,MAX(0,1-(Ayarlar!$B$2*ABS(Bitkiler!$D$53-Topraklar!$D$48)+Ayarlar!$B$3*ABS(Bitkiler!$E$53-Topraklar!$E$48)+Ayarlar!$B$4*ABS(Bitkiler!$F$53-Topraklar!$F$48)+Ayarlar!$B$5*ABS(Bitkiler!$G$53-Topraklar!$G$48)+Ayarlar!$B$6*IF(Bitkiler!$H$53=Topraklar!$H$48,0,1))/Ayarlar!$B$7)+IF(Topraklar!$K$48=Bitkiler!$C$53,0.002,IF(Topraklar!$L$48="Evet",0.001,0)))</f>
        <v/>
      </c>
      <c r="AW54" s="16">
        <f>IF(OR(Topraklar!$J$49="Evet",AND(Topraklar!$L$49&lt;&gt;"Evet",Topraklar!$K$49&lt;&gt;Bitkiler!$C$53)),0,MAX(0,1-(Ayarlar!$B$2*ABS(Bitkiler!$D$53-Topraklar!$D$49)+Ayarlar!$B$3*ABS(Bitkiler!$E$53-Topraklar!$E$49)+Ayarlar!$B$4*ABS(Bitkiler!$F$53-Topraklar!$F$49)+Ayarlar!$B$5*ABS(Bitkiler!$G$53-Topraklar!$G$49)+Ayarlar!$B$6*IF(Bitkiler!$H$53=Topraklar!$H$49,0,1))/Ayarlar!$B$7)+IF(Topraklar!$K$49=Bitkiler!$C$53,0.002,IF(Topraklar!$L$49="Evet",0.001,0)))</f>
        <v/>
      </c>
      <c r="AX54" s="16">
        <f>IF(OR(Topraklar!$J$50="Evet",AND(Topraklar!$L$50&lt;&gt;"Evet",Topraklar!$K$50&lt;&gt;Bitkiler!$C$53)),0,MAX(0,1-(Ayarlar!$B$2*ABS(Bitkiler!$D$53-Topraklar!$D$50)+Ayarlar!$B$3*ABS(Bitkiler!$E$53-Topraklar!$E$50)+Ayarlar!$B$4*ABS(Bitkiler!$F$53-Topraklar!$F$50)+Ayarlar!$B$5*ABS(Bitkiler!$G$53-Topraklar!$G$50)+Ayarlar!$B$6*IF(Bitkiler!$H$53=Topraklar!$H$50,0,1))/Ayarlar!$B$7)+IF(Topraklar!$K$50=Bitkiler!$C$53,0.002,IF(Topraklar!$L$50="Evet",0.001,0)))</f>
        <v/>
      </c>
      <c r="AY54" s="16">
        <f>IF(OR(Topraklar!$J$51="Evet",AND(Topraklar!$L$51&lt;&gt;"Evet",Topraklar!$K$51&lt;&gt;Bitkiler!$C$53)),0,MAX(0,1-(Ayarlar!$B$2*ABS(Bitkiler!$D$53-Topraklar!$D$51)+Ayarlar!$B$3*ABS(Bitkiler!$E$53-Topraklar!$E$51)+Ayarlar!$B$4*ABS(Bitkiler!$F$53-Topraklar!$F$51)+Ayarlar!$B$5*ABS(Bitkiler!$G$53-Topraklar!$G$51)+Ayarlar!$B$6*IF(Bitkiler!$H$53=Topraklar!$H$51,0,1))/Ayarlar!$B$7)+IF(Topraklar!$K$51=Bitkiler!$C$53,0.002,IF(Topraklar!$L$51="Evet",0.001,0)))</f>
        <v/>
      </c>
    </row>
    <row r="55">
      <c r="A55" s="15">
        <f>Bitkiler!A54</f>
        <v/>
      </c>
      <c r="B55" s="16">
        <f>IF(OR(Topraklar!$J$2="Evet",AND(Topraklar!$L$2&lt;&gt;"Evet",Topraklar!$K$2&lt;&gt;Bitkiler!$C$54)),0,MAX(0,1-(Ayarlar!$B$2*ABS(Bitkiler!$D$54-Topraklar!$D$2)+Ayarlar!$B$3*ABS(Bitkiler!$E$54-Topraklar!$E$2)+Ayarlar!$B$4*ABS(Bitkiler!$F$54-Topraklar!$F$2)+Ayarlar!$B$5*ABS(Bitkiler!$G$54-Topraklar!$G$2)+Ayarlar!$B$6*IF(Bitkiler!$H$54=Topraklar!$H$2,0,1))/Ayarlar!$B$7)+IF(Topraklar!$K$2=Bitkiler!$C$54,0.002,IF(Topraklar!$L$2="Evet",0.001,0)))</f>
        <v/>
      </c>
      <c r="C55" s="16">
        <f>IF(OR(Topraklar!$J$3="Evet",AND(Topraklar!$L$3&lt;&gt;"Evet",Topraklar!$K$3&lt;&gt;Bitkiler!$C$54)),0,MAX(0,1-(Ayarlar!$B$2*ABS(Bitkiler!$D$54-Topraklar!$D$3)+Ayarlar!$B$3*ABS(Bitkiler!$E$54-Topraklar!$E$3)+Ayarlar!$B$4*ABS(Bitkiler!$F$54-Topraklar!$F$3)+Ayarlar!$B$5*ABS(Bitkiler!$G$54-Topraklar!$G$3)+Ayarlar!$B$6*IF(Bitkiler!$H$54=Topraklar!$H$3,0,1))/Ayarlar!$B$7)+IF(Topraklar!$K$3=Bitkiler!$C$54,0.002,IF(Topraklar!$L$3="Evet",0.001,0)))</f>
        <v/>
      </c>
      <c r="D55" s="16">
        <f>IF(OR(Topraklar!$J$4="Evet",AND(Topraklar!$L$4&lt;&gt;"Evet",Topraklar!$K$4&lt;&gt;Bitkiler!$C$54)),0,MAX(0,1-(Ayarlar!$B$2*ABS(Bitkiler!$D$54-Topraklar!$D$4)+Ayarlar!$B$3*ABS(Bitkiler!$E$54-Topraklar!$E$4)+Ayarlar!$B$4*ABS(Bitkiler!$F$54-Topraklar!$F$4)+Ayarlar!$B$5*ABS(Bitkiler!$G$54-Topraklar!$G$4)+Ayarlar!$B$6*IF(Bitkiler!$H$54=Topraklar!$H$4,0,1))/Ayarlar!$B$7)+IF(Topraklar!$K$4=Bitkiler!$C$54,0.002,IF(Topraklar!$L$4="Evet",0.001,0)))</f>
        <v/>
      </c>
      <c r="E55" s="16">
        <f>IF(OR(Topraklar!$J$5="Evet",AND(Topraklar!$L$5&lt;&gt;"Evet",Topraklar!$K$5&lt;&gt;Bitkiler!$C$54)),0,MAX(0,1-(Ayarlar!$B$2*ABS(Bitkiler!$D$54-Topraklar!$D$5)+Ayarlar!$B$3*ABS(Bitkiler!$E$54-Topraklar!$E$5)+Ayarlar!$B$4*ABS(Bitkiler!$F$54-Topraklar!$F$5)+Ayarlar!$B$5*ABS(Bitkiler!$G$54-Topraklar!$G$5)+Ayarlar!$B$6*IF(Bitkiler!$H$54=Topraklar!$H$5,0,1))/Ayarlar!$B$7)+IF(Topraklar!$K$5=Bitkiler!$C$54,0.002,IF(Topraklar!$L$5="Evet",0.001,0)))</f>
        <v/>
      </c>
      <c r="F55" s="16">
        <f>IF(OR(Topraklar!$J$6="Evet",AND(Topraklar!$L$6&lt;&gt;"Evet",Topraklar!$K$6&lt;&gt;Bitkiler!$C$54)),0,MAX(0,1-(Ayarlar!$B$2*ABS(Bitkiler!$D$54-Topraklar!$D$6)+Ayarlar!$B$3*ABS(Bitkiler!$E$54-Topraklar!$E$6)+Ayarlar!$B$4*ABS(Bitkiler!$F$54-Topraklar!$F$6)+Ayarlar!$B$5*ABS(Bitkiler!$G$54-Topraklar!$G$6)+Ayarlar!$B$6*IF(Bitkiler!$H$54=Topraklar!$H$6,0,1))/Ayarlar!$B$7)+IF(Topraklar!$K$6=Bitkiler!$C$54,0.002,IF(Topraklar!$L$6="Evet",0.001,0)))</f>
        <v/>
      </c>
      <c r="G55" s="16">
        <f>IF(OR(Topraklar!$J$7="Evet",AND(Topraklar!$L$7&lt;&gt;"Evet",Topraklar!$K$7&lt;&gt;Bitkiler!$C$54)),0,MAX(0,1-(Ayarlar!$B$2*ABS(Bitkiler!$D$54-Topraklar!$D$7)+Ayarlar!$B$3*ABS(Bitkiler!$E$54-Topraklar!$E$7)+Ayarlar!$B$4*ABS(Bitkiler!$F$54-Topraklar!$F$7)+Ayarlar!$B$5*ABS(Bitkiler!$G$54-Topraklar!$G$7)+Ayarlar!$B$6*IF(Bitkiler!$H$54=Topraklar!$H$7,0,1))/Ayarlar!$B$7)+IF(Topraklar!$K$7=Bitkiler!$C$54,0.002,IF(Topraklar!$L$7="Evet",0.001,0)))</f>
        <v/>
      </c>
      <c r="H55" s="16">
        <f>IF(OR(Topraklar!$J$8="Evet",AND(Topraklar!$L$8&lt;&gt;"Evet",Topraklar!$K$8&lt;&gt;Bitkiler!$C$54)),0,MAX(0,1-(Ayarlar!$B$2*ABS(Bitkiler!$D$54-Topraklar!$D$8)+Ayarlar!$B$3*ABS(Bitkiler!$E$54-Topraklar!$E$8)+Ayarlar!$B$4*ABS(Bitkiler!$F$54-Topraklar!$F$8)+Ayarlar!$B$5*ABS(Bitkiler!$G$54-Topraklar!$G$8)+Ayarlar!$B$6*IF(Bitkiler!$H$54=Topraklar!$H$8,0,1))/Ayarlar!$B$7)+IF(Topraklar!$K$8=Bitkiler!$C$54,0.002,IF(Topraklar!$L$8="Evet",0.001,0)))</f>
        <v/>
      </c>
      <c r="I55" s="16">
        <f>IF(OR(Topraklar!$J$9="Evet",AND(Topraklar!$L$9&lt;&gt;"Evet",Topraklar!$K$9&lt;&gt;Bitkiler!$C$54)),0,MAX(0,1-(Ayarlar!$B$2*ABS(Bitkiler!$D$54-Topraklar!$D$9)+Ayarlar!$B$3*ABS(Bitkiler!$E$54-Topraklar!$E$9)+Ayarlar!$B$4*ABS(Bitkiler!$F$54-Topraklar!$F$9)+Ayarlar!$B$5*ABS(Bitkiler!$G$54-Topraklar!$G$9)+Ayarlar!$B$6*IF(Bitkiler!$H$54=Topraklar!$H$9,0,1))/Ayarlar!$B$7)+IF(Topraklar!$K$9=Bitkiler!$C$54,0.002,IF(Topraklar!$L$9="Evet",0.001,0)))</f>
        <v/>
      </c>
      <c r="J55" s="16">
        <f>IF(OR(Topraklar!$J$10="Evet",AND(Topraklar!$L$10&lt;&gt;"Evet",Topraklar!$K$10&lt;&gt;Bitkiler!$C$54)),0,MAX(0,1-(Ayarlar!$B$2*ABS(Bitkiler!$D$54-Topraklar!$D$10)+Ayarlar!$B$3*ABS(Bitkiler!$E$54-Topraklar!$E$10)+Ayarlar!$B$4*ABS(Bitkiler!$F$54-Topraklar!$F$10)+Ayarlar!$B$5*ABS(Bitkiler!$G$54-Topraklar!$G$10)+Ayarlar!$B$6*IF(Bitkiler!$H$54=Topraklar!$H$10,0,1))/Ayarlar!$B$7)+IF(Topraklar!$K$10=Bitkiler!$C$54,0.002,IF(Topraklar!$L$10="Evet",0.001,0)))</f>
        <v/>
      </c>
      <c r="K55" s="16">
        <f>IF(OR(Topraklar!$J$11="Evet",AND(Topraklar!$L$11&lt;&gt;"Evet",Topraklar!$K$11&lt;&gt;Bitkiler!$C$54)),0,MAX(0,1-(Ayarlar!$B$2*ABS(Bitkiler!$D$54-Topraklar!$D$11)+Ayarlar!$B$3*ABS(Bitkiler!$E$54-Topraklar!$E$11)+Ayarlar!$B$4*ABS(Bitkiler!$F$54-Topraklar!$F$11)+Ayarlar!$B$5*ABS(Bitkiler!$G$54-Topraklar!$G$11)+Ayarlar!$B$6*IF(Bitkiler!$H$54=Topraklar!$H$11,0,1))/Ayarlar!$B$7)+IF(Topraklar!$K$11=Bitkiler!$C$54,0.002,IF(Topraklar!$L$11="Evet",0.001,0)))</f>
        <v/>
      </c>
      <c r="L55" s="16">
        <f>IF(OR(Topraklar!$J$12="Evet",AND(Topraklar!$L$12&lt;&gt;"Evet",Topraklar!$K$12&lt;&gt;Bitkiler!$C$54)),0,MAX(0,1-(Ayarlar!$B$2*ABS(Bitkiler!$D$54-Topraklar!$D$12)+Ayarlar!$B$3*ABS(Bitkiler!$E$54-Topraklar!$E$12)+Ayarlar!$B$4*ABS(Bitkiler!$F$54-Topraklar!$F$12)+Ayarlar!$B$5*ABS(Bitkiler!$G$54-Topraklar!$G$12)+Ayarlar!$B$6*IF(Bitkiler!$H$54=Topraklar!$H$12,0,1))/Ayarlar!$B$7)+IF(Topraklar!$K$12=Bitkiler!$C$54,0.002,IF(Topraklar!$L$12="Evet",0.001,0)))</f>
        <v/>
      </c>
      <c r="M55" s="16">
        <f>IF(OR(Topraklar!$J$13="Evet",AND(Topraklar!$L$13&lt;&gt;"Evet",Topraklar!$K$13&lt;&gt;Bitkiler!$C$54)),0,MAX(0,1-(Ayarlar!$B$2*ABS(Bitkiler!$D$54-Topraklar!$D$13)+Ayarlar!$B$3*ABS(Bitkiler!$E$54-Topraklar!$E$13)+Ayarlar!$B$4*ABS(Bitkiler!$F$54-Topraklar!$F$13)+Ayarlar!$B$5*ABS(Bitkiler!$G$54-Topraklar!$G$13)+Ayarlar!$B$6*IF(Bitkiler!$H$54=Topraklar!$H$13,0,1))/Ayarlar!$B$7)+IF(Topraklar!$K$13=Bitkiler!$C$54,0.002,IF(Topraklar!$L$13="Evet",0.001,0)))</f>
        <v/>
      </c>
      <c r="N55" s="16">
        <f>IF(OR(Topraklar!$J$14="Evet",AND(Topraklar!$L$14&lt;&gt;"Evet",Topraklar!$K$14&lt;&gt;Bitkiler!$C$54)),0,MAX(0,1-(Ayarlar!$B$2*ABS(Bitkiler!$D$54-Topraklar!$D$14)+Ayarlar!$B$3*ABS(Bitkiler!$E$54-Topraklar!$E$14)+Ayarlar!$B$4*ABS(Bitkiler!$F$54-Topraklar!$F$14)+Ayarlar!$B$5*ABS(Bitkiler!$G$54-Topraklar!$G$14)+Ayarlar!$B$6*IF(Bitkiler!$H$54=Topraklar!$H$14,0,1))/Ayarlar!$B$7)+IF(Topraklar!$K$14=Bitkiler!$C$54,0.002,IF(Topraklar!$L$14="Evet",0.001,0)))</f>
        <v/>
      </c>
      <c r="O55" s="16">
        <f>IF(OR(Topraklar!$J$15="Evet",AND(Topraklar!$L$15&lt;&gt;"Evet",Topraklar!$K$15&lt;&gt;Bitkiler!$C$54)),0,MAX(0,1-(Ayarlar!$B$2*ABS(Bitkiler!$D$54-Topraklar!$D$15)+Ayarlar!$B$3*ABS(Bitkiler!$E$54-Topraklar!$E$15)+Ayarlar!$B$4*ABS(Bitkiler!$F$54-Topraklar!$F$15)+Ayarlar!$B$5*ABS(Bitkiler!$G$54-Topraklar!$G$15)+Ayarlar!$B$6*IF(Bitkiler!$H$54=Topraklar!$H$15,0,1))/Ayarlar!$B$7)+IF(Topraklar!$K$15=Bitkiler!$C$54,0.002,IF(Topraklar!$L$15="Evet",0.001,0)))</f>
        <v/>
      </c>
      <c r="P55" s="16">
        <f>IF(OR(Topraklar!$J$16="Evet",AND(Topraklar!$L$16&lt;&gt;"Evet",Topraklar!$K$16&lt;&gt;Bitkiler!$C$54)),0,MAX(0,1-(Ayarlar!$B$2*ABS(Bitkiler!$D$54-Topraklar!$D$16)+Ayarlar!$B$3*ABS(Bitkiler!$E$54-Topraklar!$E$16)+Ayarlar!$B$4*ABS(Bitkiler!$F$54-Topraklar!$F$16)+Ayarlar!$B$5*ABS(Bitkiler!$G$54-Topraklar!$G$16)+Ayarlar!$B$6*IF(Bitkiler!$H$54=Topraklar!$H$16,0,1))/Ayarlar!$B$7)+IF(Topraklar!$K$16=Bitkiler!$C$54,0.002,IF(Topraklar!$L$16="Evet",0.001,0)))</f>
        <v/>
      </c>
      <c r="Q55" s="16">
        <f>IF(OR(Topraklar!$J$17="Evet",AND(Topraklar!$L$17&lt;&gt;"Evet",Topraklar!$K$17&lt;&gt;Bitkiler!$C$54)),0,MAX(0,1-(Ayarlar!$B$2*ABS(Bitkiler!$D$54-Topraklar!$D$17)+Ayarlar!$B$3*ABS(Bitkiler!$E$54-Topraklar!$E$17)+Ayarlar!$B$4*ABS(Bitkiler!$F$54-Topraklar!$F$17)+Ayarlar!$B$5*ABS(Bitkiler!$G$54-Topraklar!$G$17)+Ayarlar!$B$6*IF(Bitkiler!$H$54=Topraklar!$H$17,0,1))/Ayarlar!$B$7)+IF(Topraklar!$K$17=Bitkiler!$C$54,0.002,IF(Topraklar!$L$17="Evet",0.001,0)))</f>
        <v/>
      </c>
      <c r="R55" s="16">
        <f>IF(OR(Topraklar!$J$18="Evet",AND(Topraklar!$L$18&lt;&gt;"Evet",Topraklar!$K$18&lt;&gt;Bitkiler!$C$54)),0,MAX(0,1-(Ayarlar!$B$2*ABS(Bitkiler!$D$54-Topraklar!$D$18)+Ayarlar!$B$3*ABS(Bitkiler!$E$54-Topraklar!$E$18)+Ayarlar!$B$4*ABS(Bitkiler!$F$54-Topraklar!$F$18)+Ayarlar!$B$5*ABS(Bitkiler!$G$54-Topraklar!$G$18)+Ayarlar!$B$6*IF(Bitkiler!$H$54=Topraklar!$H$18,0,1))/Ayarlar!$B$7)+IF(Topraklar!$K$18=Bitkiler!$C$54,0.002,IF(Topraklar!$L$18="Evet",0.001,0)))</f>
        <v/>
      </c>
      <c r="S55" s="16">
        <f>IF(OR(Topraklar!$J$19="Evet",AND(Topraklar!$L$19&lt;&gt;"Evet",Topraklar!$K$19&lt;&gt;Bitkiler!$C$54)),0,MAX(0,1-(Ayarlar!$B$2*ABS(Bitkiler!$D$54-Topraklar!$D$19)+Ayarlar!$B$3*ABS(Bitkiler!$E$54-Topraklar!$E$19)+Ayarlar!$B$4*ABS(Bitkiler!$F$54-Topraklar!$F$19)+Ayarlar!$B$5*ABS(Bitkiler!$G$54-Topraklar!$G$19)+Ayarlar!$B$6*IF(Bitkiler!$H$54=Topraklar!$H$19,0,1))/Ayarlar!$B$7)+IF(Topraklar!$K$19=Bitkiler!$C$54,0.002,IF(Topraklar!$L$19="Evet",0.001,0)))</f>
        <v/>
      </c>
      <c r="T55" s="16">
        <f>IF(OR(Topraklar!$J$20="Evet",AND(Topraklar!$L$20&lt;&gt;"Evet",Topraklar!$K$20&lt;&gt;Bitkiler!$C$54)),0,MAX(0,1-(Ayarlar!$B$2*ABS(Bitkiler!$D$54-Topraklar!$D$20)+Ayarlar!$B$3*ABS(Bitkiler!$E$54-Topraklar!$E$20)+Ayarlar!$B$4*ABS(Bitkiler!$F$54-Topraklar!$F$20)+Ayarlar!$B$5*ABS(Bitkiler!$G$54-Topraklar!$G$20)+Ayarlar!$B$6*IF(Bitkiler!$H$54=Topraklar!$H$20,0,1))/Ayarlar!$B$7)+IF(Topraklar!$K$20=Bitkiler!$C$54,0.002,IF(Topraklar!$L$20="Evet",0.001,0)))</f>
        <v/>
      </c>
      <c r="U55" s="16">
        <f>IF(OR(Topraklar!$J$21="Evet",AND(Topraklar!$L$21&lt;&gt;"Evet",Topraklar!$K$21&lt;&gt;Bitkiler!$C$54)),0,MAX(0,1-(Ayarlar!$B$2*ABS(Bitkiler!$D$54-Topraklar!$D$21)+Ayarlar!$B$3*ABS(Bitkiler!$E$54-Topraklar!$E$21)+Ayarlar!$B$4*ABS(Bitkiler!$F$54-Topraklar!$F$21)+Ayarlar!$B$5*ABS(Bitkiler!$G$54-Topraklar!$G$21)+Ayarlar!$B$6*IF(Bitkiler!$H$54=Topraklar!$H$21,0,1))/Ayarlar!$B$7)+IF(Topraklar!$K$21=Bitkiler!$C$54,0.002,IF(Topraklar!$L$21="Evet",0.001,0)))</f>
        <v/>
      </c>
      <c r="V55" s="16">
        <f>IF(OR(Topraklar!$J$22="Evet",AND(Topraklar!$L$22&lt;&gt;"Evet",Topraklar!$K$22&lt;&gt;Bitkiler!$C$54)),0,MAX(0,1-(Ayarlar!$B$2*ABS(Bitkiler!$D$54-Topraklar!$D$22)+Ayarlar!$B$3*ABS(Bitkiler!$E$54-Topraklar!$E$22)+Ayarlar!$B$4*ABS(Bitkiler!$F$54-Topraklar!$F$22)+Ayarlar!$B$5*ABS(Bitkiler!$G$54-Topraklar!$G$22)+Ayarlar!$B$6*IF(Bitkiler!$H$54=Topraklar!$H$22,0,1))/Ayarlar!$B$7)+IF(Topraklar!$K$22=Bitkiler!$C$54,0.002,IF(Topraklar!$L$22="Evet",0.001,0)))</f>
        <v/>
      </c>
      <c r="W55" s="16">
        <f>IF(OR(Topraklar!$J$23="Evet",AND(Topraklar!$L$23&lt;&gt;"Evet",Topraklar!$K$23&lt;&gt;Bitkiler!$C$54)),0,MAX(0,1-(Ayarlar!$B$2*ABS(Bitkiler!$D$54-Topraklar!$D$23)+Ayarlar!$B$3*ABS(Bitkiler!$E$54-Topraklar!$E$23)+Ayarlar!$B$4*ABS(Bitkiler!$F$54-Topraklar!$F$23)+Ayarlar!$B$5*ABS(Bitkiler!$G$54-Topraklar!$G$23)+Ayarlar!$B$6*IF(Bitkiler!$H$54=Topraklar!$H$23,0,1))/Ayarlar!$B$7)+IF(Topraklar!$K$23=Bitkiler!$C$54,0.002,IF(Topraklar!$L$23="Evet",0.001,0)))</f>
        <v/>
      </c>
      <c r="X55" s="16">
        <f>IF(OR(Topraklar!$J$24="Evet",AND(Topraklar!$L$24&lt;&gt;"Evet",Topraklar!$K$24&lt;&gt;Bitkiler!$C$54)),0,MAX(0,1-(Ayarlar!$B$2*ABS(Bitkiler!$D$54-Topraklar!$D$24)+Ayarlar!$B$3*ABS(Bitkiler!$E$54-Topraklar!$E$24)+Ayarlar!$B$4*ABS(Bitkiler!$F$54-Topraklar!$F$24)+Ayarlar!$B$5*ABS(Bitkiler!$G$54-Topraklar!$G$24)+Ayarlar!$B$6*IF(Bitkiler!$H$54=Topraklar!$H$24,0,1))/Ayarlar!$B$7)+IF(Topraklar!$K$24=Bitkiler!$C$54,0.002,IF(Topraklar!$L$24="Evet",0.001,0)))</f>
        <v/>
      </c>
      <c r="Y55" s="16">
        <f>IF(OR(Topraklar!$J$25="Evet",AND(Topraklar!$L$25&lt;&gt;"Evet",Topraklar!$K$25&lt;&gt;Bitkiler!$C$54)),0,MAX(0,1-(Ayarlar!$B$2*ABS(Bitkiler!$D$54-Topraklar!$D$25)+Ayarlar!$B$3*ABS(Bitkiler!$E$54-Topraklar!$E$25)+Ayarlar!$B$4*ABS(Bitkiler!$F$54-Topraklar!$F$25)+Ayarlar!$B$5*ABS(Bitkiler!$G$54-Topraklar!$G$25)+Ayarlar!$B$6*IF(Bitkiler!$H$54=Topraklar!$H$25,0,1))/Ayarlar!$B$7)+IF(Topraklar!$K$25=Bitkiler!$C$54,0.002,IF(Topraklar!$L$25="Evet",0.001,0)))</f>
        <v/>
      </c>
      <c r="Z55" s="16">
        <f>IF(OR(Topraklar!$J$26="Evet",AND(Topraklar!$L$26&lt;&gt;"Evet",Topraklar!$K$26&lt;&gt;Bitkiler!$C$54)),0,MAX(0,1-(Ayarlar!$B$2*ABS(Bitkiler!$D$54-Topraklar!$D$26)+Ayarlar!$B$3*ABS(Bitkiler!$E$54-Topraklar!$E$26)+Ayarlar!$B$4*ABS(Bitkiler!$F$54-Topraklar!$F$26)+Ayarlar!$B$5*ABS(Bitkiler!$G$54-Topraklar!$G$26)+Ayarlar!$B$6*IF(Bitkiler!$H$54=Topraklar!$H$26,0,1))/Ayarlar!$B$7)+IF(Topraklar!$K$26=Bitkiler!$C$54,0.002,IF(Topraklar!$L$26="Evet",0.001,0)))</f>
        <v/>
      </c>
      <c r="AA55" s="16">
        <f>IF(OR(Topraklar!$J$27="Evet",AND(Topraklar!$L$27&lt;&gt;"Evet",Topraklar!$K$27&lt;&gt;Bitkiler!$C$54)),0,MAX(0,1-(Ayarlar!$B$2*ABS(Bitkiler!$D$54-Topraklar!$D$27)+Ayarlar!$B$3*ABS(Bitkiler!$E$54-Topraklar!$E$27)+Ayarlar!$B$4*ABS(Bitkiler!$F$54-Topraklar!$F$27)+Ayarlar!$B$5*ABS(Bitkiler!$G$54-Topraklar!$G$27)+Ayarlar!$B$6*IF(Bitkiler!$H$54=Topraklar!$H$27,0,1))/Ayarlar!$B$7)+IF(Topraklar!$K$27=Bitkiler!$C$54,0.002,IF(Topraklar!$L$27="Evet",0.001,0)))</f>
        <v/>
      </c>
      <c r="AB55" s="16">
        <f>IF(OR(Topraklar!$J$28="Evet",AND(Topraklar!$L$28&lt;&gt;"Evet",Topraklar!$K$28&lt;&gt;Bitkiler!$C$54)),0,MAX(0,1-(Ayarlar!$B$2*ABS(Bitkiler!$D$54-Topraklar!$D$28)+Ayarlar!$B$3*ABS(Bitkiler!$E$54-Topraklar!$E$28)+Ayarlar!$B$4*ABS(Bitkiler!$F$54-Topraklar!$F$28)+Ayarlar!$B$5*ABS(Bitkiler!$G$54-Topraklar!$G$28)+Ayarlar!$B$6*IF(Bitkiler!$H$54=Topraklar!$H$28,0,1))/Ayarlar!$B$7)+IF(Topraklar!$K$28=Bitkiler!$C$54,0.002,IF(Topraklar!$L$28="Evet",0.001,0)))</f>
        <v/>
      </c>
      <c r="AC55" s="16">
        <f>IF(OR(Topraklar!$J$29="Evet",AND(Topraklar!$L$29&lt;&gt;"Evet",Topraklar!$K$29&lt;&gt;Bitkiler!$C$54)),0,MAX(0,1-(Ayarlar!$B$2*ABS(Bitkiler!$D$54-Topraklar!$D$29)+Ayarlar!$B$3*ABS(Bitkiler!$E$54-Topraklar!$E$29)+Ayarlar!$B$4*ABS(Bitkiler!$F$54-Topraklar!$F$29)+Ayarlar!$B$5*ABS(Bitkiler!$G$54-Topraklar!$G$29)+Ayarlar!$B$6*IF(Bitkiler!$H$54=Topraklar!$H$29,0,1))/Ayarlar!$B$7)+IF(Topraklar!$K$29=Bitkiler!$C$54,0.002,IF(Topraklar!$L$29="Evet",0.001,0)))</f>
        <v/>
      </c>
      <c r="AD55" s="16">
        <f>IF(OR(Topraklar!$J$30="Evet",AND(Topraklar!$L$30&lt;&gt;"Evet",Topraklar!$K$30&lt;&gt;Bitkiler!$C$54)),0,MAX(0,1-(Ayarlar!$B$2*ABS(Bitkiler!$D$54-Topraklar!$D$30)+Ayarlar!$B$3*ABS(Bitkiler!$E$54-Topraklar!$E$30)+Ayarlar!$B$4*ABS(Bitkiler!$F$54-Topraklar!$F$30)+Ayarlar!$B$5*ABS(Bitkiler!$G$54-Topraklar!$G$30)+Ayarlar!$B$6*IF(Bitkiler!$H$54=Topraklar!$H$30,0,1))/Ayarlar!$B$7)+IF(Topraklar!$K$30=Bitkiler!$C$54,0.002,IF(Topraklar!$L$30="Evet",0.001,0)))</f>
        <v/>
      </c>
      <c r="AE55" s="16">
        <f>IF(OR(Topraklar!$J$31="Evet",AND(Topraklar!$L$31&lt;&gt;"Evet",Topraklar!$K$31&lt;&gt;Bitkiler!$C$54)),0,MAX(0,1-(Ayarlar!$B$2*ABS(Bitkiler!$D$54-Topraklar!$D$31)+Ayarlar!$B$3*ABS(Bitkiler!$E$54-Topraklar!$E$31)+Ayarlar!$B$4*ABS(Bitkiler!$F$54-Topraklar!$F$31)+Ayarlar!$B$5*ABS(Bitkiler!$G$54-Topraklar!$G$31)+Ayarlar!$B$6*IF(Bitkiler!$H$54=Topraklar!$H$31,0,1))/Ayarlar!$B$7)+IF(Topraklar!$K$31=Bitkiler!$C$54,0.002,IF(Topraklar!$L$31="Evet",0.001,0)))</f>
        <v/>
      </c>
      <c r="AF55" s="16">
        <f>IF(OR(Topraklar!$J$32="Evet",AND(Topraklar!$L$32&lt;&gt;"Evet",Topraklar!$K$32&lt;&gt;Bitkiler!$C$54)),0,MAX(0,1-(Ayarlar!$B$2*ABS(Bitkiler!$D$54-Topraklar!$D$32)+Ayarlar!$B$3*ABS(Bitkiler!$E$54-Topraklar!$E$32)+Ayarlar!$B$4*ABS(Bitkiler!$F$54-Topraklar!$F$32)+Ayarlar!$B$5*ABS(Bitkiler!$G$54-Topraklar!$G$32)+Ayarlar!$B$6*IF(Bitkiler!$H$54=Topraklar!$H$32,0,1))/Ayarlar!$B$7)+IF(Topraklar!$K$32=Bitkiler!$C$54,0.002,IF(Topraklar!$L$32="Evet",0.001,0)))</f>
        <v/>
      </c>
      <c r="AG55" s="16">
        <f>IF(OR(Topraklar!$J$33="Evet",AND(Topraklar!$L$33&lt;&gt;"Evet",Topraklar!$K$33&lt;&gt;Bitkiler!$C$54)),0,MAX(0,1-(Ayarlar!$B$2*ABS(Bitkiler!$D$54-Topraklar!$D$33)+Ayarlar!$B$3*ABS(Bitkiler!$E$54-Topraklar!$E$33)+Ayarlar!$B$4*ABS(Bitkiler!$F$54-Topraklar!$F$33)+Ayarlar!$B$5*ABS(Bitkiler!$G$54-Topraklar!$G$33)+Ayarlar!$B$6*IF(Bitkiler!$H$54=Topraklar!$H$33,0,1))/Ayarlar!$B$7)+IF(Topraklar!$K$33=Bitkiler!$C$54,0.002,IF(Topraklar!$L$33="Evet",0.001,0)))</f>
        <v/>
      </c>
      <c r="AH55" s="16">
        <f>IF(OR(Topraklar!$J$34="Evet",AND(Topraklar!$L$34&lt;&gt;"Evet",Topraklar!$K$34&lt;&gt;Bitkiler!$C$54)),0,MAX(0,1-(Ayarlar!$B$2*ABS(Bitkiler!$D$54-Topraklar!$D$34)+Ayarlar!$B$3*ABS(Bitkiler!$E$54-Topraklar!$E$34)+Ayarlar!$B$4*ABS(Bitkiler!$F$54-Topraklar!$F$34)+Ayarlar!$B$5*ABS(Bitkiler!$G$54-Topraklar!$G$34)+Ayarlar!$B$6*IF(Bitkiler!$H$54=Topraklar!$H$34,0,1))/Ayarlar!$B$7)+IF(Topraklar!$K$34=Bitkiler!$C$54,0.002,IF(Topraklar!$L$34="Evet",0.001,0)))</f>
        <v/>
      </c>
      <c r="AI55" s="16">
        <f>IF(OR(Topraklar!$J$35="Evet",AND(Topraklar!$L$35&lt;&gt;"Evet",Topraklar!$K$35&lt;&gt;Bitkiler!$C$54)),0,MAX(0,1-(Ayarlar!$B$2*ABS(Bitkiler!$D$54-Topraklar!$D$35)+Ayarlar!$B$3*ABS(Bitkiler!$E$54-Topraklar!$E$35)+Ayarlar!$B$4*ABS(Bitkiler!$F$54-Topraklar!$F$35)+Ayarlar!$B$5*ABS(Bitkiler!$G$54-Topraklar!$G$35)+Ayarlar!$B$6*IF(Bitkiler!$H$54=Topraklar!$H$35,0,1))/Ayarlar!$B$7)+IF(Topraklar!$K$35=Bitkiler!$C$54,0.002,IF(Topraklar!$L$35="Evet",0.001,0)))</f>
        <v/>
      </c>
      <c r="AJ55" s="16">
        <f>IF(OR(Topraklar!$J$36="Evet",AND(Topraklar!$L$36&lt;&gt;"Evet",Topraklar!$K$36&lt;&gt;Bitkiler!$C$54)),0,MAX(0,1-(Ayarlar!$B$2*ABS(Bitkiler!$D$54-Topraklar!$D$36)+Ayarlar!$B$3*ABS(Bitkiler!$E$54-Topraklar!$E$36)+Ayarlar!$B$4*ABS(Bitkiler!$F$54-Topraklar!$F$36)+Ayarlar!$B$5*ABS(Bitkiler!$G$54-Topraklar!$G$36)+Ayarlar!$B$6*IF(Bitkiler!$H$54=Topraklar!$H$36,0,1))/Ayarlar!$B$7)+IF(Topraklar!$K$36=Bitkiler!$C$54,0.002,IF(Topraklar!$L$36="Evet",0.001,0)))</f>
        <v/>
      </c>
      <c r="AK55" s="16">
        <f>IF(OR(Topraklar!$J$37="Evet",AND(Topraklar!$L$37&lt;&gt;"Evet",Topraklar!$K$37&lt;&gt;Bitkiler!$C$54)),0,MAX(0,1-(Ayarlar!$B$2*ABS(Bitkiler!$D$54-Topraklar!$D$37)+Ayarlar!$B$3*ABS(Bitkiler!$E$54-Topraklar!$E$37)+Ayarlar!$B$4*ABS(Bitkiler!$F$54-Topraklar!$F$37)+Ayarlar!$B$5*ABS(Bitkiler!$G$54-Topraklar!$G$37)+Ayarlar!$B$6*IF(Bitkiler!$H$54=Topraklar!$H$37,0,1))/Ayarlar!$B$7)+IF(Topraklar!$K$37=Bitkiler!$C$54,0.002,IF(Topraklar!$L$37="Evet",0.001,0)))</f>
        <v/>
      </c>
      <c r="AL55" s="16">
        <f>IF(OR(Topraklar!$J$38="Evet",AND(Topraklar!$L$38&lt;&gt;"Evet",Topraklar!$K$38&lt;&gt;Bitkiler!$C$54)),0,MAX(0,1-(Ayarlar!$B$2*ABS(Bitkiler!$D$54-Topraklar!$D$38)+Ayarlar!$B$3*ABS(Bitkiler!$E$54-Topraklar!$E$38)+Ayarlar!$B$4*ABS(Bitkiler!$F$54-Topraklar!$F$38)+Ayarlar!$B$5*ABS(Bitkiler!$G$54-Topraklar!$G$38)+Ayarlar!$B$6*IF(Bitkiler!$H$54=Topraklar!$H$38,0,1))/Ayarlar!$B$7)+IF(Topraklar!$K$38=Bitkiler!$C$54,0.002,IF(Topraklar!$L$38="Evet",0.001,0)))</f>
        <v/>
      </c>
      <c r="AM55" s="16">
        <f>IF(OR(Topraklar!$J$39="Evet",AND(Topraklar!$L$39&lt;&gt;"Evet",Topraklar!$K$39&lt;&gt;Bitkiler!$C$54)),0,MAX(0,1-(Ayarlar!$B$2*ABS(Bitkiler!$D$54-Topraklar!$D$39)+Ayarlar!$B$3*ABS(Bitkiler!$E$54-Topraklar!$E$39)+Ayarlar!$B$4*ABS(Bitkiler!$F$54-Topraklar!$F$39)+Ayarlar!$B$5*ABS(Bitkiler!$G$54-Topraklar!$G$39)+Ayarlar!$B$6*IF(Bitkiler!$H$54=Topraklar!$H$39,0,1))/Ayarlar!$B$7)+IF(Topraklar!$K$39=Bitkiler!$C$54,0.002,IF(Topraklar!$L$39="Evet",0.001,0)))</f>
        <v/>
      </c>
      <c r="AN55" s="16">
        <f>IF(OR(Topraklar!$J$40="Evet",AND(Topraklar!$L$40&lt;&gt;"Evet",Topraklar!$K$40&lt;&gt;Bitkiler!$C$54)),0,MAX(0,1-(Ayarlar!$B$2*ABS(Bitkiler!$D$54-Topraklar!$D$40)+Ayarlar!$B$3*ABS(Bitkiler!$E$54-Topraklar!$E$40)+Ayarlar!$B$4*ABS(Bitkiler!$F$54-Topraklar!$F$40)+Ayarlar!$B$5*ABS(Bitkiler!$G$54-Topraklar!$G$40)+Ayarlar!$B$6*IF(Bitkiler!$H$54=Topraklar!$H$40,0,1))/Ayarlar!$B$7)+IF(Topraklar!$K$40=Bitkiler!$C$54,0.002,IF(Topraklar!$L$40="Evet",0.001,0)))</f>
        <v/>
      </c>
      <c r="AO55" s="16">
        <f>IF(OR(Topraklar!$J$41="Evet",AND(Topraklar!$L$41&lt;&gt;"Evet",Topraklar!$K$41&lt;&gt;Bitkiler!$C$54)),0,MAX(0,1-(Ayarlar!$B$2*ABS(Bitkiler!$D$54-Topraklar!$D$41)+Ayarlar!$B$3*ABS(Bitkiler!$E$54-Topraklar!$E$41)+Ayarlar!$B$4*ABS(Bitkiler!$F$54-Topraklar!$F$41)+Ayarlar!$B$5*ABS(Bitkiler!$G$54-Topraklar!$G$41)+Ayarlar!$B$6*IF(Bitkiler!$H$54=Topraklar!$H$41,0,1))/Ayarlar!$B$7)+IF(Topraklar!$K$41=Bitkiler!$C$54,0.002,IF(Topraklar!$L$41="Evet",0.001,0)))</f>
        <v/>
      </c>
      <c r="AP55" s="16">
        <f>IF(OR(Topraklar!$J$42="Evet",AND(Topraklar!$L$42&lt;&gt;"Evet",Topraklar!$K$42&lt;&gt;Bitkiler!$C$54)),0,MAX(0,1-(Ayarlar!$B$2*ABS(Bitkiler!$D$54-Topraklar!$D$42)+Ayarlar!$B$3*ABS(Bitkiler!$E$54-Topraklar!$E$42)+Ayarlar!$B$4*ABS(Bitkiler!$F$54-Topraklar!$F$42)+Ayarlar!$B$5*ABS(Bitkiler!$G$54-Topraklar!$G$42)+Ayarlar!$B$6*IF(Bitkiler!$H$54=Topraklar!$H$42,0,1))/Ayarlar!$B$7)+IF(Topraklar!$K$42=Bitkiler!$C$54,0.002,IF(Topraklar!$L$42="Evet",0.001,0)))</f>
        <v/>
      </c>
      <c r="AQ55" s="16">
        <f>IF(OR(Topraklar!$J$43="Evet",AND(Topraklar!$L$43&lt;&gt;"Evet",Topraklar!$K$43&lt;&gt;Bitkiler!$C$54)),0,MAX(0,1-(Ayarlar!$B$2*ABS(Bitkiler!$D$54-Topraklar!$D$43)+Ayarlar!$B$3*ABS(Bitkiler!$E$54-Topraklar!$E$43)+Ayarlar!$B$4*ABS(Bitkiler!$F$54-Topraklar!$F$43)+Ayarlar!$B$5*ABS(Bitkiler!$G$54-Topraklar!$G$43)+Ayarlar!$B$6*IF(Bitkiler!$H$54=Topraklar!$H$43,0,1))/Ayarlar!$B$7)+IF(Topraklar!$K$43=Bitkiler!$C$54,0.002,IF(Topraklar!$L$43="Evet",0.001,0)))</f>
        <v/>
      </c>
      <c r="AR55" s="16">
        <f>IF(OR(Topraklar!$J$44="Evet",AND(Topraklar!$L$44&lt;&gt;"Evet",Topraklar!$K$44&lt;&gt;Bitkiler!$C$54)),0,MAX(0,1-(Ayarlar!$B$2*ABS(Bitkiler!$D$54-Topraklar!$D$44)+Ayarlar!$B$3*ABS(Bitkiler!$E$54-Topraklar!$E$44)+Ayarlar!$B$4*ABS(Bitkiler!$F$54-Topraklar!$F$44)+Ayarlar!$B$5*ABS(Bitkiler!$G$54-Topraklar!$G$44)+Ayarlar!$B$6*IF(Bitkiler!$H$54=Topraklar!$H$44,0,1))/Ayarlar!$B$7)+IF(Topraklar!$K$44=Bitkiler!$C$54,0.002,IF(Topraklar!$L$44="Evet",0.001,0)))</f>
        <v/>
      </c>
      <c r="AS55" s="16">
        <f>IF(OR(Topraklar!$J$45="Evet",AND(Topraklar!$L$45&lt;&gt;"Evet",Topraklar!$K$45&lt;&gt;Bitkiler!$C$54)),0,MAX(0,1-(Ayarlar!$B$2*ABS(Bitkiler!$D$54-Topraklar!$D$45)+Ayarlar!$B$3*ABS(Bitkiler!$E$54-Topraklar!$E$45)+Ayarlar!$B$4*ABS(Bitkiler!$F$54-Topraklar!$F$45)+Ayarlar!$B$5*ABS(Bitkiler!$G$54-Topraklar!$G$45)+Ayarlar!$B$6*IF(Bitkiler!$H$54=Topraklar!$H$45,0,1))/Ayarlar!$B$7)+IF(Topraklar!$K$45=Bitkiler!$C$54,0.002,IF(Topraklar!$L$45="Evet",0.001,0)))</f>
        <v/>
      </c>
      <c r="AT55" s="16">
        <f>IF(OR(Topraklar!$J$46="Evet",AND(Topraklar!$L$46&lt;&gt;"Evet",Topraklar!$K$46&lt;&gt;Bitkiler!$C$54)),0,MAX(0,1-(Ayarlar!$B$2*ABS(Bitkiler!$D$54-Topraklar!$D$46)+Ayarlar!$B$3*ABS(Bitkiler!$E$54-Topraklar!$E$46)+Ayarlar!$B$4*ABS(Bitkiler!$F$54-Topraklar!$F$46)+Ayarlar!$B$5*ABS(Bitkiler!$G$54-Topraklar!$G$46)+Ayarlar!$B$6*IF(Bitkiler!$H$54=Topraklar!$H$46,0,1))/Ayarlar!$B$7)+IF(Topraklar!$K$46=Bitkiler!$C$54,0.002,IF(Topraklar!$L$46="Evet",0.001,0)))</f>
        <v/>
      </c>
      <c r="AU55" s="16">
        <f>IF(OR(Topraklar!$J$47="Evet",AND(Topraklar!$L$47&lt;&gt;"Evet",Topraklar!$K$47&lt;&gt;Bitkiler!$C$54)),0,MAX(0,1-(Ayarlar!$B$2*ABS(Bitkiler!$D$54-Topraklar!$D$47)+Ayarlar!$B$3*ABS(Bitkiler!$E$54-Topraklar!$E$47)+Ayarlar!$B$4*ABS(Bitkiler!$F$54-Topraklar!$F$47)+Ayarlar!$B$5*ABS(Bitkiler!$G$54-Topraklar!$G$47)+Ayarlar!$B$6*IF(Bitkiler!$H$54=Topraklar!$H$47,0,1))/Ayarlar!$B$7)+IF(Topraklar!$K$47=Bitkiler!$C$54,0.002,IF(Topraklar!$L$47="Evet",0.001,0)))</f>
        <v/>
      </c>
      <c r="AV55" s="16">
        <f>IF(OR(Topraklar!$J$48="Evet",AND(Topraklar!$L$48&lt;&gt;"Evet",Topraklar!$K$48&lt;&gt;Bitkiler!$C$54)),0,MAX(0,1-(Ayarlar!$B$2*ABS(Bitkiler!$D$54-Topraklar!$D$48)+Ayarlar!$B$3*ABS(Bitkiler!$E$54-Topraklar!$E$48)+Ayarlar!$B$4*ABS(Bitkiler!$F$54-Topraklar!$F$48)+Ayarlar!$B$5*ABS(Bitkiler!$G$54-Topraklar!$G$48)+Ayarlar!$B$6*IF(Bitkiler!$H$54=Topraklar!$H$48,0,1))/Ayarlar!$B$7)+IF(Topraklar!$K$48=Bitkiler!$C$54,0.002,IF(Topraklar!$L$48="Evet",0.001,0)))</f>
        <v/>
      </c>
      <c r="AW55" s="16">
        <f>IF(OR(Topraklar!$J$49="Evet",AND(Topraklar!$L$49&lt;&gt;"Evet",Topraklar!$K$49&lt;&gt;Bitkiler!$C$54)),0,MAX(0,1-(Ayarlar!$B$2*ABS(Bitkiler!$D$54-Topraklar!$D$49)+Ayarlar!$B$3*ABS(Bitkiler!$E$54-Topraklar!$E$49)+Ayarlar!$B$4*ABS(Bitkiler!$F$54-Topraklar!$F$49)+Ayarlar!$B$5*ABS(Bitkiler!$G$54-Topraklar!$G$49)+Ayarlar!$B$6*IF(Bitkiler!$H$54=Topraklar!$H$49,0,1))/Ayarlar!$B$7)+IF(Topraklar!$K$49=Bitkiler!$C$54,0.002,IF(Topraklar!$L$49="Evet",0.001,0)))</f>
        <v/>
      </c>
      <c r="AX55" s="16">
        <f>IF(OR(Topraklar!$J$50="Evet",AND(Topraklar!$L$50&lt;&gt;"Evet",Topraklar!$K$50&lt;&gt;Bitkiler!$C$54)),0,MAX(0,1-(Ayarlar!$B$2*ABS(Bitkiler!$D$54-Topraklar!$D$50)+Ayarlar!$B$3*ABS(Bitkiler!$E$54-Topraklar!$E$50)+Ayarlar!$B$4*ABS(Bitkiler!$F$54-Topraklar!$F$50)+Ayarlar!$B$5*ABS(Bitkiler!$G$54-Topraklar!$G$50)+Ayarlar!$B$6*IF(Bitkiler!$H$54=Topraklar!$H$50,0,1))/Ayarlar!$B$7)+IF(Topraklar!$K$50=Bitkiler!$C$54,0.002,IF(Topraklar!$L$50="Evet",0.001,0)))</f>
        <v/>
      </c>
      <c r="AY55" s="16">
        <f>IF(OR(Topraklar!$J$51="Evet",AND(Topraklar!$L$51&lt;&gt;"Evet",Topraklar!$K$51&lt;&gt;Bitkiler!$C$54)),0,MAX(0,1-(Ayarlar!$B$2*ABS(Bitkiler!$D$54-Topraklar!$D$51)+Ayarlar!$B$3*ABS(Bitkiler!$E$54-Topraklar!$E$51)+Ayarlar!$B$4*ABS(Bitkiler!$F$54-Topraklar!$F$51)+Ayarlar!$B$5*ABS(Bitkiler!$G$54-Topraklar!$G$51)+Ayarlar!$B$6*IF(Bitkiler!$H$54=Topraklar!$H$51,0,1))/Ayarlar!$B$7)+IF(Topraklar!$K$51=Bitkiler!$C$54,0.002,IF(Topraklar!$L$51="Evet",0.001,0)))</f>
        <v/>
      </c>
    </row>
    <row r="56">
      <c r="A56" s="15">
        <f>Bitkiler!A55</f>
        <v/>
      </c>
      <c r="B56" s="16">
        <f>IF(OR(Topraklar!$J$2="Evet",AND(Topraklar!$L$2&lt;&gt;"Evet",Topraklar!$K$2&lt;&gt;Bitkiler!$C$55)),0,MAX(0,1-(Ayarlar!$B$2*ABS(Bitkiler!$D$55-Topraklar!$D$2)+Ayarlar!$B$3*ABS(Bitkiler!$E$55-Topraklar!$E$2)+Ayarlar!$B$4*ABS(Bitkiler!$F$55-Topraklar!$F$2)+Ayarlar!$B$5*ABS(Bitkiler!$G$55-Topraklar!$G$2)+Ayarlar!$B$6*IF(Bitkiler!$H$55=Topraklar!$H$2,0,1))/Ayarlar!$B$7)+IF(Topraklar!$K$2=Bitkiler!$C$55,0.002,IF(Topraklar!$L$2="Evet",0.001,0)))</f>
        <v/>
      </c>
      <c r="C56" s="16">
        <f>IF(OR(Topraklar!$J$3="Evet",AND(Topraklar!$L$3&lt;&gt;"Evet",Topraklar!$K$3&lt;&gt;Bitkiler!$C$55)),0,MAX(0,1-(Ayarlar!$B$2*ABS(Bitkiler!$D$55-Topraklar!$D$3)+Ayarlar!$B$3*ABS(Bitkiler!$E$55-Topraklar!$E$3)+Ayarlar!$B$4*ABS(Bitkiler!$F$55-Topraklar!$F$3)+Ayarlar!$B$5*ABS(Bitkiler!$G$55-Topraklar!$G$3)+Ayarlar!$B$6*IF(Bitkiler!$H$55=Topraklar!$H$3,0,1))/Ayarlar!$B$7)+IF(Topraklar!$K$3=Bitkiler!$C$55,0.002,IF(Topraklar!$L$3="Evet",0.001,0)))</f>
        <v/>
      </c>
      <c r="D56" s="16">
        <f>IF(OR(Topraklar!$J$4="Evet",AND(Topraklar!$L$4&lt;&gt;"Evet",Topraklar!$K$4&lt;&gt;Bitkiler!$C$55)),0,MAX(0,1-(Ayarlar!$B$2*ABS(Bitkiler!$D$55-Topraklar!$D$4)+Ayarlar!$B$3*ABS(Bitkiler!$E$55-Topraklar!$E$4)+Ayarlar!$B$4*ABS(Bitkiler!$F$55-Topraklar!$F$4)+Ayarlar!$B$5*ABS(Bitkiler!$G$55-Topraklar!$G$4)+Ayarlar!$B$6*IF(Bitkiler!$H$55=Topraklar!$H$4,0,1))/Ayarlar!$B$7)+IF(Topraklar!$K$4=Bitkiler!$C$55,0.002,IF(Topraklar!$L$4="Evet",0.001,0)))</f>
        <v/>
      </c>
      <c r="E56" s="16">
        <f>IF(OR(Topraklar!$J$5="Evet",AND(Topraklar!$L$5&lt;&gt;"Evet",Topraklar!$K$5&lt;&gt;Bitkiler!$C$55)),0,MAX(0,1-(Ayarlar!$B$2*ABS(Bitkiler!$D$55-Topraklar!$D$5)+Ayarlar!$B$3*ABS(Bitkiler!$E$55-Topraklar!$E$5)+Ayarlar!$B$4*ABS(Bitkiler!$F$55-Topraklar!$F$5)+Ayarlar!$B$5*ABS(Bitkiler!$G$55-Topraklar!$G$5)+Ayarlar!$B$6*IF(Bitkiler!$H$55=Topraklar!$H$5,0,1))/Ayarlar!$B$7)+IF(Topraklar!$K$5=Bitkiler!$C$55,0.002,IF(Topraklar!$L$5="Evet",0.001,0)))</f>
        <v/>
      </c>
      <c r="F56" s="16">
        <f>IF(OR(Topraklar!$J$6="Evet",AND(Topraklar!$L$6&lt;&gt;"Evet",Topraklar!$K$6&lt;&gt;Bitkiler!$C$55)),0,MAX(0,1-(Ayarlar!$B$2*ABS(Bitkiler!$D$55-Topraklar!$D$6)+Ayarlar!$B$3*ABS(Bitkiler!$E$55-Topraklar!$E$6)+Ayarlar!$B$4*ABS(Bitkiler!$F$55-Topraklar!$F$6)+Ayarlar!$B$5*ABS(Bitkiler!$G$55-Topraklar!$G$6)+Ayarlar!$B$6*IF(Bitkiler!$H$55=Topraklar!$H$6,0,1))/Ayarlar!$B$7)+IF(Topraklar!$K$6=Bitkiler!$C$55,0.002,IF(Topraklar!$L$6="Evet",0.001,0)))</f>
        <v/>
      </c>
      <c r="G56" s="16">
        <f>IF(OR(Topraklar!$J$7="Evet",AND(Topraklar!$L$7&lt;&gt;"Evet",Topraklar!$K$7&lt;&gt;Bitkiler!$C$55)),0,MAX(0,1-(Ayarlar!$B$2*ABS(Bitkiler!$D$55-Topraklar!$D$7)+Ayarlar!$B$3*ABS(Bitkiler!$E$55-Topraklar!$E$7)+Ayarlar!$B$4*ABS(Bitkiler!$F$55-Topraklar!$F$7)+Ayarlar!$B$5*ABS(Bitkiler!$G$55-Topraklar!$G$7)+Ayarlar!$B$6*IF(Bitkiler!$H$55=Topraklar!$H$7,0,1))/Ayarlar!$B$7)+IF(Topraklar!$K$7=Bitkiler!$C$55,0.002,IF(Topraklar!$L$7="Evet",0.001,0)))</f>
        <v/>
      </c>
      <c r="H56" s="16">
        <f>IF(OR(Topraklar!$J$8="Evet",AND(Topraklar!$L$8&lt;&gt;"Evet",Topraklar!$K$8&lt;&gt;Bitkiler!$C$55)),0,MAX(0,1-(Ayarlar!$B$2*ABS(Bitkiler!$D$55-Topraklar!$D$8)+Ayarlar!$B$3*ABS(Bitkiler!$E$55-Topraklar!$E$8)+Ayarlar!$B$4*ABS(Bitkiler!$F$55-Topraklar!$F$8)+Ayarlar!$B$5*ABS(Bitkiler!$G$55-Topraklar!$G$8)+Ayarlar!$B$6*IF(Bitkiler!$H$55=Topraklar!$H$8,0,1))/Ayarlar!$B$7)+IF(Topraklar!$K$8=Bitkiler!$C$55,0.002,IF(Topraklar!$L$8="Evet",0.001,0)))</f>
        <v/>
      </c>
      <c r="I56" s="16">
        <f>IF(OR(Topraklar!$J$9="Evet",AND(Topraklar!$L$9&lt;&gt;"Evet",Topraklar!$K$9&lt;&gt;Bitkiler!$C$55)),0,MAX(0,1-(Ayarlar!$B$2*ABS(Bitkiler!$D$55-Topraklar!$D$9)+Ayarlar!$B$3*ABS(Bitkiler!$E$55-Topraklar!$E$9)+Ayarlar!$B$4*ABS(Bitkiler!$F$55-Topraklar!$F$9)+Ayarlar!$B$5*ABS(Bitkiler!$G$55-Topraklar!$G$9)+Ayarlar!$B$6*IF(Bitkiler!$H$55=Topraklar!$H$9,0,1))/Ayarlar!$B$7)+IF(Topraklar!$K$9=Bitkiler!$C$55,0.002,IF(Topraklar!$L$9="Evet",0.001,0)))</f>
        <v/>
      </c>
      <c r="J56" s="16">
        <f>IF(OR(Topraklar!$J$10="Evet",AND(Topraklar!$L$10&lt;&gt;"Evet",Topraklar!$K$10&lt;&gt;Bitkiler!$C$55)),0,MAX(0,1-(Ayarlar!$B$2*ABS(Bitkiler!$D$55-Topraklar!$D$10)+Ayarlar!$B$3*ABS(Bitkiler!$E$55-Topraklar!$E$10)+Ayarlar!$B$4*ABS(Bitkiler!$F$55-Topraklar!$F$10)+Ayarlar!$B$5*ABS(Bitkiler!$G$55-Topraklar!$G$10)+Ayarlar!$B$6*IF(Bitkiler!$H$55=Topraklar!$H$10,0,1))/Ayarlar!$B$7)+IF(Topraklar!$K$10=Bitkiler!$C$55,0.002,IF(Topraklar!$L$10="Evet",0.001,0)))</f>
        <v/>
      </c>
      <c r="K56" s="16">
        <f>IF(OR(Topraklar!$J$11="Evet",AND(Topraklar!$L$11&lt;&gt;"Evet",Topraklar!$K$11&lt;&gt;Bitkiler!$C$55)),0,MAX(0,1-(Ayarlar!$B$2*ABS(Bitkiler!$D$55-Topraklar!$D$11)+Ayarlar!$B$3*ABS(Bitkiler!$E$55-Topraklar!$E$11)+Ayarlar!$B$4*ABS(Bitkiler!$F$55-Topraklar!$F$11)+Ayarlar!$B$5*ABS(Bitkiler!$G$55-Topraklar!$G$11)+Ayarlar!$B$6*IF(Bitkiler!$H$55=Topraklar!$H$11,0,1))/Ayarlar!$B$7)+IF(Topraklar!$K$11=Bitkiler!$C$55,0.002,IF(Topraklar!$L$11="Evet",0.001,0)))</f>
        <v/>
      </c>
      <c r="L56" s="16">
        <f>IF(OR(Topraklar!$J$12="Evet",AND(Topraklar!$L$12&lt;&gt;"Evet",Topraklar!$K$12&lt;&gt;Bitkiler!$C$55)),0,MAX(0,1-(Ayarlar!$B$2*ABS(Bitkiler!$D$55-Topraklar!$D$12)+Ayarlar!$B$3*ABS(Bitkiler!$E$55-Topraklar!$E$12)+Ayarlar!$B$4*ABS(Bitkiler!$F$55-Topraklar!$F$12)+Ayarlar!$B$5*ABS(Bitkiler!$G$55-Topraklar!$G$12)+Ayarlar!$B$6*IF(Bitkiler!$H$55=Topraklar!$H$12,0,1))/Ayarlar!$B$7)+IF(Topraklar!$K$12=Bitkiler!$C$55,0.002,IF(Topraklar!$L$12="Evet",0.001,0)))</f>
        <v/>
      </c>
      <c r="M56" s="16">
        <f>IF(OR(Topraklar!$J$13="Evet",AND(Topraklar!$L$13&lt;&gt;"Evet",Topraklar!$K$13&lt;&gt;Bitkiler!$C$55)),0,MAX(0,1-(Ayarlar!$B$2*ABS(Bitkiler!$D$55-Topraklar!$D$13)+Ayarlar!$B$3*ABS(Bitkiler!$E$55-Topraklar!$E$13)+Ayarlar!$B$4*ABS(Bitkiler!$F$55-Topraklar!$F$13)+Ayarlar!$B$5*ABS(Bitkiler!$G$55-Topraklar!$G$13)+Ayarlar!$B$6*IF(Bitkiler!$H$55=Topraklar!$H$13,0,1))/Ayarlar!$B$7)+IF(Topraklar!$K$13=Bitkiler!$C$55,0.002,IF(Topraklar!$L$13="Evet",0.001,0)))</f>
        <v/>
      </c>
      <c r="N56" s="16">
        <f>IF(OR(Topraklar!$J$14="Evet",AND(Topraklar!$L$14&lt;&gt;"Evet",Topraklar!$K$14&lt;&gt;Bitkiler!$C$55)),0,MAX(0,1-(Ayarlar!$B$2*ABS(Bitkiler!$D$55-Topraklar!$D$14)+Ayarlar!$B$3*ABS(Bitkiler!$E$55-Topraklar!$E$14)+Ayarlar!$B$4*ABS(Bitkiler!$F$55-Topraklar!$F$14)+Ayarlar!$B$5*ABS(Bitkiler!$G$55-Topraklar!$G$14)+Ayarlar!$B$6*IF(Bitkiler!$H$55=Topraklar!$H$14,0,1))/Ayarlar!$B$7)+IF(Topraklar!$K$14=Bitkiler!$C$55,0.002,IF(Topraklar!$L$14="Evet",0.001,0)))</f>
        <v/>
      </c>
      <c r="O56" s="16">
        <f>IF(OR(Topraklar!$J$15="Evet",AND(Topraklar!$L$15&lt;&gt;"Evet",Topraklar!$K$15&lt;&gt;Bitkiler!$C$55)),0,MAX(0,1-(Ayarlar!$B$2*ABS(Bitkiler!$D$55-Topraklar!$D$15)+Ayarlar!$B$3*ABS(Bitkiler!$E$55-Topraklar!$E$15)+Ayarlar!$B$4*ABS(Bitkiler!$F$55-Topraklar!$F$15)+Ayarlar!$B$5*ABS(Bitkiler!$G$55-Topraklar!$G$15)+Ayarlar!$B$6*IF(Bitkiler!$H$55=Topraklar!$H$15,0,1))/Ayarlar!$B$7)+IF(Topraklar!$K$15=Bitkiler!$C$55,0.002,IF(Topraklar!$L$15="Evet",0.001,0)))</f>
        <v/>
      </c>
      <c r="P56" s="16">
        <f>IF(OR(Topraklar!$J$16="Evet",AND(Topraklar!$L$16&lt;&gt;"Evet",Topraklar!$K$16&lt;&gt;Bitkiler!$C$55)),0,MAX(0,1-(Ayarlar!$B$2*ABS(Bitkiler!$D$55-Topraklar!$D$16)+Ayarlar!$B$3*ABS(Bitkiler!$E$55-Topraklar!$E$16)+Ayarlar!$B$4*ABS(Bitkiler!$F$55-Topraklar!$F$16)+Ayarlar!$B$5*ABS(Bitkiler!$G$55-Topraklar!$G$16)+Ayarlar!$B$6*IF(Bitkiler!$H$55=Topraklar!$H$16,0,1))/Ayarlar!$B$7)+IF(Topraklar!$K$16=Bitkiler!$C$55,0.002,IF(Topraklar!$L$16="Evet",0.001,0)))</f>
        <v/>
      </c>
      <c r="Q56" s="16">
        <f>IF(OR(Topraklar!$J$17="Evet",AND(Topraklar!$L$17&lt;&gt;"Evet",Topraklar!$K$17&lt;&gt;Bitkiler!$C$55)),0,MAX(0,1-(Ayarlar!$B$2*ABS(Bitkiler!$D$55-Topraklar!$D$17)+Ayarlar!$B$3*ABS(Bitkiler!$E$55-Topraklar!$E$17)+Ayarlar!$B$4*ABS(Bitkiler!$F$55-Topraklar!$F$17)+Ayarlar!$B$5*ABS(Bitkiler!$G$55-Topraklar!$G$17)+Ayarlar!$B$6*IF(Bitkiler!$H$55=Topraklar!$H$17,0,1))/Ayarlar!$B$7)+IF(Topraklar!$K$17=Bitkiler!$C$55,0.002,IF(Topraklar!$L$17="Evet",0.001,0)))</f>
        <v/>
      </c>
      <c r="R56" s="16">
        <f>IF(OR(Topraklar!$J$18="Evet",AND(Topraklar!$L$18&lt;&gt;"Evet",Topraklar!$K$18&lt;&gt;Bitkiler!$C$55)),0,MAX(0,1-(Ayarlar!$B$2*ABS(Bitkiler!$D$55-Topraklar!$D$18)+Ayarlar!$B$3*ABS(Bitkiler!$E$55-Topraklar!$E$18)+Ayarlar!$B$4*ABS(Bitkiler!$F$55-Topraklar!$F$18)+Ayarlar!$B$5*ABS(Bitkiler!$G$55-Topraklar!$G$18)+Ayarlar!$B$6*IF(Bitkiler!$H$55=Topraklar!$H$18,0,1))/Ayarlar!$B$7)+IF(Topraklar!$K$18=Bitkiler!$C$55,0.002,IF(Topraklar!$L$18="Evet",0.001,0)))</f>
        <v/>
      </c>
      <c r="S56" s="16">
        <f>IF(OR(Topraklar!$J$19="Evet",AND(Topraklar!$L$19&lt;&gt;"Evet",Topraklar!$K$19&lt;&gt;Bitkiler!$C$55)),0,MAX(0,1-(Ayarlar!$B$2*ABS(Bitkiler!$D$55-Topraklar!$D$19)+Ayarlar!$B$3*ABS(Bitkiler!$E$55-Topraklar!$E$19)+Ayarlar!$B$4*ABS(Bitkiler!$F$55-Topraklar!$F$19)+Ayarlar!$B$5*ABS(Bitkiler!$G$55-Topraklar!$G$19)+Ayarlar!$B$6*IF(Bitkiler!$H$55=Topraklar!$H$19,0,1))/Ayarlar!$B$7)+IF(Topraklar!$K$19=Bitkiler!$C$55,0.002,IF(Topraklar!$L$19="Evet",0.001,0)))</f>
        <v/>
      </c>
      <c r="T56" s="16">
        <f>IF(OR(Topraklar!$J$20="Evet",AND(Topraklar!$L$20&lt;&gt;"Evet",Topraklar!$K$20&lt;&gt;Bitkiler!$C$55)),0,MAX(0,1-(Ayarlar!$B$2*ABS(Bitkiler!$D$55-Topraklar!$D$20)+Ayarlar!$B$3*ABS(Bitkiler!$E$55-Topraklar!$E$20)+Ayarlar!$B$4*ABS(Bitkiler!$F$55-Topraklar!$F$20)+Ayarlar!$B$5*ABS(Bitkiler!$G$55-Topraklar!$G$20)+Ayarlar!$B$6*IF(Bitkiler!$H$55=Topraklar!$H$20,0,1))/Ayarlar!$B$7)+IF(Topraklar!$K$20=Bitkiler!$C$55,0.002,IF(Topraklar!$L$20="Evet",0.001,0)))</f>
        <v/>
      </c>
      <c r="U56" s="16">
        <f>IF(OR(Topraklar!$J$21="Evet",AND(Topraklar!$L$21&lt;&gt;"Evet",Topraklar!$K$21&lt;&gt;Bitkiler!$C$55)),0,MAX(0,1-(Ayarlar!$B$2*ABS(Bitkiler!$D$55-Topraklar!$D$21)+Ayarlar!$B$3*ABS(Bitkiler!$E$55-Topraklar!$E$21)+Ayarlar!$B$4*ABS(Bitkiler!$F$55-Topraklar!$F$21)+Ayarlar!$B$5*ABS(Bitkiler!$G$55-Topraklar!$G$21)+Ayarlar!$B$6*IF(Bitkiler!$H$55=Topraklar!$H$21,0,1))/Ayarlar!$B$7)+IF(Topraklar!$K$21=Bitkiler!$C$55,0.002,IF(Topraklar!$L$21="Evet",0.001,0)))</f>
        <v/>
      </c>
      <c r="V56" s="16">
        <f>IF(OR(Topraklar!$J$22="Evet",AND(Topraklar!$L$22&lt;&gt;"Evet",Topraklar!$K$22&lt;&gt;Bitkiler!$C$55)),0,MAX(0,1-(Ayarlar!$B$2*ABS(Bitkiler!$D$55-Topraklar!$D$22)+Ayarlar!$B$3*ABS(Bitkiler!$E$55-Topraklar!$E$22)+Ayarlar!$B$4*ABS(Bitkiler!$F$55-Topraklar!$F$22)+Ayarlar!$B$5*ABS(Bitkiler!$G$55-Topraklar!$G$22)+Ayarlar!$B$6*IF(Bitkiler!$H$55=Topraklar!$H$22,0,1))/Ayarlar!$B$7)+IF(Topraklar!$K$22=Bitkiler!$C$55,0.002,IF(Topraklar!$L$22="Evet",0.001,0)))</f>
        <v/>
      </c>
      <c r="W56" s="16">
        <f>IF(OR(Topraklar!$J$23="Evet",AND(Topraklar!$L$23&lt;&gt;"Evet",Topraklar!$K$23&lt;&gt;Bitkiler!$C$55)),0,MAX(0,1-(Ayarlar!$B$2*ABS(Bitkiler!$D$55-Topraklar!$D$23)+Ayarlar!$B$3*ABS(Bitkiler!$E$55-Topraklar!$E$23)+Ayarlar!$B$4*ABS(Bitkiler!$F$55-Topraklar!$F$23)+Ayarlar!$B$5*ABS(Bitkiler!$G$55-Topraklar!$G$23)+Ayarlar!$B$6*IF(Bitkiler!$H$55=Topraklar!$H$23,0,1))/Ayarlar!$B$7)+IF(Topraklar!$K$23=Bitkiler!$C$55,0.002,IF(Topraklar!$L$23="Evet",0.001,0)))</f>
        <v/>
      </c>
      <c r="X56" s="16">
        <f>IF(OR(Topraklar!$J$24="Evet",AND(Topraklar!$L$24&lt;&gt;"Evet",Topraklar!$K$24&lt;&gt;Bitkiler!$C$55)),0,MAX(0,1-(Ayarlar!$B$2*ABS(Bitkiler!$D$55-Topraklar!$D$24)+Ayarlar!$B$3*ABS(Bitkiler!$E$55-Topraklar!$E$24)+Ayarlar!$B$4*ABS(Bitkiler!$F$55-Topraklar!$F$24)+Ayarlar!$B$5*ABS(Bitkiler!$G$55-Topraklar!$G$24)+Ayarlar!$B$6*IF(Bitkiler!$H$55=Topraklar!$H$24,0,1))/Ayarlar!$B$7)+IF(Topraklar!$K$24=Bitkiler!$C$55,0.002,IF(Topraklar!$L$24="Evet",0.001,0)))</f>
        <v/>
      </c>
      <c r="Y56" s="16">
        <f>IF(OR(Topraklar!$J$25="Evet",AND(Topraklar!$L$25&lt;&gt;"Evet",Topraklar!$K$25&lt;&gt;Bitkiler!$C$55)),0,MAX(0,1-(Ayarlar!$B$2*ABS(Bitkiler!$D$55-Topraklar!$D$25)+Ayarlar!$B$3*ABS(Bitkiler!$E$55-Topraklar!$E$25)+Ayarlar!$B$4*ABS(Bitkiler!$F$55-Topraklar!$F$25)+Ayarlar!$B$5*ABS(Bitkiler!$G$55-Topraklar!$G$25)+Ayarlar!$B$6*IF(Bitkiler!$H$55=Topraklar!$H$25,0,1))/Ayarlar!$B$7)+IF(Topraklar!$K$25=Bitkiler!$C$55,0.002,IF(Topraklar!$L$25="Evet",0.001,0)))</f>
        <v/>
      </c>
      <c r="Z56" s="16">
        <f>IF(OR(Topraklar!$J$26="Evet",AND(Topraklar!$L$26&lt;&gt;"Evet",Topraklar!$K$26&lt;&gt;Bitkiler!$C$55)),0,MAX(0,1-(Ayarlar!$B$2*ABS(Bitkiler!$D$55-Topraklar!$D$26)+Ayarlar!$B$3*ABS(Bitkiler!$E$55-Topraklar!$E$26)+Ayarlar!$B$4*ABS(Bitkiler!$F$55-Topraklar!$F$26)+Ayarlar!$B$5*ABS(Bitkiler!$G$55-Topraklar!$G$26)+Ayarlar!$B$6*IF(Bitkiler!$H$55=Topraklar!$H$26,0,1))/Ayarlar!$B$7)+IF(Topraklar!$K$26=Bitkiler!$C$55,0.002,IF(Topraklar!$L$26="Evet",0.001,0)))</f>
        <v/>
      </c>
      <c r="AA56" s="16">
        <f>IF(OR(Topraklar!$J$27="Evet",AND(Topraklar!$L$27&lt;&gt;"Evet",Topraklar!$K$27&lt;&gt;Bitkiler!$C$55)),0,MAX(0,1-(Ayarlar!$B$2*ABS(Bitkiler!$D$55-Topraklar!$D$27)+Ayarlar!$B$3*ABS(Bitkiler!$E$55-Topraklar!$E$27)+Ayarlar!$B$4*ABS(Bitkiler!$F$55-Topraklar!$F$27)+Ayarlar!$B$5*ABS(Bitkiler!$G$55-Topraklar!$G$27)+Ayarlar!$B$6*IF(Bitkiler!$H$55=Topraklar!$H$27,0,1))/Ayarlar!$B$7)+IF(Topraklar!$K$27=Bitkiler!$C$55,0.002,IF(Topraklar!$L$27="Evet",0.001,0)))</f>
        <v/>
      </c>
      <c r="AB56" s="16">
        <f>IF(OR(Topraklar!$J$28="Evet",AND(Topraklar!$L$28&lt;&gt;"Evet",Topraklar!$K$28&lt;&gt;Bitkiler!$C$55)),0,MAX(0,1-(Ayarlar!$B$2*ABS(Bitkiler!$D$55-Topraklar!$D$28)+Ayarlar!$B$3*ABS(Bitkiler!$E$55-Topraklar!$E$28)+Ayarlar!$B$4*ABS(Bitkiler!$F$55-Topraklar!$F$28)+Ayarlar!$B$5*ABS(Bitkiler!$G$55-Topraklar!$G$28)+Ayarlar!$B$6*IF(Bitkiler!$H$55=Topraklar!$H$28,0,1))/Ayarlar!$B$7)+IF(Topraklar!$K$28=Bitkiler!$C$55,0.002,IF(Topraklar!$L$28="Evet",0.001,0)))</f>
        <v/>
      </c>
      <c r="AC56" s="16">
        <f>IF(OR(Topraklar!$J$29="Evet",AND(Topraklar!$L$29&lt;&gt;"Evet",Topraklar!$K$29&lt;&gt;Bitkiler!$C$55)),0,MAX(0,1-(Ayarlar!$B$2*ABS(Bitkiler!$D$55-Topraklar!$D$29)+Ayarlar!$B$3*ABS(Bitkiler!$E$55-Topraklar!$E$29)+Ayarlar!$B$4*ABS(Bitkiler!$F$55-Topraklar!$F$29)+Ayarlar!$B$5*ABS(Bitkiler!$G$55-Topraklar!$G$29)+Ayarlar!$B$6*IF(Bitkiler!$H$55=Topraklar!$H$29,0,1))/Ayarlar!$B$7)+IF(Topraklar!$K$29=Bitkiler!$C$55,0.002,IF(Topraklar!$L$29="Evet",0.001,0)))</f>
        <v/>
      </c>
      <c r="AD56" s="16">
        <f>IF(OR(Topraklar!$J$30="Evet",AND(Topraklar!$L$30&lt;&gt;"Evet",Topraklar!$K$30&lt;&gt;Bitkiler!$C$55)),0,MAX(0,1-(Ayarlar!$B$2*ABS(Bitkiler!$D$55-Topraklar!$D$30)+Ayarlar!$B$3*ABS(Bitkiler!$E$55-Topraklar!$E$30)+Ayarlar!$B$4*ABS(Bitkiler!$F$55-Topraklar!$F$30)+Ayarlar!$B$5*ABS(Bitkiler!$G$55-Topraklar!$G$30)+Ayarlar!$B$6*IF(Bitkiler!$H$55=Topraklar!$H$30,0,1))/Ayarlar!$B$7)+IF(Topraklar!$K$30=Bitkiler!$C$55,0.002,IF(Topraklar!$L$30="Evet",0.001,0)))</f>
        <v/>
      </c>
      <c r="AE56" s="16">
        <f>IF(OR(Topraklar!$J$31="Evet",AND(Topraklar!$L$31&lt;&gt;"Evet",Topraklar!$K$31&lt;&gt;Bitkiler!$C$55)),0,MAX(0,1-(Ayarlar!$B$2*ABS(Bitkiler!$D$55-Topraklar!$D$31)+Ayarlar!$B$3*ABS(Bitkiler!$E$55-Topraklar!$E$31)+Ayarlar!$B$4*ABS(Bitkiler!$F$55-Topraklar!$F$31)+Ayarlar!$B$5*ABS(Bitkiler!$G$55-Topraklar!$G$31)+Ayarlar!$B$6*IF(Bitkiler!$H$55=Topraklar!$H$31,0,1))/Ayarlar!$B$7)+IF(Topraklar!$K$31=Bitkiler!$C$55,0.002,IF(Topraklar!$L$31="Evet",0.001,0)))</f>
        <v/>
      </c>
      <c r="AF56" s="16">
        <f>IF(OR(Topraklar!$J$32="Evet",AND(Topraklar!$L$32&lt;&gt;"Evet",Topraklar!$K$32&lt;&gt;Bitkiler!$C$55)),0,MAX(0,1-(Ayarlar!$B$2*ABS(Bitkiler!$D$55-Topraklar!$D$32)+Ayarlar!$B$3*ABS(Bitkiler!$E$55-Topraklar!$E$32)+Ayarlar!$B$4*ABS(Bitkiler!$F$55-Topraklar!$F$32)+Ayarlar!$B$5*ABS(Bitkiler!$G$55-Topraklar!$G$32)+Ayarlar!$B$6*IF(Bitkiler!$H$55=Topraklar!$H$32,0,1))/Ayarlar!$B$7)+IF(Topraklar!$K$32=Bitkiler!$C$55,0.002,IF(Topraklar!$L$32="Evet",0.001,0)))</f>
        <v/>
      </c>
      <c r="AG56" s="16">
        <f>IF(OR(Topraklar!$J$33="Evet",AND(Topraklar!$L$33&lt;&gt;"Evet",Topraklar!$K$33&lt;&gt;Bitkiler!$C$55)),0,MAX(0,1-(Ayarlar!$B$2*ABS(Bitkiler!$D$55-Topraklar!$D$33)+Ayarlar!$B$3*ABS(Bitkiler!$E$55-Topraklar!$E$33)+Ayarlar!$B$4*ABS(Bitkiler!$F$55-Topraklar!$F$33)+Ayarlar!$B$5*ABS(Bitkiler!$G$55-Topraklar!$G$33)+Ayarlar!$B$6*IF(Bitkiler!$H$55=Topraklar!$H$33,0,1))/Ayarlar!$B$7)+IF(Topraklar!$K$33=Bitkiler!$C$55,0.002,IF(Topraklar!$L$33="Evet",0.001,0)))</f>
        <v/>
      </c>
      <c r="AH56" s="16">
        <f>IF(OR(Topraklar!$J$34="Evet",AND(Topraklar!$L$34&lt;&gt;"Evet",Topraklar!$K$34&lt;&gt;Bitkiler!$C$55)),0,MAX(0,1-(Ayarlar!$B$2*ABS(Bitkiler!$D$55-Topraklar!$D$34)+Ayarlar!$B$3*ABS(Bitkiler!$E$55-Topraklar!$E$34)+Ayarlar!$B$4*ABS(Bitkiler!$F$55-Topraklar!$F$34)+Ayarlar!$B$5*ABS(Bitkiler!$G$55-Topraklar!$G$34)+Ayarlar!$B$6*IF(Bitkiler!$H$55=Topraklar!$H$34,0,1))/Ayarlar!$B$7)+IF(Topraklar!$K$34=Bitkiler!$C$55,0.002,IF(Topraklar!$L$34="Evet",0.001,0)))</f>
        <v/>
      </c>
      <c r="AI56" s="16">
        <f>IF(OR(Topraklar!$J$35="Evet",AND(Topraklar!$L$35&lt;&gt;"Evet",Topraklar!$K$35&lt;&gt;Bitkiler!$C$55)),0,MAX(0,1-(Ayarlar!$B$2*ABS(Bitkiler!$D$55-Topraklar!$D$35)+Ayarlar!$B$3*ABS(Bitkiler!$E$55-Topraklar!$E$35)+Ayarlar!$B$4*ABS(Bitkiler!$F$55-Topraklar!$F$35)+Ayarlar!$B$5*ABS(Bitkiler!$G$55-Topraklar!$G$35)+Ayarlar!$B$6*IF(Bitkiler!$H$55=Topraklar!$H$35,0,1))/Ayarlar!$B$7)+IF(Topraklar!$K$35=Bitkiler!$C$55,0.002,IF(Topraklar!$L$35="Evet",0.001,0)))</f>
        <v/>
      </c>
      <c r="AJ56" s="16">
        <f>IF(OR(Topraklar!$J$36="Evet",AND(Topraklar!$L$36&lt;&gt;"Evet",Topraklar!$K$36&lt;&gt;Bitkiler!$C$55)),0,MAX(0,1-(Ayarlar!$B$2*ABS(Bitkiler!$D$55-Topraklar!$D$36)+Ayarlar!$B$3*ABS(Bitkiler!$E$55-Topraklar!$E$36)+Ayarlar!$B$4*ABS(Bitkiler!$F$55-Topraklar!$F$36)+Ayarlar!$B$5*ABS(Bitkiler!$G$55-Topraklar!$G$36)+Ayarlar!$B$6*IF(Bitkiler!$H$55=Topraklar!$H$36,0,1))/Ayarlar!$B$7)+IF(Topraklar!$K$36=Bitkiler!$C$55,0.002,IF(Topraklar!$L$36="Evet",0.001,0)))</f>
        <v/>
      </c>
      <c r="AK56" s="16">
        <f>IF(OR(Topraklar!$J$37="Evet",AND(Topraklar!$L$37&lt;&gt;"Evet",Topraklar!$K$37&lt;&gt;Bitkiler!$C$55)),0,MAX(0,1-(Ayarlar!$B$2*ABS(Bitkiler!$D$55-Topraklar!$D$37)+Ayarlar!$B$3*ABS(Bitkiler!$E$55-Topraklar!$E$37)+Ayarlar!$B$4*ABS(Bitkiler!$F$55-Topraklar!$F$37)+Ayarlar!$B$5*ABS(Bitkiler!$G$55-Topraklar!$G$37)+Ayarlar!$B$6*IF(Bitkiler!$H$55=Topraklar!$H$37,0,1))/Ayarlar!$B$7)+IF(Topraklar!$K$37=Bitkiler!$C$55,0.002,IF(Topraklar!$L$37="Evet",0.001,0)))</f>
        <v/>
      </c>
      <c r="AL56" s="16">
        <f>IF(OR(Topraklar!$J$38="Evet",AND(Topraklar!$L$38&lt;&gt;"Evet",Topraklar!$K$38&lt;&gt;Bitkiler!$C$55)),0,MAX(0,1-(Ayarlar!$B$2*ABS(Bitkiler!$D$55-Topraklar!$D$38)+Ayarlar!$B$3*ABS(Bitkiler!$E$55-Topraklar!$E$38)+Ayarlar!$B$4*ABS(Bitkiler!$F$55-Topraklar!$F$38)+Ayarlar!$B$5*ABS(Bitkiler!$G$55-Topraklar!$G$38)+Ayarlar!$B$6*IF(Bitkiler!$H$55=Topraklar!$H$38,0,1))/Ayarlar!$B$7)+IF(Topraklar!$K$38=Bitkiler!$C$55,0.002,IF(Topraklar!$L$38="Evet",0.001,0)))</f>
        <v/>
      </c>
      <c r="AM56" s="16">
        <f>IF(OR(Topraklar!$J$39="Evet",AND(Topraklar!$L$39&lt;&gt;"Evet",Topraklar!$K$39&lt;&gt;Bitkiler!$C$55)),0,MAX(0,1-(Ayarlar!$B$2*ABS(Bitkiler!$D$55-Topraklar!$D$39)+Ayarlar!$B$3*ABS(Bitkiler!$E$55-Topraklar!$E$39)+Ayarlar!$B$4*ABS(Bitkiler!$F$55-Topraklar!$F$39)+Ayarlar!$B$5*ABS(Bitkiler!$G$55-Topraklar!$G$39)+Ayarlar!$B$6*IF(Bitkiler!$H$55=Topraklar!$H$39,0,1))/Ayarlar!$B$7)+IF(Topraklar!$K$39=Bitkiler!$C$55,0.002,IF(Topraklar!$L$39="Evet",0.001,0)))</f>
        <v/>
      </c>
      <c r="AN56" s="16">
        <f>IF(OR(Topraklar!$J$40="Evet",AND(Topraklar!$L$40&lt;&gt;"Evet",Topraklar!$K$40&lt;&gt;Bitkiler!$C$55)),0,MAX(0,1-(Ayarlar!$B$2*ABS(Bitkiler!$D$55-Topraklar!$D$40)+Ayarlar!$B$3*ABS(Bitkiler!$E$55-Topraklar!$E$40)+Ayarlar!$B$4*ABS(Bitkiler!$F$55-Topraklar!$F$40)+Ayarlar!$B$5*ABS(Bitkiler!$G$55-Topraklar!$G$40)+Ayarlar!$B$6*IF(Bitkiler!$H$55=Topraklar!$H$40,0,1))/Ayarlar!$B$7)+IF(Topraklar!$K$40=Bitkiler!$C$55,0.002,IF(Topraklar!$L$40="Evet",0.001,0)))</f>
        <v/>
      </c>
      <c r="AO56" s="16">
        <f>IF(OR(Topraklar!$J$41="Evet",AND(Topraklar!$L$41&lt;&gt;"Evet",Topraklar!$K$41&lt;&gt;Bitkiler!$C$55)),0,MAX(0,1-(Ayarlar!$B$2*ABS(Bitkiler!$D$55-Topraklar!$D$41)+Ayarlar!$B$3*ABS(Bitkiler!$E$55-Topraklar!$E$41)+Ayarlar!$B$4*ABS(Bitkiler!$F$55-Topraklar!$F$41)+Ayarlar!$B$5*ABS(Bitkiler!$G$55-Topraklar!$G$41)+Ayarlar!$B$6*IF(Bitkiler!$H$55=Topraklar!$H$41,0,1))/Ayarlar!$B$7)+IF(Topraklar!$K$41=Bitkiler!$C$55,0.002,IF(Topraklar!$L$41="Evet",0.001,0)))</f>
        <v/>
      </c>
      <c r="AP56" s="16">
        <f>IF(OR(Topraklar!$J$42="Evet",AND(Topraklar!$L$42&lt;&gt;"Evet",Topraklar!$K$42&lt;&gt;Bitkiler!$C$55)),0,MAX(0,1-(Ayarlar!$B$2*ABS(Bitkiler!$D$55-Topraklar!$D$42)+Ayarlar!$B$3*ABS(Bitkiler!$E$55-Topraklar!$E$42)+Ayarlar!$B$4*ABS(Bitkiler!$F$55-Topraklar!$F$42)+Ayarlar!$B$5*ABS(Bitkiler!$G$55-Topraklar!$G$42)+Ayarlar!$B$6*IF(Bitkiler!$H$55=Topraklar!$H$42,0,1))/Ayarlar!$B$7)+IF(Topraklar!$K$42=Bitkiler!$C$55,0.002,IF(Topraklar!$L$42="Evet",0.001,0)))</f>
        <v/>
      </c>
      <c r="AQ56" s="16">
        <f>IF(OR(Topraklar!$J$43="Evet",AND(Topraklar!$L$43&lt;&gt;"Evet",Topraklar!$K$43&lt;&gt;Bitkiler!$C$55)),0,MAX(0,1-(Ayarlar!$B$2*ABS(Bitkiler!$D$55-Topraklar!$D$43)+Ayarlar!$B$3*ABS(Bitkiler!$E$55-Topraklar!$E$43)+Ayarlar!$B$4*ABS(Bitkiler!$F$55-Topraklar!$F$43)+Ayarlar!$B$5*ABS(Bitkiler!$G$55-Topraklar!$G$43)+Ayarlar!$B$6*IF(Bitkiler!$H$55=Topraklar!$H$43,0,1))/Ayarlar!$B$7)+IF(Topraklar!$K$43=Bitkiler!$C$55,0.002,IF(Topraklar!$L$43="Evet",0.001,0)))</f>
        <v/>
      </c>
      <c r="AR56" s="16">
        <f>IF(OR(Topraklar!$J$44="Evet",AND(Topraklar!$L$44&lt;&gt;"Evet",Topraklar!$K$44&lt;&gt;Bitkiler!$C$55)),0,MAX(0,1-(Ayarlar!$B$2*ABS(Bitkiler!$D$55-Topraklar!$D$44)+Ayarlar!$B$3*ABS(Bitkiler!$E$55-Topraklar!$E$44)+Ayarlar!$B$4*ABS(Bitkiler!$F$55-Topraklar!$F$44)+Ayarlar!$B$5*ABS(Bitkiler!$G$55-Topraklar!$G$44)+Ayarlar!$B$6*IF(Bitkiler!$H$55=Topraklar!$H$44,0,1))/Ayarlar!$B$7)+IF(Topraklar!$K$44=Bitkiler!$C$55,0.002,IF(Topraklar!$L$44="Evet",0.001,0)))</f>
        <v/>
      </c>
      <c r="AS56" s="16">
        <f>IF(OR(Topraklar!$J$45="Evet",AND(Topraklar!$L$45&lt;&gt;"Evet",Topraklar!$K$45&lt;&gt;Bitkiler!$C$55)),0,MAX(0,1-(Ayarlar!$B$2*ABS(Bitkiler!$D$55-Topraklar!$D$45)+Ayarlar!$B$3*ABS(Bitkiler!$E$55-Topraklar!$E$45)+Ayarlar!$B$4*ABS(Bitkiler!$F$55-Topraklar!$F$45)+Ayarlar!$B$5*ABS(Bitkiler!$G$55-Topraklar!$G$45)+Ayarlar!$B$6*IF(Bitkiler!$H$55=Topraklar!$H$45,0,1))/Ayarlar!$B$7)+IF(Topraklar!$K$45=Bitkiler!$C$55,0.002,IF(Topraklar!$L$45="Evet",0.001,0)))</f>
        <v/>
      </c>
      <c r="AT56" s="16">
        <f>IF(OR(Topraklar!$J$46="Evet",AND(Topraklar!$L$46&lt;&gt;"Evet",Topraklar!$K$46&lt;&gt;Bitkiler!$C$55)),0,MAX(0,1-(Ayarlar!$B$2*ABS(Bitkiler!$D$55-Topraklar!$D$46)+Ayarlar!$B$3*ABS(Bitkiler!$E$55-Topraklar!$E$46)+Ayarlar!$B$4*ABS(Bitkiler!$F$55-Topraklar!$F$46)+Ayarlar!$B$5*ABS(Bitkiler!$G$55-Topraklar!$G$46)+Ayarlar!$B$6*IF(Bitkiler!$H$55=Topraklar!$H$46,0,1))/Ayarlar!$B$7)+IF(Topraklar!$K$46=Bitkiler!$C$55,0.002,IF(Topraklar!$L$46="Evet",0.001,0)))</f>
        <v/>
      </c>
      <c r="AU56" s="16">
        <f>IF(OR(Topraklar!$J$47="Evet",AND(Topraklar!$L$47&lt;&gt;"Evet",Topraklar!$K$47&lt;&gt;Bitkiler!$C$55)),0,MAX(0,1-(Ayarlar!$B$2*ABS(Bitkiler!$D$55-Topraklar!$D$47)+Ayarlar!$B$3*ABS(Bitkiler!$E$55-Topraklar!$E$47)+Ayarlar!$B$4*ABS(Bitkiler!$F$55-Topraklar!$F$47)+Ayarlar!$B$5*ABS(Bitkiler!$G$55-Topraklar!$G$47)+Ayarlar!$B$6*IF(Bitkiler!$H$55=Topraklar!$H$47,0,1))/Ayarlar!$B$7)+IF(Topraklar!$K$47=Bitkiler!$C$55,0.002,IF(Topraklar!$L$47="Evet",0.001,0)))</f>
        <v/>
      </c>
      <c r="AV56" s="16">
        <f>IF(OR(Topraklar!$J$48="Evet",AND(Topraklar!$L$48&lt;&gt;"Evet",Topraklar!$K$48&lt;&gt;Bitkiler!$C$55)),0,MAX(0,1-(Ayarlar!$B$2*ABS(Bitkiler!$D$55-Topraklar!$D$48)+Ayarlar!$B$3*ABS(Bitkiler!$E$55-Topraklar!$E$48)+Ayarlar!$B$4*ABS(Bitkiler!$F$55-Topraklar!$F$48)+Ayarlar!$B$5*ABS(Bitkiler!$G$55-Topraklar!$G$48)+Ayarlar!$B$6*IF(Bitkiler!$H$55=Topraklar!$H$48,0,1))/Ayarlar!$B$7)+IF(Topraklar!$K$48=Bitkiler!$C$55,0.002,IF(Topraklar!$L$48="Evet",0.001,0)))</f>
        <v/>
      </c>
      <c r="AW56" s="16">
        <f>IF(OR(Topraklar!$J$49="Evet",AND(Topraklar!$L$49&lt;&gt;"Evet",Topraklar!$K$49&lt;&gt;Bitkiler!$C$55)),0,MAX(0,1-(Ayarlar!$B$2*ABS(Bitkiler!$D$55-Topraklar!$D$49)+Ayarlar!$B$3*ABS(Bitkiler!$E$55-Topraklar!$E$49)+Ayarlar!$B$4*ABS(Bitkiler!$F$55-Topraklar!$F$49)+Ayarlar!$B$5*ABS(Bitkiler!$G$55-Topraklar!$G$49)+Ayarlar!$B$6*IF(Bitkiler!$H$55=Topraklar!$H$49,0,1))/Ayarlar!$B$7)+IF(Topraklar!$K$49=Bitkiler!$C$55,0.002,IF(Topraklar!$L$49="Evet",0.001,0)))</f>
        <v/>
      </c>
      <c r="AX56" s="16">
        <f>IF(OR(Topraklar!$J$50="Evet",AND(Topraklar!$L$50&lt;&gt;"Evet",Topraklar!$K$50&lt;&gt;Bitkiler!$C$55)),0,MAX(0,1-(Ayarlar!$B$2*ABS(Bitkiler!$D$55-Topraklar!$D$50)+Ayarlar!$B$3*ABS(Bitkiler!$E$55-Topraklar!$E$50)+Ayarlar!$B$4*ABS(Bitkiler!$F$55-Topraklar!$F$50)+Ayarlar!$B$5*ABS(Bitkiler!$G$55-Topraklar!$G$50)+Ayarlar!$B$6*IF(Bitkiler!$H$55=Topraklar!$H$50,0,1))/Ayarlar!$B$7)+IF(Topraklar!$K$50=Bitkiler!$C$55,0.002,IF(Topraklar!$L$50="Evet",0.001,0)))</f>
        <v/>
      </c>
      <c r="AY56" s="16">
        <f>IF(OR(Topraklar!$J$51="Evet",AND(Topraklar!$L$51&lt;&gt;"Evet",Topraklar!$K$51&lt;&gt;Bitkiler!$C$55)),0,MAX(0,1-(Ayarlar!$B$2*ABS(Bitkiler!$D$55-Topraklar!$D$51)+Ayarlar!$B$3*ABS(Bitkiler!$E$55-Topraklar!$E$51)+Ayarlar!$B$4*ABS(Bitkiler!$F$55-Topraklar!$F$51)+Ayarlar!$B$5*ABS(Bitkiler!$G$55-Topraklar!$G$51)+Ayarlar!$B$6*IF(Bitkiler!$H$55=Topraklar!$H$51,0,1))/Ayarlar!$B$7)+IF(Topraklar!$K$51=Bitkiler!$C$55,0.002,IF(Topraklar!$L$51="Evet",0.001,0)))</f>
        <v/>
      </c>
    </row>
    <row r="57">
      <c r="A57" s="15">
        <f>Bitkiler!A56</f>
        <v/>
      </c>
      <c r="B57" s="16">
        <f>IF(OR(Topraklar!$J$2="Evet",AND(Topraklar!$L$2&lt;&gt;"Evet",Topraklar!$K$2&lt;&gt;Bitkiler!$C$56)),0,MAX(0,1-(Ayarlar!$B$2*ABS(Bitkiler!$D$56-Topraklar!$D$2)+Ayarlar!$B$3*ABS(Bitkiler!$E$56-Topraklar!$E$2)+Ayarlar!$B$4*ABS(Bitkiler!$F$56-Topraklar!$F$2)+Ayarlar!$B$5*ABS(Bitkiler!$G$56-Topraklar!$G$2)+Ayarlar!$B$6*IF(Bitkiler!$H$56=Topraklar!$H$2,0,1))/Ayarlar!$B$7)+IF(Topraklar!$K$2=Bitkiler!$C$56,0.002,IF(Topraklar!$L$2="Evet",0.001,0)))</f>
        <v/>
      </c>
      <c r="C57" s="16">
        <f>IF(OR(Topraklar!$J$3="Evet",AND(Topraklar!$L$3&lt;&gt;"Evet",Topraklar!$K$3&lt;&gt;Bitkiler!$C$56)),0,MAX(0,1-(Ayarlar!$B$2*ABS(Bitkiler!$D$56-Topraklar!$D$3)+Ayarlar!$B$3*ABS(Bitkiler!$E$56-Topraklar!$E$3)+Ayarlar!$B$4*ABS(Bitkiler!$F$56-Topraklar!$F$3)+Ayarlar!$B$5*ABS(Bitkiler!$G$56-Topraklar!$G$3)+Ayarlar!$B$6*IF(Bitkiler!$H$56=Topraklar!$H$3,0,1))/Ayarlar!$B$7)+IF(Topraklar!$K$3=Bitkiler!$C$56,0.002,IF(Topraklar!$L$3="Evet",0.001,0)))</f>
        <v/>
      </c>
      <c r="D57" s="16">
        <f>IF(OR(Topraklar!$J$4="Evet",AND(Topraklar!$L$4&lt;&gt;"Evet",Topraklar!$K$4&lt;&gt;Bitkiler!$C$56)),0,MAX(0,1-(Ayarlar!$B$2*ABS(Bitkiler!$D$56-Topraklar!$D$4)+Ayarlar!$B$3*ABS(Bitkiler!$E$56-Topraklar!$E$4)+Ayarlar!$B$4*ABS(Bitkiler!$F$56-Topraklar!$F$4)+Ayarlar!$B$5*ABS(Bitkiler!$G$56-Topraklar!$G$4)+Ayarlar!$B$6*IF(Bitkiler!$H$56=Topraklar!$H$4,0,1))/Ayarlar!$B$7)+IF(Topraklar!$K$4=Bitkiler!$C$56,0.002,IF(Topraklar!$L$4="Evet",0.001,0)))</f>
        <v/>
      </c>
      <c r="E57" s="16">
        <f>IF(OR(Topraklar!$J$5="Evet",AND(Topraklar!$L$5&lt;&gt;"Evet",Topraklar!$K$5&lt;&gt;Bitkiler!$C$56)),0,MAX(0,1-(Ayarlar!$B$2*ABS(Bitkiler!$D$56-Topraklar!$D$5)+Ayarlar!$B$3*ABS(Bitkiler!$E$56-Topraklar!$E$5)+Ayarlar!$B$4*ABS(Bitkiler!$F$56-Topraklar!$F$5)+Ayarlar!$B$5*ABS(Bitkiler!$G$56-Topraklar!$G$5)+Ayarlar!$B$6*IF(Bitkiler!$H$56=Topraklar!$H$5,0,1))/Ayarlar!$B$7)+IF(Topraklar!$K$5=Bitkiler!$C$56,0.002,IF(Topraklar!$L$5="Evet",0.001,0)))</f>
        <v/>
      </c>
      <c r="F57" s="16">
        <f>IF(OR(Topraklar!$J$6="Evet",AND(Topraklar!$L$6&lt;&gt;"Evet",Topraklar!$K$6&lt;&gt;Bitkiler!$C$56)),0,MAX(0,1-(Ayarlar!$B$2*ABS(Bitkiler!$D$56-Topraklar!$D$6)+Ayarlar!$B$3*ABS(Bitkiler!$E$56-Topraklar!$E$6)+Ayarlar!$B$4*ABS(Bitkiler!$F$56-Topraklar!$F$6)+Ayarlar!$B$5*ABS(Bitkiler!$G$56-Topraklar!$G$6)+Ayarlar!$B$6*IF(Bitkiler!$H$56=Topraklar!$H$6,0,1))/Ayarlar!$B$7)+IF(Topraklar!$K$6=Bitkiler!$C$56,0.002,IF(Topraklar!$L$6="Evet",0.001,0)))</f>
        <v/>
      </c>
      <c r="G57" s="16">
        <f>IF(OR(Topraklar!$J$7="Evet",AND(Topraklar!$L$7&lt;&gt;"Evet",Topraklar!$K$7&lt;&gt;Bitkiler!$C$56)),0,MAX(0,1-(Ayarlar!$B$2*ABS(Bitkiler!$D$56-Topraklar!$D$7)+Ayarlar!$B$3*ABS(Bitkiler!$E$56-Topraklar!$E$7)+Ayarlar!$B$4*ABS(Bitkiler!$F$56-Topraklar!$F$7)+Ayarlar!$B$5*ABS(Bitkiler!$G$56-Topraklar!$G$7)+Ayarlar!$B$6*IF(Bitkiler!$H$56=Topraklar!$H$7,0,1))/Ayarlar!$B$7)+IF(Topraklar!$K$7=Bitkiler!$C$56,0.002,IF(Topraklar!$L$7="Evet",0.001,0)))</f>
        <v/>
      </c>
      <c r="H57" s="16">
        <f>IF(OR(Topraklar!$J$8="Evet",AND(Topraklar!$L$8&lt;&gt;"Evet",Topraklar!$K$8&lt;&gt;Bitkiler!$C$56)),0,MAX(0,1-(Ayarlar!$B$2*ABS(Bitkiler!$D$56-Topraklar!$D$8)+Ayarlar!$B$3*ABS(Bitkiler!$E$56-Topraklar!$E$8)+Ayarlar!$B$4*ABS(Bitkiler!$F$56-Topraklar!$F$8)+Ayarlar!$B$5*ABS(Bitkiler!$G$56-Topraklar!$G$8)+Ayarlar!$B$6*IF(Bitkiler!$H$56=Topraklar!$H$8,0,1))/Ayarlar!$B$7)+IF(Topraklar!$K$8=Bitkiler!$C$56,0.002,IF(Topraklar!$L$8="Evet",0.001,0)))</f>
        <v/>
      </c>
      <c r="I57" s="16">
        <f>IF(OR(Topraklar!$J$9="Evet",AND(Topraklar!$L$9&lt;&gt;"Evet",Topraklar!$K$9&lt;&gt;Bitkiler!$C$56)),0,MAX(0,1-(Ayarlar!$B$2*ABS(Bitkiler!$D$56-Topraklar!$D$9)+Ayarlar!$B$3*ABS(Bitkiler!$E$56-Topraklar!$E$9)+Ayarlar!$B$4*ABS(Bitkiler!$F$56-Topraklar!$F$9)+Ayarlar!$B$5*ABS(Bitkiler!$G$56-Topraklar!$G$9)+Ayarlar!$B$6*IF(Bitkiler!$H$56=Topraklar!$H$9,0,1))/Ayarlar!$B$7)+IF(Topraklar!$K$9=Bitkiler!$C$56,0.002,IF(Topraklar!$L$9="Evet",0.001,0)))</f>
        <v/>
      </c>
      <c r="J57" s="16">
        <f>IF(OR(Topraklar!$J$10="Evet",AND(Topraklar!$L$10&lt;&gt;"Evet",Topraklar!$K$10&lt;&gt;Bitkiler!$C$56)),0,MAX(0,1-(Ayarlar!$B$2*ABS(Bitkiler!$D$56-Topraklar!$D$10)+Ayarlar!$B$3*ABS(Bitkiler!$E$56-Topraklar!$E$10)+Ayarlar!$B$4*ABS(Bitkiler!$F$56-Topraklar!$F$10)+Ayarlar!$B$5*ABS(Bitkiler!$G$56-Topraklar!$G$10)+Ayarlar!$B$6*IF(Bitkiler!$H$56=Topraklar!$H$10,0,1))/Ayarlar!$B$7)+IF(Topraklar!$K$10=Bitkiler!$C$56,0.002,IF(Topraklar!$L$10="Evet",0.001,0)))</f>
        <v/>
      </c>
      <c r="K57" s="16">
        <f>IF(OR(Topraklar!$J$11="Evet",AND(Topraklar!$L$11&lt;&gt;"Evet",Topraklar!$K$11&lt;&gt;Bitkiler!$C$56)),0,MAX(0,1-(Ayarlar!$B$2*ABS(Bitkiler!$D$56-Topraklar!$D$11)+Ayarlar!$B$3*ABS(Bitkiler!$E$56-Topraklar!$E$11)+Ayarlar!$B$4*ABS(Bitkiler!$F$56-Topraklar!$F$11)+Ayarlar!$B$5*ABS(Bitkiler!$G$56-Topraklar!$G$11)+Ayarlar!$B$6*IF(Bitkiler!$H$56=Topraklar!$H$11,0,1))/Ayarlar!$B$7)+IF(Topraklar!$K$11=Bitkiler!$C$56,0.002,IF(Topraklar!$L$11="Evet",0.001,0)))</f>
        <v/>
      </c>
      <c r="L57" s="16">
        <f>IF(OR(Topraklar!$J$12="Evet",AND(Topraklar!$L$12&lt;&gt;"Evet",Topraklar!$K$12&lt;&gt;Bitkiler!$C$56)),0,MAX(0,1-(Ayarlar!$B$2*ABS(Bitkiler!$D$56-Topraklar!$D$12)+Ayarlar!$B$3*ABS(Bitkiler!$E$56-Topraklar!$E$12)+Ayarlar!$B$4*ABS(Bitkiler!$F$56-Topraklar!$F$12)+Ayarlar!$B$5*ABS(Bitkiler!$G$56-Topraklar!$G$12)+Ayarlar!$B$6*IF(Bitkiler!$H$56=Topraklar!$H$12,0,1))/Ayarlar!$B$7)+IF(Topraklar!$K$12=Bitkiler!$C$56,0.002,IF(Topraklar!$L$12="Evet",0.001,0)))</f>
        <v/>
      </c>
      <c r="M57" s="16">
        <f>IF(OR(Topraklar!$J$13="Evet",AND(Topraklar!$L$13&lt;&gt;"Evet",Topraklar!$K$13&lt;&gt;Bitkiler!$C$56)),0,MAX(0,1-(Ayarlar!$B$2*ABS(Bitkiler!$D$56-Topraklar!$D$13)+Ayarlar!$B$3*ABS(Bitkiler!$E$56-Topraklar!$E$13)+Ayarlar!$B$4*ABS(Bitkiler!$F$56-Topraklar!$F$13)+Ayarlar!$B$5*ABS(Bitkiler!$G$56-Topraklar!$G$13)+Ayarlar!$B$6*IF(Bitkiler!$H$56=Topraklar!$H$13,0,1))/Ayarlar!$B$7)+IF(Topraklar!$K$13=Bitkiler!$C$56,0.002,IF(Topraklar!$L$13="Evet",0.001,0)))</f>
        <v/>
      </c>
      <c r="N57" s="16">
        <f>IF(OR(Topraklar!$J$14="Evet",AND(Topraklar!$L$14&lt;&gt;"Evet",Topraklar!$K$14&lt;&gt;Bitkiler!$C$56)),0,MAX(0,1-(Ayarlar!$B$2*ABS(Bitkiler!$D$56-Topraklar!$D$14)+Ayarlar!$B$3*ABS(Bitkiler!$E$56-Topraklar!$E$14)+Ayarlar!$B$4*ABS(Bitkiler!$F$56-Topraklar!$F$14)+Ayarlar!$B$5*ABS(Bitkiler!$G$56-Topraklar!$G$14)+Ayarlar!$B$6*IF(Bitkiler!$H$56=Topraklar!$H$14,0,1))/Ayarlar!$B$7)+IF(Topraklar!$K$14=Bitkiler!$C$56,0.002,IF(Topraklar!$L$14="Evet",0.001,0)))</f>
        <v/>
      </c>
      <c r="O57" s="16">
        <f>IF(OR(Topraklar!$J$15="Evet",AND(Topraklar!$L$15&lt;&gt;"Evet",Topraklar!$K$15&lt;&gt;Bitkiler!$C$56)),0,MAX(0,1-(Ayarlar!$B$2*ABS(Bitkiler!$D$56-Topraklar!$D$15)+Ayarlar!$B$3*ABS(Bitkiler!$E$56-Topraklar!$E$15)+Ayarlar!$B$4*ABS(Bitkiler!$F$56-Topraklar!$F$15)+Ayarlar!$B$5*ABS(Bitkiler!$G$56-Topraklar!$G$15)+Ayarlar!$B$6*IF(Bitkiler!$H$56=Topraklar!$H$15,0,1))/Ayarlar!$B$7)+IF(Topraklar!$K$15=Bitkiler!$C$56,0.002,IF(Topraklar!$L$15="Evet",0.001,0)))</f>
        <v/>
      </c>
      <c r="P57" s="16">
        <f>IF(OR(Topraklar!$J$16="Evet",AND(Topraklar!$L$16&lt;&gt;"Evet",Topraklar!$K$16&lt;&gt;Bitkiler!$C$56)),0,MAX(0,1-(Ayarlar!$B$2*ABS(Bitkiler!$D$56-Topraklar!$D$16)+Ayarlar!$B$3*ABS(Bitkiler!$E$56-Topraklar!$E$16)+Ayarlar!$B$4*ABS(Bitkiler!$F$56-Topraklar!$F$16)+Ayarlar!$B$5*ABS(Bitkiler!$G$56-Topraklar!$G$16)+Ayarlar!$B$6*IF(Bitkiler!$H$56=Topraklar!$H$16,0,1))/Ayarlar!$B$7)+IF(Topraklar!$K$16=Bitkiler!$C$56,0.002,IF(Topraklar!$L$16="Evet",0.001,0)))</f>
        <v/>
      </c>
      <c r="Q57" s="16">
        <f>IF(OR(Topraklar!$J$17="Evet",AND(Topraklar!$L$17&lt;&gt;"Evet",Topraklar!$K$17&lt;&gt;Bitkiler!$C$56)),0,MAX(0,1-(Ayarlar!$B$2*ABS(Bitkiler!$D$56-Topraklar!$D$17)+Ayarlar!$B$3*ABS(Bitkiler!$E$56-Topraklar!$E$17)+Ayarlar!$B$4*ABS(Bitkiler!$F$56-Topraklar!$F$17)+Ayarlar!$B$5*ABS(Bitkiler!$G$56-Topraklar!$G$17)+Ayarlar!$B$6*IF(Bitkiler!$H$56=Topraklar!$H$17,0,1))/Ayarlar!$B$7)+IF(Topraklar!$K$17=Bitkiler!$C$56,0.002,IF(Topraklar!$L$17="Evet",0.001,0)))</f>
        <v/>
      </c>
      <c r="R57" s="16">
        <f>IF(OR(Topraklar!$J$18="Evet",AND(Topraklar!$L$18&lt;&gt;"Evet",Topraklar!$K$18&lt;&gt;Bitkiler!$C$56)),0,MAX(0,1-(Ayarlar!$B$2*ABS(Bitkiler!$D$56-Topraklar!$D$18)+Ayarlar!$B$3*ABS(Bitkiler!$E$56-Topraklar!$E$18)+Ayarlar!$B$4*ABS(Bitkiler!$F$56-Topraklar!$F$18)+Ayarlar!$B$5*ABS(Bitkiler!$G$56-Topraklar!$G$18)+Ayarlar!$B$6*IF(Bitkiler!$H$56=Topraklar!$H$18,0,1))/Ayarlar!$B$7)+IF(Topraklar!$K$18=Bitkiler!$C$56,0.002,IF(Topraklar!$L$18="Evet",0.001,0)))</f>
        <v/>
      </c>
      <c r="S57" s="16">
        <f>IF(OR(Topraklar!$J$19="Evet",AND(Topraklar!$L$19&lt;&gt;"Evet",Topraklar!$K$19&lt;&gt;Bitkiler!$C$56)),0,MAX(0,1-(Ayarlar!$B$2*ABS(Bitkiler!$D$56-Topraklar!$D$19)+Ayarlar!$B$3*ABS(Bitkiler!$E$56-Topraklar!$E$19)+Ayarlar!$B$4*ABS(Bitkiler!$F$56-Topraklar!$F$19)+Ayarlar!$B$5*ABS(Bitkiler!$G$56-Topraklar!$G$19)+Ayarlar!$B$6*IF(Bitkiler!$H$56=Topraklar!$H$19,0,1))/Ayarlar!$B$7)+IF(Topraklar!$K$19=Bitkiler!$C$56,0.002,IF(Topraklar!$L$19="Evet",0.001,0)))</f>
        <v/>
      </c>
      <c r="T57" s="16">
        <f>IF(OR(Topraklar!$J$20="Evet",AND(Topraklar!$L$20&lt;&gt;"Evet",Topraklar!$K$20&lt;&gt;Bitkiler!$C$56)),0,MAX(0,1-(Ayarlar!$B$2*ABS(Bitkiler!$D$56-Topraklar!$D$20)+Ayarlar!$B$3*ABS(Bitkiler!$E$56-Topraklar!$E$20)+Ayarlar!$B$4*ABS(Bitkiler!$F$56-Topraklar!$F$20)+Ayarlar!$B$5*ABS(Bitkiler!$G$56-Topraklar!$G$20)+Ayarlar!$B$6*IF(Bitkiler!$H$56=Topraklar!$H$20,0,1))/Ayarlar!$B$7)+IF(Topraklar!$K$20=Bitkiler!$C$56,0.002,IF(Topraklar!$L$20="Evet",0.001,0)))</f>
        <v/>
      </c>
      <c r="U57" s="16">
        <f>IF(OR(Topraklar!$J$21="Evet",AND(Topraklar!$L$21&lt;&gt;"Evet",Topraklar!$K$21&lt;&gt;Bitkiler!$C$56)),0,MAX(0,1-(Ayarlar!$B$2*ABS(Bitkiler!$D$56-Topraklar!$D$21)+Ayarlar!$B$3*ABS(Bitkiler!$E$56-Topraklar!$E$21)+Ayarlar!$B$4*ABS(Bitkiler!$F$56-Topraklar!$F$21)+Ayarlar!$B$5*ABS(Bitkiler!$G$56-Topraklar!$G$21)+Ayarlar!$B$6*IF(Bitkiler!$H$56=Topraklar!$H$21,0,1))/Ayarlar!$B$7)+IF(Topraklar!$K$21=Bitkiler!$C$56,0.002,IF(Topraklar!$L$21="Evet",0.001,0)))</f>
        <v/>
      </c>
      <c r="V57" s="16">
        <f>IF(OR(Topraklar!$J$22="Evet",AND(Topraklar!$L$22&lt;&gt;"Evet",Topraklar!$K$22&lt;&gt;Bitkiler!$C$56)),0,MAX(0,1-(Ayarlar!$B$2*ABS(Bitkiler!$D$56-Topraklar!$D$22)+Ayarlar!$B$3*ABS(Bitkiler!$E$56-Topraklar!$E$22)+Ayarlar!$B$4*ABS(Bitkiler!$F$56-Topraklar!$F$22)+Ayarlar!$B$5*ABS(Bitkiler!$G$56-Topraklar!$G$22)+Ayarlar!$B$6*IF(Bitkiler!$H$56=Topraklar!$H$22,0,1))/Ayarlar!$B$7)+IF(Topraklar!$K$22=Bitkiler!$C$56,0.002,IF(Topraklar!$L$22="Evet",0.001,0)))</f>
        <v/>
      </c>
      <c r="W57" s="16">
        <f>IF(OR(Topraklar!$J$23="Evet",AND(Topraklar!$L$23&lt;&gt;"Evet",Topraklar!$K$23&lt;&gt;Bitkiler!$C$56)),0,MAX(0,1-(Ayarlar!$B$2*ABS(Bitkiler!$D$56-Topraklar!$D$23)+Ayarlar!$B$3*ABS(Bitkiler!$E$56-Topraklar!$E$23)+Ayarlar!$B$4*ABS(Bitkiler!$F$56-Topraklar!$F$23)+Ayarlar!$B$5*ABS(Bitkiler!$G$56-Topraklar!$G$23)+Ayarlar!$B$6*IF(Bitkiler!$H$56=Topraklar!$H$23,0,1))/Ayarlar!$B$7)+IF(Topraklar!$K$23=Bitkiler!$C$56,0.002,IF(Topraklar!$L$23="Evet",0.001,0)))</f>
        <v/>
      </c>
      <c r="X57" s="16">
        <f>IF(OR(Topraklar!$J$24="Evet",AND(Topraklar!$L$24&lt;&gt;"Evet",Topraklar!$K$24&lt;&gt;Bitkiler!$C$56)),0,MAX(0,1-(Ayarlar!$B$2*ABS(Bitkiler!$D$56-Topraklar!$D$24)+Ayarlar!$B$3*ABS(Bitkiler!$E$56-Topraklar!$E$24)+Ayarlar!$B$4*ABS(Bitkiler!$F$56-Topraklar!$F$24)+Ayarlar!$B$5*ABS(Bitkiler!$G$56-Topraklar!$G$24)+Ayarlar!$B$6*IF(Bitkiler!$H$56=Topraklar!$H$24,0,1))/Ayarlar!$B$7)+IF(Topraklar!$K$24=Bitkiler!$C$56,0.002,IF(Topraklar!$L$24="Evet",0.001,0)))</f>
        <v/>
      </c>
      <c r="Y57" s="16">
        <f>IF(OR(Topraklar!$J$25="Evet",AND(Topraklar!$L$25&lt;&gt;"Evet",Topraklar!$K$25&lt;&gt;Bitkiler!$C$56)),0,MAX(0,1-(Ayarlar!$B$2*ABS(Bitkiler!$D$56-Topraklar!$D$25)+Ayarlar!$B$3*ABS(Bitkiler!$E$56-Topraklar!$E$25)+Ayarlar!$B$4*ABS(Bitkiler!$F$56-Topraklar!$F$25)+Ayarlar!$B$5*ABS(Bitkiler!$G$56-Topraklar!$G$25)+Ayarlar!$B$6*IF(Bitkiler!$H$56=Topraklar!$H$25,0,1))/Ayarlar!$B$7)+IF(Topraklar!$K$25=Bitkiler!$C$56,0.002,IF(Topraklar!$L$25="Evet",0.001,0)))</f>
        <v/>
      </c>
      <c r="Z57" s="16">
        <f>IF(OR(Topraklar!$J$26="Evet",AND(Topraklar!$L$26&lt;&gt;"Evet",Topraklar!$K$26&lt;&gt;Bitkiler!$C$56)),0,MAX(0,1-(Ayarlar!$B$2*ABS(Bitkiler!$D$56-Topraklar!$D$26)+Ayarlar!$B$3*ABS(Bitkiler!$E$56-Topraklar!$E$26)+Ayarlar!$B$4*ABS(Bitkiler!$F$56-Topraklar!$F$26)+Ayarlar!$B$5*ABS(Bitkiler!$G$56-Topraklar!$G$26)+Ayarlar!$B$6*IF(Bitkiler!$H$56=Topraklar!$H$26,0,1))/Ayarlar!$B$7)+IF(Topraklar!$K$26=Bitkiler!$C$56,0.002,IF(Topraklar!$L$26="Evet",0.001,0)))</f>
        <v/>
      </c>
      <c r="AA57" s="16">
        <f>IF(OR(Topraklar!$J$27="Evet",AND(Topraklar!$L$27&lt;&gt;"Evet",Topraklar!$K$27&lt;&gt;Bitkiler!$C$56)),0,MAX(0,1-(Ayarlar!$B$2*ABS(Bitkiler!$D$56-Topraklar!$D$27)+Ayarlar!$B$3*ABS(Bitkiler!$E$56-Topraklar!$E$27)+Ayarlar!$B$4*ABS(Bitkiler!$F$56-Topraklar!$F$27)+Ayarlar!$B$5*ABS(Bitkiler!$G$56-Topraklar!$G$27)+Ayarlar!$B$6*IF(Bitkiler!$H$56=Topraklar!$H$27,0,1))/Ayarlar!$B$7)+IF(Topraklar!$K$27=Bitkiler!$C$56,0.002,IF(Topraklar!$L$27="Evet",0.001,0)))</f>
        <v/>
      </c>
      <c r="AB57" s="16">
        <f>IF(OR(Topraklar!$J$28="Evet",AND(Topraklar!$L$28&lt;&gt;"Evet",Topraklar!$K$28&lt;&gt;Bitkiler!$C$56)),0,MAX(0,1-(Ayarlar!$B$2*ABS(Bitkiler!$D$56-Topraklar!$D$28)+Ayarlar!$B$3*ABS(Bitkiler!$E$56-Topraklar!$E$28)+Ayarlar!$B$4*ABS(Bitkiler!$F$56-Topraklar!$F$28)+Ayarlar!$B$5*ABS(Bitkiler!$G$56-Topraklar!$G$28)+Ayarlar!$B$6*IF(Bitkiler!$H$56=Topraklar!$H$28,0,1))/Ayarlar!$B$7)+IF(Topraklar!$K$28=Bitkiler!$C$56,0.002,IF(Topraklar!$L$28="Evet",0.001,0)))</f>
        <v/>
      </c>
      <c r="AC57" s="16">
        <f>IF(OR(Topraklar!$J$29="Evet",AND(Topraklar!$L$29&lt;&gt;"Evet",Topraklar!$K$29&lt;&gt;Bitkiler!$C$56)),0,MAX(0,1-(Ayarlar!$B$2*ABS(Bitkiler!$D$56-Topraklar!$D$29)+Ayarlar!$B$3*ABS(Bitkiler!$E$56-Topraklar!$E$29)+Ayarlar!$B$4*ABS(Bitkiler!$F$56-Topraklar!$F$29)+Ayarlar!$B$5*ABS(Bitkiler!$G$56-Topraklar!$G$29)+Ayarlar!$B$6*IF(Bitkiler!$H$56=Topraklar!$H$29,0,1))/Ayarlar!$B$7)+IF(Topraklar!$K$29=Bitkiler!$C$56,0.002,IF(Topraklar!$L$29="Evet",0.001,0)))</f>
        <v/>
      </c>
      <c r="AD57" s="16">
        <f>IF(OR(Topraklar!$J$30="Evet",AND(Topraklar!$L$30&lt;&gt;"Evet",Topraklar!$K$30&lt;&gt;Bitkiler!$C$56)),0,MAX(0,1-(Ayarlar!$B$2*ABS(Bitkiler!$D$56-Topraklar!$D$30)+Ayarlar!$B$3*ABS(Bitkiler!$E$56-Topraklar!$E$30)+Ayarlar!$B$4*ABS(Bitkiler!$F$56-Topraklar!$F$30)+Ayarlar!$B$5*ABS(Bitkiler!$G$56-Topraklar!$G$30)+Ayarlar!$B$6*IF(Bitkiler!$H$56=Topraklar!$H$30,0,1))/Ayarlar!$B$7)+IF(Topraklar!$K$30=Bitkiler!$C$56,0.002,IF(Topraklar!$L$30="Evet",0.001,0)))</f>
        <v/>
      </c>
      <c r="AE57" s="16">
        <f>IF(OR(Topraklar!$J$31="Evet",AND(Topraklar!$L$31&lt;&gt;"Evet",Topraklar!$K$31&lt;&gt;Bitkiler!$C$56)),0,MAX(0,1-(Ayarlar!$B$2*ABS(Bitkiler!$D$56-Topraklar!$D$31)+Ayarlar!$B$3*ABS(Bitkiler!$E$56-Topraklar!$E$31)+Ayarlar!$B$4*ABS(Bitkiler!$F$56-Topraklar!$F$31)+Ayarlar!$B$5*ABS(Bitkiler!$G$56-Topraklar!$G$31)+Ayarlar!$B$6*IF(Bitkiler!$H$56=Topraklar!$H$31,0,1))/Ayarlar!$B$7)+IF(Topraklar!$K$31=Bitkiler!$C$56,0.002,IF(Topraklar!$L$31="Evet",0.001,0)))</f>
        <v/>
      </c>
      <c r="AF57" s="16">
        <f>IF(OR(Topraklar!$J$32="Evet",AND(Topraklar!$L$32&lt;&gt;"Evet",Topraklar!$K$32&lt;&gt;Bitkiler!$C$56)),0,MAX(0,1-(Ayarlar!$B$2*ABS(Bitkiler!$D$56-Topraklar!$D$32)+Ayarlar!$B$3*ABS(Bitkiler!$E$56-Topraklar!$E$32)+Ayarlar!$B$4*ABS(Bitkiler!$F$56-Topraklar!$F$32)+Ayarlar!$B$5*ABS(Bitkiler!$G$56-Topraklar!$G$32)+Ayarlar!$B$6*IF(Bitkiler!$H$56=Topraklar!$H$32,0,1))/Ayarlar!$B$7)+IF(Topraklar!$K$32=Bitkiler!$C$56,0.002,IF(Topraklar!$L$32="Evet",0.001,0)))</f>
        <v/>
      </c>
      <c r="AG57" s="16">
        <f>IF(OR(Topraklar!$J$33="Evet",AND(Topraklar!$L$33&lt;&gt;"Evet",Topraklar!$K$33&lt;&gt;Bitkiler!$C$56)),0,MAX(0,1-(Ayarlar!$B$2*ABS(Bitkiler!$D$56-Topraklar!$D$33)+Ayarlar!$B$3*ABS(Bitkiler!$E$56-Topraklar!$E$33)+Ayarlar!$B$4*ABS(Bitkiler!$F$56-Topraklar!$F$33)+Ayarlar!$B$5*ABS(Bitkiler!$G$56-Topraklar!$G$33)+Ayarlar!$B$6*IF(Bitkiler!$H$56=Topraklar!$H$33,0,1))/Ayarlar!$B$7)+IF(Topraklar!$K$33=Bitkiler!$C$56,0.002,IF(Topraklar!$L$33="Evet",0.001,0)))</f>
        <v/>
      </c>
      <c r="AH57" s="16">
        <f>IF(OR(Topraklar!$J$34="Evet",AND(Topraklar!$L$34&lt;&gt;"Evet",Topraklar!$K$34&lt;&gt;Bitkiler!$C$56)),0,MAX(0,1-(Ayarlar!$B$2*ABS(Bitkiler!$D$56-Topraklar!$D$34)+Ayarlar!$B$3*ABS(Bitkiler!$E$56-Topraklar!$E$34)+Ayarlar!$B$4*ABS(Bitkiler!$F$56-Topraklar!$F$34)+Ayarlar!$B$5*ABS(Bitkiler!$G$56-Topraklar!$G$34)+Ayarlar!$B$6*IF(Bitkiler!$H$56=Topraklar!$H$34,0,1))/Ayarlar!$B$7)+IF(Topraklar!$K$34=Bitkiler!$C$56,0.002,IF(Topraklar!$L$34="Evet",0.001,0)))</f>
        <v/>
      </c>
      <c r="AI57" s="16">
        <f>IF(OR(Topraklar!$J$35="Evet",AND(Topraklar!$L$35&lt;&gt;"Evet",Topraklar!$K$35&lt;&gt;Bitkiler!$C$56)),0,MAX(0,1-(Ayarlar!$B$2*ABS(Bitkiler!$D$56-Topraklar!$D$35)+Ayarlar!$B$3*ABS(Bitkiler!$E$56-Topraklar!$E$35)+Ayarlar!$B$4*ABS(Bitkiler!$F$56-Topraklar!$F$35)+Ayarlar!$B$5*ABS(Bitkiler!$G$56-Topraklar!$G$35)+Ayarlar!$B$6*IF(Bitkiler!$H$56=Topraklar!$H$35,0,1))/Ayarlar!$B$7)+IF(Topraklar!$K$35=Bitkiler!$C$56,0.002,IF(Topraklar!$L$35="Evet",0.001,0)))</f>
        <v/>
      </c>
      <c r="AJ57" s="16">
        <f>IF(OR(Topraklar!$J$36="Evet",AND(Topraklar!$L$36&lt;&gt;"Evet",Topraklar!$K$36&lt;&gt;Bitkiler!$C$56)),0,MAX(0,1-(Ayarlar!$B$2*ABS(Bitkiler!$D$56-Topraklar!$D$36)+Ayarlar!$B$3*ABS(Bitkiler!$E$56-Topraklar!$E$36)+Ayarlar!$B$4*ABS(Bitkiler!$F$56-Topraklar!$F$36)+Ayarlar!$B$5*ABS(Bitkiler!$G$56-Topraklar!$G$36)+Ayarlar!$B$6*IF(Bitkiler!$H$56=Topraklar!$H$36,0,1))/Ayarlar!$B$7)+IF(Topraklar!$K$36=Bitkiler!$C$56,0.002,IF(Topraklar!$L$36="Evet",0.001,0)))</f>
        <v/>
      </c>
      <c r="AK57" s="16">
        <f>IF(OR(Topraklar!$J$37="Evet",AND(Topraklar!$L$37&lt;&gt;"Evet",Topraklar!$K$37&lt;&gt;Bitkiler!$C$56)),0,MAX(0,1-(Ayarlar!$B$2*ABS(Bitkiler!$D$56-Topraklar!$D$37)+Ayarlar!$B$3*ABS(Bitkiler!$E$56-Topraklar!$E$37)+Ayarlar!$B$4*ABS(Bitkiler!$F$56-Topraklar!$F$37)+Ayarlar!$B$5*ABS(Bitkiler!$G$56-Topraklar!$G$37)+Ayarlar!$B$6*IF(Bitkiler!$H$56=Topraklar!$H$37,0,1))/Ayarlar!$B$7)+IF(Topraklar!$K$37=Bitkiler!$C$56,0.002,IF(Topraklar!$L$37="Evet",0.001,0)))</f>
        <v/>
      </c>
      <c r="AL57" s="16">
        <f>IF(OR(Topraklar!$J$38="Evet",AND(Topraklar!$L$38&lt;&gt;"Evet",Topraklar!$K$38&lt;&gt;Bitkiler!$C$56)),0,MAX(0,1-(Ayarlar!$B$2*ABS(Bitkiler!$D$56-Topraklar!$D$38)+Ayarlar!$B$3*ABS(Bitkiler!$E$56-Topraklar!$E$38)+Ayarlar!$B$4*ABS(Bitkiler!$F$56-Topraklar!$F$38)+Ayarlar!$B$5*ABS(Bitkiler!$G$56-Topraklar!$G$38)+Ayarlar!$B$6*IF(Bitkiler!$H$56=Topraklar!$H$38,0,1))/Ayarlar!$B$7)+IF(Topraklar!$K$38=Bitkiler!$C$56,0.002,IF(Topraklar!$L$38="Evet",0.001,0)))</f>
        <v/>
      </c>
      <c r="AM57" s="16">
        <f>IF(OR(Topraklar!$J$39="Evet",AND(Topraklar!$L$39&lt;&gt;"Evet",Topraklar!$K$39&lt;&gt;Bitkiler!$C$56)),0,MAX(0,1-(Ayarlar!$B$2*ABS(Bitkiler!$D$56-Topraklar!$D$39)+Ayarlar!$B$3*ABS(Bitkiler!$E$56-Topraklar!$E$39)+Ayarlar!$B$4*ABS(Bitkiler!$F$56-Topraklar!$F$39)+Ayarlar!$B$5*ABS(Bitkiler!$G$56-Topraklar!$G$39)+Ayarlar!$B$6*IF(Bitkiler!$H$56=Topraklar!$H$39,0,1))/Ayarlar!$B$7)+IF(Topraklar!$K$39=Bitkiler!$C$56,0.002,IF(Topraklar!$L$39="Evet",0.001,0)))</f>
        <v/>
      </c>
      <c r="AN57" s="16">
        <f>IF(OR(Topraklar!$J$40="Evet",AND(Topraklar!$L$40&lt;&gt;"Evet",Topraklar!$K$40&lt;&gt;Bitkiler!$C$56)),0,MAX(0,1-(Ayarlar!$B$2*ABS(Bitkiler!$D$56-Topraklar!$D$40)+Ayarlar!$B$3*ABS(Bitkiler!$E$56-Topraklar!$E$40)+Ayarlar!$B$4*ABS(Bitkiler!$F$56-Topraklar!$F$40)+Ayarlar!$B$5*ABS(Bitkiler!$G$56-Topraklar!$G$40)+Ayarlar!$B$6*IF(Bitkiler!$H$56=Topraklar!$H$40,0,1))/Ayarlar!$B$7)+IF(Topraklar!$K$40=Bitkiler!$C$56,0.002,IF(Topraklar!$L$40="Evet",0.001,0)))</f>
        <v/>
      </c>
      <c r="AO57" s="16">
        <f>IF(OR(Topraklar!$J$41="Evet",AND(Topraklar!$L$41&lt;&gt;"Evet",Topraklar!$K$41&lt;&gt;Bitkiler!$C$56)),0,MAX(0,1-(Ayarlar!$B$2*ABS(Bitkiler!$D$56-Topraklar!$D$41)+Ayarlar!$B$3*ABS(Bitkiler!$E$56-Topraklar!$E$41)+Ayarlar!$B$4*ABS(Bitkiler!$F$56-Topraklar!$F$41)+Ayarlar!$B$5*ABS(Bitkiler!$G$56-Topraklar!$G$41)+Ayarlar!$B$6*IF(Bitkiler!$H$56=Topraklar!$H$41,0,1))/Ayarlar!$B$7)+IF(Topraklar!$K$41=Bitkiler!$C$56,0.002,IF(Topraklar!$L$41="Evet",0.001,0)))</f>
        <v/>
      </c>
      <c r="AP57" s="16">
        <f>IF(OR(Topraklar!$J$42="Evet",AND(Topraklar!$L$42&lt;&gt;"Evet",Topraklar!$K$42&lt;&gt;Bitkiler!$C$56)),0,MAX(0,1-(Ayarlar!$B$2*ABS(Bitkiler!$D$56-Topraklar!$D$42)+Ayarlar!$B$3*ABS(Bitkiler!$E$56-Topraklar!$E$42)+Ayarlar!$B$4*ABS(Bitkiler!$F$56-Topraklar!$F$42)+Ayarlar!$B$5*ABS(Bitkiler!$G$56-Topraklar!$G$42)+Ayarlar!$B$6*IF(Bitkiler!$H$56=Topraklar!$H$42,0,1))/Ayarlar!$B$7)+IF(Topraklar!$K$42=Bitkiler!$C$56,0.002,IF(Topraklar!$L$42="Evet",0.001,0)))</f>
        <v/>
      </c>
      <c r="AQ57" s="16">
        <f>IF(OR(Topraklar!$J$43="Evet",AND(Topraklar!$L$43&lt;&gt;"Evet",Topraklar!$K$43&lt;&gt;Bitkiler!$C$56)),0,MAX(0,1-(Ayarlar!$B$2*ABS(Bitkiler!$D$56-Topraklar!$D$43)+Ayarlar!$B$3*ABS(Bitkiler!$E$56-Topraklar!$E$43)+Ayarlar!$B$4*ABS(Bitkiler!$F$56-Topraklar!$F$43)+Ayarlar!$B$5*ABS(Bitkiler!$G$56-Topraklar!$G$43)+Ayarlar!$B$6*IF(Bitkiler!$H$56=Topraklar!$H$43,0,1))/Ayarlar!$B$7)+IF(Topraklar!$K$43=Bitkiler!$C$56,0.002,IF(Topraklar!$L$43="Evet",0.001,0)))</f>
        <v/>
      </c>
      <c r="AR57" s="16">
        <f>IF(OR(Topraklar!$J$44="Evet",AND(Topraklar!$L$44&lt;&gt;"Evet",Topraklar!$K$44&lt;&gt;Bitkiler!$C$56)),0,MAX(0,1-(Ayarlar!$B$2*ABS(Bitkiler!$D$56-Topraklar!$D$44)+Ayarlar!$B$3*ABS(Bitkiler!$E$56-Topraklar!$E$44)+Ayarlar!$B$4*ABS(Bitkiler!$F$56-Topraklar!$F$44)+Ayarlar!$B$5*ABS(Bitkiler!$G$56-Topraklar!$G$44)+Ayarlar!$B$6*IF(Bitkiler!$H$56=Topraklar!$H$44,0,1))/Ayarlar!$B$7)+IF(Topraklar!$K$44=Bitkiler!$C$56,0.002,IF(Topraklar!$L$44="Evet",0.001,0)))</f>
        <v/>
      </c>
      <c r="AS57" s="16">
        <f>IF(OR(Topraklar!$J$45="Evet",AND(Topraklar!$L$45&lt;&gt;"Evet",Topraklar!$K$45&lt;&gt;Bitkiler!$C$56)),0,MAX(0,1-(Ayarlar!$B$2*ABS(Bitkiler!$D$56-Topraklar!$D$45)+Ayarlar!$B$3*ABS(Bitkiler!$E$56-Topraklar!$E$45)+Ayarlar!$B$4*ABS(Bitkiler!$F$56-Topraklar!$F$45)+Ayarlar!$B$5*ABS(Bitkiler!$G$56-Topraklar!$G$45)+Ayarlar!$B$6*IF(Bitkiler!$H$56=Topraklar!$H$45,0,1))/Ayarlar!$B$7)+IF(Topraklar!$K$45=Bitkiler!$C$56,0.002,IF(Topraklar!$L$45="Evet",0.001,0)))</f>
        <v/>
      </c>
      <c r="AT57" s="16">
        <f>IF(OR(Topraklar!$J$46="Evet",AND(Topraklar!$L$46&lt;&gt;"Evet",Topraklar!$K$46&lt;&gt;Bitkiler!$C$56)),0,MAX(0,1-(Ayarlar!$B$2*ABS(Bitkiler!$D$56-Topraklar!$D$46)+Ayarlar!$B$3*ABS(Bitkiler!$E$56-Topraklar!$E$46)+Ayarlar!$B$4*ABS(Bitkiler!$F$56-Topraklar!$F$46)+Ayarlar!$B$5*ABS(Bitkiler!$G$56-Topraklar!$G$46)+Ayarlar!$B$6*IF(Bitkiler!$H$56=Topraklar!$H$46,0,1))/Ayarlar!$B$7)+IF(Topraklar!$K$46=Bitkiler!$C$56,0.002,IF(Topraklar!$L$46="Evet",0.001,0)))</f>
        <v/>
      </c>
      <c r="AU57" s="16">
        <f>IF(OR(Topraklar!$J$47="Evet",AND(Topraklar!$L$47&lt;&gt;"Evet",Topraklar!$K$47&lt;&gt;Bitkiler!$C$56)),0,MAX(0,1-(Ayarlar!$B$2*ABS(Bitkiler!$D$56-Topraklar!$D$47)+Ayarlar!$B$3*ABS(Bitkiler!$E$56-Topraklar!$E$47)+Ayarlar!$B$4*ABS(Bitkiler!$F$56-Topraklar!$F$47)+Ayarlar!$B$5*ABS(Bitkiler!$G$56-Topraklar!$G$47)+Ayarlar!$B$6*IF(Bitkiler!$H$56=Topraklar!$H$47,0,1))/Ayarlar!$B$7)+IF(Topraklar!$K$47=Bitkiler!$C$56,0.002,IF(Topraklar!$L$47="Evet",0.001,0)))</f>
        <v/>
      </c>
      <c r="AV57" s="16">
        <f>IF(OR(Topraklar!$J$48="Evet",AND(Topraklar!$L$48&lt;&gt;"Evet",Topraklar!$K$48&lt;&gt;Bitkiler!$C$56)),0,MAX(0,1-(Ayarlar!$B$2*ABS(Bitkiler!$D$56-Topraklar!$D$48)+Ayarlar!$B$3*ABS(Bitkiler!$E$56-Topraklar!$E$48)+Ayarlar!$B$4*ABS(Bitkiler!$F$56-Topraklar!$F$48)+Ayarlar!$B$5*ABS(Bitkiler!$G$56-Topraklar!$G$48)+Ayarlar!$B$6*IF(Bitkiler!$H$56=Topraklar!$H$48,0,1))/Ayarlar!$B$7)+IF(Topraklar!$K$48=Bitkiler!$C$56,0.002,IF(Topraklar!$L$48="Evet",0.001,0)))</f>
        <v/>
      </c>
      <c r="AW57" s="16">
        <f>IF(OR(Topraklar!$J$49="Evet",AND(Topraklar!$L$49&lt;&gt;"Evet",Topraklar!$K$49&lt;&gt;Bitkiler!$C$56)),0,MAX(0,1-(Ayarlar!$B$2*ABS(Bitkiler!$D$56-Topraklar!$D$49)+Ayarlar!$B$3*ABS(Bitkiler!$E$56-Topraklar!$E$49)+Ayarlar!$B$4*ABS(Bitkiler!$F$56-Topraklar!$F$49)+Ayarlar!$B$5*ABS(Bitkiler!$G$56-Topraklar!$G$49)+Ayarlar!$B$6*IF(Bitkiler!$H$56=Topraklar!$H$49,0,1))/Ayarlar!$B$7)+IF(Topraklar!$K$49=Bitkiler!$C$56,0.002,IF(Topraklar!$L$49="Evet",0.001,0)))</f>
        <v/>
      </c>
      <c r="AX57" s="16">
        <f>IF(OR(Topraklar!$J$50="Evet",AND(Topraklar!$L$50&lt;&gt;"Evet",Topraklar!$K$50&lt;&gt;Bitkiler!$C$56)),0,MAX(0,1-(Ayarlar!$B$2*ABS(Bitkiler!$D$56-Topraklar!$D$50)+Ayarlar!$B$3*ABS(Bitkiler!$E$56-Topraklar!$E$50)+Ayarlar!$B$4*ABS(Bitkiler!$F$56-Topraklar!$F$50)+Ayarlar!$B$5*ABS(Bitkiler!$G$56-Topraklar!$G$50)+Ayarlar!$B$6*IF(Bitkiler!$H$56=Topraklar!$H$50,0,1))/Ayarlar!$B$7)+IF(Topraklar!$K$50=Bitkiler!$C$56,0.002,IF(Topraklar!$L$50="Evet",0.001,0)))</f>
        <v/>
      </c>
      <c r="AY57" s="16">
        <f>IF(OR(Topraklar!$J$51="Evet",AND(Topraklar!$L$51&lt;&gt;"Evet",Topraklar!$K$51&lt;&gt;Bitkiler!$C$56)),0,MAX(0,1-(Ayarlar!$B$2*ABS(Bitkiler!$D$56-Topraklar!$D$51)+Ayarlar!$B$3*ABS(Bitkiler!$E$56-Topraklar!$E$51)+Ayarlar!$B$4*ABS(Bitkiler!$F$56-Topraklar!$F$51)+Ayarlar!$B$5*ABS(Bitkiler!$G$56-Topraklar!$G$51)+Ayarlar!$B$6*IF(Bitkiler!$H$56=Topraklar!$H$51,0,1))/Ayarlar!$B$7)+IF(Topraklar!$K$51=Bitkiler!$C$56,0.002,IF(Topraklar!$L$51="Evet",0.001,0)))</f>
        <v/>
      </c>
    </row>
    <row r="58">
      <c r="A58" s="15">
        <f>Bitkiler!A57</f>
        <v/>
      </c>
      <c r="B58" s="16">
        <f>IF(OR(Topraklar!$J$2="Evet",AND(Topraklar!$L$2&lt;&gt;"Evet",Topraklar!$K$2&lt;&gt;Bitkiler!$C$57)),0,MAX(0,1-(Ayarlar!$B$2*ABS(Bitkiler!$D$57-Topraklar!$D$2)+Ayarlar!$B$3*ABS(Bitkiler!$E$57-Topraklar!$E$2)+Ayarlar!$B$4*ABS(Bitkiler!$F$57-Topraklar!$F$2)+Ayarlar!$B$5*ABS(Bitkiler!$G$57-Topraklar!$G$2)+Ayarlar!$B$6*IF(Bitkiler!$H$57=Topraklar!$H$2,0,1))/Ayarlar!$B$7)+IF(Topraklar!$K$2=Bitkiler!$C$57,0.002,IF(Topraklar!$L$2="Evet",0.001,0)))</f>
        <v/>
      </c>
      <c r="C58" s="16">
        <f>IF(OR(Topraklar!$J$3="Evet",AND(Topraklar!$L$3&lt;&gt;"Evet",Topraklar!$K$3&lt;&gt;Bitkiler!$C$57)),0,MAX(0,1-(Ayarlar!$B$2*ABS(Bitkiler!$D$57-Topraklar!$D$3)+Ayarlar!$B$3*ABS(Bitkiler!$E$57-Topraklar!$E$3)+Ayarlar!$B$4*ABS(Bitkiler!$F$57-Topraklar!$F$3)+Ayarlar!$B$5*ABS(Bitkiler!$G$57-Topraklar!$G$3)+Ayarlar!$B$6*IF(Bitkiler!$H$57=Topraklar!$H$3,0,1))/Ayarlar!$B$7)+IF(Topraklar!$K$3=Bitkiler!$C$57,0.002,IF(Topraklar!$L$3="Evet",0.001,0)))</f>
        <v/>
      </c>
      <c r="D58" s="16">
        <f>IF(OR(Topraklar!$J$4="Evet",AND(Topraklar!$L$4&lt;&gt;"Evet",Topraklar!$K$4&lt;&gt;Bitkiler!$C$57)),0,MAX(0,1-(Ayarlar!$B$2*ABS(Bitkiler!$D$57-Topraklar!$D$4)+Ayarlar!$B$3*ABS(Bitkiler!$E$57-Topraklar!$E$4)+Ayarlar!$B$4*ABS(Bitkiler!$F$57-Topraklar!$F$4)+Ayarlar!$B$5*ABS(Bitkiler!$G$57-Topraklar!$G$4)+Ayarlar!$B$6*IF(Bitkiler!$H$57=Topraklar!$H$4,0,1))/Ayarlar!$B$7)+IF(Topraklar!$K$4=Bitkiler!$C$57,0.002,IF(Topraklar!$L$4="Evet",0.001,0)))</f>
        <v/>
      </c>
      <c r="E58" s="16">
        <f>IF(OR(Topraklar!$J$5="Evet",AND(Topraklar!$L$5&lt;&gt;"Evet",Topraklar!$K$5&lt;&gt;Bitkiler!$C$57)),0,MAX(0,1-(Ayarlar!$B$2*ABS(Bitkiler!$D$57-Topraklar!$D$5)+Ayarlar!$B$3*ABS(Bitkiler!$E$57-Topraklar!$E$5)+Ayarlar!$B$4*ABS(Bitkiler!$F$57-Topraklar!$F$5)+Ayarlar!$B$5*ABS(Bitkiler!$G$57-Topraklar!$G$5)+Ayarlar!$B$6*IF(Bitkiler!$H$57=Topraklar!$H$5,0,1))/Ayarlar!$B$7)+IF(Topraklar!$K$5=Bitkiler!$C$57,0.002,IF(Topraklar!$L$5="Evet",0.001,0)))</f>
        <v/>
      </c>
      <c r="F58" s="16">
        <f>IF(OR(Topraklar!$J$6="Evet",AND(Topraklar!$L$6&lt;&gt;"Evet",Topraklar!$K$6&lt;&gt;Bitkiler!$C$57)),0,MAX(0,1-(Ayarlar!$B$2*ABS(Bitkiler!$D$57-Topraklar!$D$6)+Ayarlar!$B$3*ABS(Bitkiler!$E$57-Topraklar!$E$6)+Ayarlar!$B$4*ABS(Bitkiler!$F$57-Topraklar!$F$6)+Ayarlar!$B$5*ABS(Bitkiler!$G$57-Topraklar!$G$6)+Ayarlar!$B$6*IF(Bitkiler!$H$57=Topraklar!$H$6,0,1))/Ayarlar!$B$7)+IF(Topraklar!$K$6=Bitkiler!$C$57,0.002,IF(Topraklar!$L$6="Evet",0.001,0)))</f>
        <v/>
      </c>
      <c r="G58" s="16">
        <f>IF(OR(Topraklar!$J$7="Evet",AND(Topraklar!$L$7&lt;&gt;"Evet",Topraklar!$K$7&lt;&gt;Bitkiler!$C$57)),0,MAX(0,1-(Ayarlar!$B$2*ABS(Bitkiler!$D$57-Topraklar!$D$7)+Ayarlar!$B$3*ABS(Bitkiler!$E$57-Topraklar!$E$7)+Ayarlar!$B$4*ABS(Bitkiler!$F$57-Topraklar!$F$7)+Ayarlar!$B$5*ABS(Bitkiler!$G$57-Topraklar!$G$7)+Ayarlar!$B$6*IF(Bitkiler!$H$57=Topraklar!$H$7,0,1))/Ayarlar!$B$7)+IF(Topraklar!$K$7=Bitkiler!$C$57,0.002,IF(Topraklar!$L$7="Evet",0.001,0)))</f>
        <v/>
      </c>
      <c r="H58" s="16">
        <f>IF(OR(Topraklar!$J$8="Evet",AND(Topraklar!$L$8&lt;&gt;"Evet",Topraklar!$K$8&lt;&gt;Bitkiler!$C$57)),0,MAX(0,1-(Ayarlar!$B$2*ABS(Bitkiler!$D$57-Topraklar!$D$8)+Ayarlar!$B$3*ABS(Bitkiler!$E$57-Topraklar!$E$8)+Ayarlar!$B$4*ABS(Bitkiler!$F$57-Topraklar!$F$8)+Ayarlar!$B$5*ABS(Bitkiler!$G$57-Topraklar!$G$8)+Ayarlar!$B$6*IF(Bitkiler!$H$57=Topraklar!$H$8,0,1))/Ayarlar!$B$7)+IF(Topraklar!$K$8=Bitkiler!$C$57,0.002,IF(Topraklar!$L$8="Evet",0.001,0)))</f>
        <v/>
      </c>
      <c r="I58" s="16">
        <f>IF(OR(Topraklar!$J$9="Evet",AND(Topraklar!$L$9&lt;&gt;"Evet",Topraklar!$K$9&lt;&gt;Bitkiler!$C$57)),0,MAX(0,1-(Ayarlar!$B$2*ABS(Bitkiler!$D$57-Topraklar!$D$9)+Ayarlar!$B$3*ABS(Bitkiler!$E$57-Topraklar!$E$9)+Ayarlar!$B$4*ABS(Bitkiler!$F$57-Topraklar!$F$9)+Ayarlar!$B$5*ABS(Bitkiler!$G$57-Topraklar!$G$9)+Ayarlar!$B$6*IF(Bitkiler!$H$57=Topraklar!$H$9,0,1))/Ayarlar!$B$7)+IF(Topraklar!$K$9=Bitkiler!$C$57,0.002,IF(Topraklar!$L$9="Evet",0.001,0)))</f>
        <v/>
      </c>
      <c r="J58" s="16">
        <f>IF(OR(Topraklar!$J$10="Evet",AND(Topraklar!$L$10&lt;&gt;"Evet",Topraklar!$K$10&lt;&gt;Bitkiler!$C$57)),0,MAX(0,1-(Ayarlar!$B$2*ABS(Bitkiler!$D$57-Topraklar!$D$10)+Ayarlar!$B$3*ABS(Bitkiler!$E$57-Topraklar!$E$10)+Ayarlar!$B$4*ABS(Bitkiler!$F$57-Topraklar!$F$10)+Ayarlar!$B$5*ABS(Bitkiler!$G$57-Topraklar!$G$10)+Ayarlar!$B$6*IF(Bitkiler!$H$57=Topraklar!$H$10,0,1))/Ayarlar!$B$7)+IF(Topraklar!$K$10=Bitkiler!$C$57,0.002,IF(Topraklar!$L$10="Evet",0.001,0)))</f>
        <v/>
      </c>
      <c r="K58" s="16">
        <f>IF(OR(Topraklar!$J$11="Evet",AND(Topraklar!$L$11&lt;&gt;"Evet",Topraklar!$K$11&lt;&gt;Bitkiler!$C$57)),0,MAX(0,1-(Ayarlar!$B$2*ABS(Bitkiler!$D$57-Topraklar!$D$11)+Ayarlar!$B$3*ABS(Bitkiler!$E$57-Topraklar!$E$11)+Ayarlar!$B$4*ABS(Bitkiler!$F$57-Topraklar!$F$11)+Ayarlar!$B$5*ABS(Bitkiler!$G$57-Topraklar!$G$11)+Ayarlar!$B$6*IF(Bitkiler!$H$57=Topraklar!$H$11,0,1))/Ayarlar!$B$7)+IF(Topraklar!$K$11=Bitkiler!$C$57,0.002,IF(Topraklar!$L$11="Evet",0.001,0)))</f>
        <v/>
      </c>
      <c r="L58" s="16">
        <f>IF(OR(Topraklar!$J$12="Evet",AND(Topraklar!$L$12&lt;&gt;"Evet",Topraklar!$K$12&lt;&gt;Bitkiler!$C$57)),0,MAX(0,1-(Ayarlar!$B$2*ABS(Bitkiler!$D$57-Topraklar!$D$12)+Ayarlar!$B$3*ABS(Bitkiler!$E$57-Topraklar!$E$12)+Ayarlar!$B$4*ABS(Bitkiler!$F$57-Topraklar!$F$12)+Ayarlar!$B$5*ABS(Bitkiler!$G$57-Topraklar!$G$12)+Ayarlar!$B$6*IF(Bitkiler!$H$57=Topraklar!$H$12,0,1))/Ayarlar!$B$7)+IF(Topraklar!$K$12=Bitkiler!$C$57,0.002,IF(Topraklar!$L$12="Evet",0.001,0)))</f>
        <v/>
      </c>
      <c r="M58" s="16">
        <f>IF(OR(Topraklar!$J$13="Evet",AND(Topraklar!$L$13&lt;&gt;"Evet",Topraklar!$K$13&lt;&gt;Bitkiler!$C$57)),0,MAX(0,1-(Ayarlar!$B$2*ABS(Bitkiler!$D$57-Topraklar!$D$13)+Ayarlar!$B$3*ABS(Bitkiler!$E$57-Topraklar!$E$13)+Ayarlar!$B$4*ABS(Bitkiler!$F$57-Topraklar!$F$13)+Ayarlar!$B$5*ABS(Bitkiler!$G$57-Topraklar!$G$13)+Ayarlar!$B$6*IF(Bitkiler!$H$57=Topraklar!$H$13,0,1))/Ayarlar!$B$7)+IF(Topraklar!$K$13=Bitkiler!$C$57,0.002,IF(Topraklar!$L$13="Evet",0.001,0)))</f>
        <v/>
      </c>
      <c r="N58" s="16">
        <f>IF(OR(Topraklar!$J$14="Evet",AND(Topraklar!$L$14&lt;&gt;"Evet",Topraklar!$K$14&lt;&gt;Bitkiler!$C$57)),0,MAX(0,1-(Ayarlar!$B$2*ABS(Bitkiler!$D$57-Topraklar!$D$14)+Ayarlar!$B$3*ABS(Bitkiler!$E$57-Topraklar!$E$14)+Ayarlar!$B$4*ABS(Bitkiler!$F$57-Topraklar!$F$14)+Ayarlar!$B$5*ABS(Bitkiler!$G$57-Topraklar!$G$14)+Ayarlar!$B$6*IF(Bitkiler!$H$57=Topraklar!$H$14,0,1))/Ayarlar!$B$7)+IF(Topraklar!$K$14=Bitkiler!$C$57,0.002,IF(Topraklar!$L$14="Evet",0.001,0)))</f>
        <v/>
      </c>
      <c r="O58" s="16">
        <f>IF(OR(Topraklar!$J$15="Evet",AND(Topraklar!$L$15&lt;&gt;"Evet",Topraklar!$K$15&lt;&gt;Bitkiler!$C$57)),0,MAX(0,1-(Ayarlar!$B$2*ABS(Bitkiler!$D$57-Topraklar!$D$15)+Ayarlar!$B$3*ABS(Bitkiler!$E$57-Topraklar!$E$15)+Ayarlar!$B$4*ABS(Bitkiler!$F$57-Topraklar!$F$15)+Ayarlar!$B$5*ABS(Bitkiler!$G$57-Topraklar!$G$15)+Ayarlar!$B$6*IF(Bitkiler!$H$57=Topraklar!$H$15,0,1))/Ayarlar!$B$7)+IF(Topraklar!$K$15=Bitkiler!$C$57,0.002,IF(Topraklar!$L$15="Evet",0.001,0)))</f>
        <v/>
      </c>
      <c r="P58" s="16">
        <f>IF(OR(Topraklar!$J$16="Evet",AND(Topraklar!$L$16&lt;&gt;"Evet",Topraklar!$K$16&lt;&gt;Bitkiler!$C$57)),0,MAX(0,1-(Ayarlar!$B$2*ABS(Bitkiler!$D$57-Topraklar!$D$16)+Ayarlar!$B$3*ABS(Bitkiler!$E$57-Topraklar!$E$16)+Ayarlar!$B$4*ABS(Bitkiler!$F$57-Topraklar!$F$16)+Ayarlar!$B$5*ABS(Bitkiler!$G$57-Topraklar!$G$16)+Ayarlar!$B$6*IF(Bitkiler!$H$57=Topraklar!$H$16,0,1))/Ayarlar!$B$7)+IF(Topraklar!$K$16=Bitkiler!$C$57,0.002,IF(Topraklar!$L$16="Evet",0.001,0)))</f>
        <v/>
      </c>
      <c r="Q58" s="16">
        <f>IF(OR(Topraklar!$J$17="Evet",AND(Topraklar!$L$17&lt;&gt;"Evet",Topraklar!$K$17&lt;&gt;Bitkiler!$C$57)),0,MAX(0,1-(Ayarlar!$B$2*ABS(Bitkiler!$D$57-Topraklar!$D$17)+Ayarlar!$B$3*ABS(Bitkiler!$E$57-Topraklar!$E$17)+Ayarlar!$B$4*ABS(Bitkiler!$F$57-Topraklar!$F$17)+Ayarlar!$B$5*ABS(Bitkiler!$G$57-Topraklar!$G$17)+Ayarlar!$B$6*IF(Bitkiler!$H$57=Topraklar!$H$17,0,1))/Ayarlar!$B$7)+IF(Topraklar!$K$17=Bitkiler!$C$57,0.002,IF(Topraklar!$L$17="Evet",0.001,0)))</f>
        <v/>
      </c>
      <c r="R58" s="16">
        <f>IF(OR(Topraklar!$J$18="Evet",AND(Topraklar!$L$18&lt;&gt;"Evet",Topraklar!$K$18&lt;&gt;Bitkiler!$C$57)),0,MAX(0,1-(Ayarlar!$B$2*ABS(Bitkiler!$D$57-Topraklar!$D$18)+Ayarlar!$B$3*ABS(Bitkiler!$E$57-Topraklar!$E$18)+Ayarlar!$B$4*ABS(Bitkiler!$F$57-Topraklar!$F$18)+Ayarlar!$B$5*ABS(Bitkiler!$G$57-Topraklar!$G$18)+Ayarlar!$B$6*IF(Bitkiler!$H$57=Topraklar!$H$18,0,1))/Ayarlar!$B$7)+IF(Topraklar!$K$18=Bitkiler!$C$57,0.002,IF(Topraklar!$L$18="Evet",0.001,0)))</f>
        <v/>
      </c>
      <c r="S58" s="16">
        <f>IF(OR(Topraklar!$J$19="Evet",AND(Topraklar!$L$19&lt;&gt;"Evet",Topraklar!$K$19&lt;&gt;Bitkiler!$C$57)),0,MAX(0,1-(Ayarlar!$B$2*ABS(Bitkiler!$D$57-Topraklar!$D$19)+Ayarlar!$B$3*ABS(Bitkiler!$E$57-Topraklar!$E$19)+Ayarlar!$B$4*ABS(Bitkiler!$F$57-Topraklar!$F$19)+Ayarlar!$B$5*ABS(Bitkiler!$G$57-Topraklar!$G$19)+Ayarlar!$B$6*IF(Bitkiler!$H$57=Topraklar!$H$19,0,1))/Ayarlar!$B$7)+IF(Topraklar!$K$19=Bitkiler!$C$57,0.002,IF(Topraklar!$L$19="Evet",0.001,0)))</f>
        <v/>
      </c>
      <c r="T58" s="16">
        <f>IF(OR(Topraklar!$J$20="Evet",AND(Topraklar!$L$20&lt;&gt;"Evet",Topraklar!$K$20&lt;&gt;Bitkiler!$C$57)),0,MAX(0,1-(Ayarlar!$B$2*ABS(Bitkiler!$D$57-Topraklar!$D$20)+Ayarlar!$B$3*ABS(Bitkiler!$E$57-Topraklar!$E$20)+Ayarlar!$B$4*ABS(Bitkiler!$F$57-Topraklar!$F$20)+Ayarlar!$B$5*ABS(Bitkiler!$G$57-Topraklar!$G$20)+Ayarlar!$B$6*IF(Bitkiler!$H$57=Topraklar!$H$20,0,1))/Ayarlar!$B$7)+IF(Topraklar!$K$20=Bitkiler!$C$57,0.002,IF(Topraklar!$L$20="Evet",0.001,0)))</f>
        <v/>
      </c>
      <c r="U58" s="16">
        <f>IF(OR(Topraklar!$J$21="Evet",AND(Topraklar!$L$21&lt;&gt;"Evet",Topraklar!$K$21&lt;&gt;Bitkiler!$C$57)),0,MAX(0,1-(Ayarlar!$B$2*ABS(Bitkiler!$D$57-Topraklar!$D$21)+Ayarlar!$B$3*ABS(Bitkiler!$E$57-Topraklar!$E$21)+Ayarlar!$B$4*ABS(Bitkiler!$F$57-Topraklar!$F$21)+Ayarlar!$B$5*ABS(Bitkiler!$G$57-Topraklar!$G$21)+Ayarlar!$B$6*IF(Bitkiler!$H$57=Topraklar!$H$21,0,1))/Ayarlar!$B$7)+IF(Topraklar!$K$21=Bitkiler!$C$57,0.002,IF(Topraklar!$L$21="Evet",0.001,0)))</f>
        <v/>
      </c>
      <c r="V58" s="16">
        <f>IF(OR(Topraklar!$J$22="Evet",AND(Topraklar!$L$22&lt;&gt;"Evet",Topraklar!$K$22&lt;&gt;Bitkiler!$C$57)),0,MAX(0,1-(Ayarlar!$B$2*ABS(Bitkiler!$D$57-Topraklar!$D$22)+Ayarlar!$B$3*ABS(Bitkiler!$E$57-Topraklar!$E$22)+Ayarlar!$B$4*ABS(Bitkiler!$F$57-Topraklar!$F$22)+Ayarlar!$B$5*ABS(Bitkiler!$G$57-Topraklar!$G$22)+Ayarlar!$B$6*IF(Bitkiler!$H$57=Topraklar!$H$22,0,1))/Ayarlar!$B$7)+IF(Topraklar!$K$22=Bitkiler!$C$57,0.002,IF(Topraklar!$L$22="Evet",0.001,0)))</f>
        <v/>
      </c>
      <c r="W58" s="16">
        <f>IF(OR(Topraklar!$J$23="Evet",AND(Topraklar!$L$23&lt;&gt;"Evet",Topraklar!$K$23&lt;&gt;Bitkiler!$C$57)),0,MAX(0,1-(Ayarlar!$B$2*ABS(Bitkiler!$D$57-Topraklar!$D$23)+Ayarlar!$B$3*ABS(Bitkiler!$E$57-Topraklar!$E$23)+Ayarlar!$B$4*ABS(Bitkiler!$F$57-Topraklar!$F$23)+Ayarlar!$B$5*ABS(Bitkiler!$G$57-Topraklar!$G$23)+Ayarlar!$B$6*IF(Bitkiler!$H$57=Topraklar!$H$23,0,1))/Ayarlar!$B$7)+IF(Topraklar!$K$23=Bitkiler!$C$57,0.002,IF(Topraklar!$L$23="Evet",0.001,0)))</f>
        <v/>
      </c>
      <c r="X58" s="16">
        <f>IF(OR(Topraklar!$J$24="Evet",AND(Topraklar!$L$24&lt;&gt;"Evet",Topraklar!$K$24&lt;&gt;Bitkiler!$C$57)),0,MAX(0,1-(Ayarlar!$B$2*ABS(Bitkiler!$D$57-Topraklar!$D$24)+Ayarlar!$B$3*ABS(Bitkiler!$E$57-Topraklar!$E$24)+Ayarlar!$B$4*ABS(Bitkiler!$F$57-Topraklar!$F$24)+Ayarlar!$B$5*ABS(Bitkiler!$G$57-Topraklar!$G$24)+Ayarlar!$B$6*IF(Bitkiler!$H$57=Topraklar!$H$24,0,1))/Ayarlar!$B$7)+IF(Topraklar!$K$24=Bitkiler!$C$57,0.002,IF(Topraklar!$L$24="Evet",0.001,0)))</f>
        <v/>
      </c>
      <c r="Y58" s="16">
        <f>IF(OR(Topraklar!$J$25="Evet",AND(Topraklar!$L$25&lt;&gt;"Evet",Topraklar!$K$25&lt;&gt;Bitkiler!$C$57)),0,MAX(0,1-(Ayarlar!$B$2*ABS(Bitkiler!$D$57-Topraklar!$D$25)+Ayarlar!$B$3*ABS(Bitkiler!$E$57-Topraklar!$E$25)+Ayarlar!$B$4*ABS(Bitkiler!$F$57-Topraklar!$F$25)+Ayarlar!$B$5*ABS(Bitkiler!$G$57-Topraklar!$G$25)+Ayarlar!$B$6*IF(Bitkiler!$H$57=Topraklar!$H$25,0,1))/Ayarlar!$B$7)+IF(Topraklar!$K$25=Bitkiler!$C$57,0.002,IF(Topraklar!$L$25="Evet",0.001,0)))</f>
        <v/>
      </c>
      <c r="Z58" s="16">
        <f>IF(OR(Topraklar!$J$26="Evet",AND(Topraklar!$L$26&lt;&gt;"Evet",Topraklar!$K$26&lt;&gt;Bitkiler!$C$57)),0,MAX(0,1-(Ayarlar!$B$2*ABS(Bitkiler!$D$57-Topraklar!$D$26)+Ayarlar!$B$3*ABS(Bitkiler!$E$57-Topraklar!$E$26)+Ayarlar!$B$4*ABS(Bitkiler!$F$57-Topraklar!$F$26)+Ayarlar!$B$5*ABS(Bitkiler!$G$57-Topraklar!$G$26)+Ayarlar!$B$6*IF(Bitkiler!$H$57=Topraklar!$H$26,0,1))/Ayarlar!$B$7)+IF(Topraklar!$K$26=Bitkiler!$C$57,0.002,IF(Topraklar!$L$26="Evet",0.001,0)))</f>
        <v/>
      </c>
      <c r="AA58" s="16">
        <f>IF(OR(Topraklar!$J$27="Evet",AND(Topraklar!$L$27&lt;&gt;"Evet",Topraklar!$K$27&lt;&gt;Bitkiler!$C$57)),0,MAX(0,1-(Ayarlar!$B$2*ABS(Bitkiler!$D$57-Topraklar!$D$27)+Ayarlar!$B$3*ABS(Bitkiler!$E$57-Topraklar!$E$27)+Ayarlar!$B$4*ABS(Bitkiler!$F$57-Topraklar!$F$27)+Ayarlar!$B$5*ABS(Bitkiler!$G$57-Topraklar!$G$27)+Ayarlar!$B$6*IF(Bitkiler!$H$57=Topraklar!$H$27,0,1))/Ayarlar!$B$7)+IF(Topraklar!$K$27=Bitkiler!$C$57,0.002,IF(Topraklar!$L$27="Evet",0.001,0)))</f>
        <v/>
      </c>
      <c r="AB58" s="16">
        <f>IF(OR(Topraklar!$J$28="Evet",AND(Topraklar!$L$28&lt;&gt;"Evet",Topraklar!$K$28&lt;&gt;Bitkiler!$C$57)),0,MAX(0,1-(Ayarlar!$B$2*ABS(Bitkiler!$D$57-Topraklar!$D$28)+Ayarlar!$B$3*ABS(Bitkiler!$E$57-Topraklar!$E$28)+Ayarlar!$B$4*ABS(Bitkiler!$F$57-Topraklar!$F$28)+Ayarlar!$B$5*ABS(Bitkiler!$G$57-Topraklar!$G$28)+Ayarlar!$B$6*IF(Bitkiler!$H$57=Topraklar!$H$28,0,1))/Ayarlar!$B$7)+IF(Topraklar!$K$28=Bitkiler!$C$57,0.002,IF(Topraklar!$L$28="Evet",0.001,0)))</f>
        <v/>
      </c>
      <c r="AC58" s="16">
        <f>IF(OR(Topraklar!$J$29="Evet",AND(Topraklar!$L$29&lt;&gt;"Evet",Topraklar!$K$29&lt;&gt;Bitkiler!$C$57)),0,MAX(0,1-(Ayarlar!$B$2*ABS(Bitkiler!$D$57-Topraklar!$D$29)+Ayarlar!$B$3*ABS(Bitkiler!$E$57-Topraklar!$E$29)+Ayarlar!$B$4*ABS(Bitkiler!$F$57-Topraklar!$F$29)+Ayarlar!$B$5*ABS(Bitkiler!$G$57-Topraklar!$G$29)+Ayarlar!$B$6*IF(Bitkiler!$H$57=Topraklar!$H$29,0,1))/Ayarlar!$B$7)+IF(Topraklar!$K$29=Bitkiler!$C$57,0.002,IF(Topraklar!$L$29="Evet",0.001,0)))</f>
        <v/>
      </c>
      <c r="AD58" s="16">
        <f>IF(OR(Topraklar!$J$30="Evet",AND(Topraklar!$L$30&lt;&gt;"Evet",Topraklar!$K$30&lt;&gt;Bitkiler!$C$57)),0,MAX(0,1-(Ayarlar!$B$2*ABS(Bitkiler!$D$57-Topraklar!$D$30)+Ayarlar!$B$3*ABS(Bitkiler!$E$57-Topraklar!$E$30)+Ayarlar!$B$4*ABS(Bitkiler!$F$57-Topraklar!$F$30)+Ayarlar!$B$5*ABS(Bitkiler!$G$57-Topraklar!$G$30)+Ayarlar!$B$6*IF(Bitkiler!$H$57=Topraklar!$H$30,0,1))/Ayarlar!$B$7)+IF(Topraklar!$K$30=Bitkiler!$C$57,0.002,IF(Topraklar!$L$30="Evet",0.001,0)))</f>
        <v/>
      </c>
      <c r="AE58" s="16">
        <f>IF(OR(Topraklar!$J$31="Evet",AND(Topraklar!$L$31&lt;&gt;"Evet",Topraklar!$K$31&lt;&gt;Bitkiler!$C$57)),0,MAX(0,1-(Ayarlar!$B$2*ABS(Bitkiler!$D$57-Topraklar!$D$31)+Ayarlar!$B$3*ABS(Bitkiler!$E$57-Topraklar!$E$31)+Ayarlar!$B$4*ABS(Bitkiler!$F$57-Topraklar!$F$31)+Ayarlar!$B$5*ABS(Bitkiler!$G$57-Topraklar!$G$31)+Ayarlar!$B$6*IF(Bitkiler!$H$57=Topraklar!$H$31,0,1))/Ayarlar!$B$7)+IF(Topraklar!$K$31=Bitkiler!$C$57,0.002,IF(Topraklar!$L$31="Evet",0.001,0)))</f>
        <v/>
      </c>
      <c r="AF58" s="16">
        <f>IF(OR(Topraklar!$J$32="Evet",AND(Topraklar!$L$32&lt;&gt;"Evet",Topraklar!$K$32&lt;&gt;Bitkiler!$C$57)),0,MAX(0,1-(Ayarlar!$B$2*ABS(Bitkiler!$D$57-Topraklar!$D$32)+Ayarlar!$B$3*ABS(Bitkiler!$E$57-Topraklar!$E$32)+Ayarlar!$B$4*ABS(Bitkiler!$F$57-Topraklar!$F$32)+Ayarlar!$B$5*ABS(Bitkiler!$G$57-Topraklar!$G$32)+Ayarlar!$B$6*IF(Bitkiler!$H$57=Topraklar!$H$32,0,1))/Ayarlar!$B$7)+IF(Topraklar!$K$32=Bitkiler!$C$57,0.002,IF(Topraklar!$L$32="Evet",0.001,0)))</f>
        <v/>
      </c>
      <c r="AG58" s="16">
        <f>IF(OR(Topraklar!$J$33="Evet",AND(Topraklar!$L$33&lt;&gt;"Evet",Topraklar!$K$33&lt;&gt;Bitkiler!$C$57)),0,MAX(0,1-(Ayarlar!$B$2*ABS(Bitkiler!$D$57-Topraklar!$D$33)+Ayarlar!$B$3*ABS(Bitkiler!$E$57-Topraklar!$E$33)+Ayarlar!$B$4*ABS(Bitkiler!$F$57-Topraklar!$F$33)+Ayarlar!$B$5*ABS(Bitkiler!$G$57-Topraklar!$G$33)+Ayarlar!$B$6*IF(Bitkiler!$H$57=Topraklar!$H$33,0,1))/Ayarlar!$B$7)+IF(Topraklar!$K$33=Bitkiler!$C$57,0.002,IF(Topraklar!$L$33="Evet",0.001,0)))</f>
        <v/>
      </c>
      <c r="AH58" s="16">
        <f>IF(OR(Topraklar!$J$34="Evet",AND(Topraklar!$L$34&lt;&gt;"Evet",Topraklar!$K$34&lt;&gt;Bitkiler!$C$57)),0,MAX(0,1-(Ayarlar!$B$2*ABS(Bitkiler!$D$57-Topraklar!$D$34)+Ayarlar!$B$3*ABS(Bitkiler!$E$57-Topraklar!$E$34)+Ayarlar!$B$4*ABS(Bitkiler!$F$57-Topraklar!$F$34)+Ayarlar!$B$5*ABS(Bitkiler!$G$57-Topraklar!$G$34)+Ayarlar!$B$6*IF(Bitkiler!$H$57=Topraklar!$H$34,0,1))/Ayarlar!$B$7)+IF(Topraklar!$K$34=Bitkiler!$C$57,0.002,IF(Topraklar!$L$34="Evet",0.001,0)))</f>
        <v/>
      </c>
      <c r="AI58" s="16">
        <f>IF(OR(Topraklar!$J$35="Evet",AND(Topraklar!$L$35&lt;&gt;"Evet",Topraklar!$K$35&lt;&gt;Bitkiler!$C$57)),0,MAX(0,1-(Ayarlar!$B$2*ABS(Bitkiler!$D$57-Topraklar!$D$35)+Ayarlar!$B$3*ABS(Bitkiler!$E$57-Topraklar!$E$35)+Ayarlar!$B$4*ABS(Bitkiler!$F$57-Topraklar!$F$35)+Ayarlar!$B$5*ABS(Bitkiler!$G$57-Topraklar!$G$35)+Ayarlar!$B$6*IF(Bitkiler!$H$57=Topraklar!$H$35,0,1))/Ayarlar!$B$7)+IF(Topraklar!$K$35=Bitkiler!$C$57,0.002,IF(Topraklar!$L$35="Evet",0.001,0)))</f>
        <v/>
      </c>
      <c r="AJ58" s="16">
        <f>IF(OR(Topraklar!$J$36="Evet",AND(Topraklar!$L$36&lt;&gt;"Evet",Topraklar!$K$36&lt;&gt;Bitkiler!$C$57)),0,MAX(0,1-(Ayarlar!$B$2*ABS(Bitkiler!$D$57-Topraklar!$D$36)+Ayarlar!$B$3*ABS(Bitkiler!$E$57-Topraklar!$E$36)+Ayarlar!$B$4*ABS(Bitkiler!$F$57-Topraklar!$F$36)+Ayarlar!$B$5*ABS(Bitkiler!$G$57-Topraklar!$G$36)+Ayarlar!$B$6*IF(Bitkiler!$H$57=Topraklar!$H$36,0,1))/Ayarlar!$B$7)+IF(Topraklar!$K$36=Bitkiler!$C$57,0.002,IF(Topraklar!$L$36="Evet",0.001,0)))</f>
        <v/>
      </c>
      <c r="AK58" s="16">
        <f>IF(OR(Topraklar!$J$37="Evet",AND(Topraklar!$L$37&lt;&gt;"Evet",Topraklar!$K$37&lt;&gt;Bitkiler!$C$57)),0,MAX(0,1-(Ayarlar!$B$2*ABS(Bitkiler!$D$57-Topraklar!$D$37)+Ayarlar!$B$3*ABS(Bitkiler!$E$57-Topraklar!$E$37)+Ayarlar!$B$4*ABS(Bitkiler!$F$57-Topraklar!$F$37)+Ayarlar!$B$5*ABS(Bitkiler!$G$57-Topraklar!$G$37)+Ayarlar!$B$6*IF(Bitkiler!$H$57=Topraklar!$H$37,0,1))/Ayarlar!$B$7)+IF(Topraklar!$K$37=Bitkiler!$C$57,0.002,IF(Topraklar!$L$37="Evet",0.001,0)))</f>
        <v/>
      </c>
      <c r="AL58" s="16">
        <f>IF(OR(Topraklar!$J$38="Evet",AND(Topraklar!$L$38&lt;&gt;"Evet",Topraklar!$K$38&lt;&gt;Bitkiler!$C$57)),0,MAX(0,1-(Ayarlar!$B$2*ABS(Bitkiler!$D$57-Topraklar!$D$38)+Ayarlar!$B$3*ABS(Bitkiler!$E$57-Topraklar!$E$38)+Ayarlar!$B$4*ABS(Bitkiler!$F$57-Topraklar!$F$38)+Ayarlar!$B$5*ABS(Bitkiler!$G$57-Topraklar!$G$38)+Ayarlar!$B$6*IF(Bitkiler!$H$57=Topraklar!$H$38,0,1))/Ayarlar!$B$7)+IF(Topraklar!$K$38=Bitkiler!$C$57,0.002,IF(Topraklar!$L$38="Evet",0.001,0)))</f>
        <v/>
      </c>
      <c r="AM58" s="16">
        <f>IF(OR(Topraklar!$J$39="Evet",AND(Topraklar!$L$39&lt;&gt;"Evet",Topraklar!$K$39&lt;&gt;Bitkiler!$C$57)),0,MAX(0,1-(Ayarlar!$B$2*ABS(Bitkiler!$D$57-Topraklar!$D$39)+Ayarlar!$B$3*ABS(Bitkiler!$E$57-Topraklar!$E$39)+Ayarlar!$B$4*ABS(Bitkiler!$F$57-Topraklar!$F$39)+Ayarlar!$B$5*ABS(Bitkiler!$G$57-Topraklar!$G$39)+Ayarlar!$B$6*IF(Bitkiler!$H$57=Topraklar!$H$39,0,1))/Ayarlar!$B$7)+IF(Topraklar!$K$39=Bitkiler!$C$57,0.002,IF(Topraklar!$L$39="Evet",0.001,0)))</f>
        <v/>
      </c>
      <c r="AN58" s="16">
        <f>IF(OR(Topraklar!$J$40="Evet",AND(Topraklar!$L$40&lt;&gt;"Evet",Topraklar!$K$40&lt;&gt;Bitkiler!$C$57)),0,MAX(0,1-(Ayarlar!$B$2*ABS(Bitkiler!$D$57-Topraklar!$D$40)+Ayarlar!$B$3*ABS(Bitkiler!$E$57-Topraklar!$E$40)+Ayarlar!$B$4*ABS(Bitkiler!$F$57-Topraklar!$F$40)+Ayarlar!$B$5*ABS(Bitkiler!$G$57-Topraklar!$G$40)+Ayarlar!$B$6*IF(Bitkiler!$H$57=Topraklar!$H$40,0,1))/Ayarlar!$B$7)+IF(Topraklar!$K$40=Bitkiler!$C$57,0.002,IF(Topraklar!$L$40="Evet",0.001,0)))</f>
        <v/>
      </c>
      <c r="AO58" s="16">
        <f>IF(OR(Topraklar!$J$41="Evet",AND(Topraklar!$L$41&lt;&gt;"Evet",Topraklar!$K$41&lt;&gt;Bitkiler!$C$57)),0,MAX(0,1-(Ayarlar!$B$2*ABS(Bitkiler!$D$57-Topraklar!$D$41)+Ayarlar!$B$3*ABS(Bitkiler!$E$57-Topraklar!$E$41)+Ayarlar!$B$4*ABS(Bitkiler!$F$57-Topraklar!$F$41)+Ayarlar!$B$5*ABS(Bitkiler!$G$57-Topraklar!$G$41)+Ayarlar!$B$6*IF(Bitkiler!$H$57=Topraklar!$H$41,0,1))/Ayarlar!$B$7)+IF(Topraklar!$K$41=Bitkiler!$C$57,0.002,IF(Topraklar!$L$41="Evet",0.001,0)))</f>
        <v/>
      </c>
      <c r="AP58" s="16">
        <f>IF(OR(Topraklar!$J$42="Evet",AND(Topraklar!$L$42&lt;&gt;"Evet",Topraklar!$K$42&lt;&gt;Bitkiler!$C$57)),0,MAX(0,1-(Ayarlar!$B$2*ABS(Bitkiler!$D$57-Topraklar!$D$42)+Ayarlar!$B$3*ABS(Bitkiler!$E$57-Topraklar!$E$42)+Ayarlar!$B$4*ABS(Bitkiler!$F$57-Topraklar!$F$42)+Ayarlar!$B$5*ABS(Bitkiler!$G$57-Topraklar!$G$42)+Ayarlar!$B$6*IF(Bitkiler!$H$57=Topraklar!$H$42,0,1))/Ayarlar!$B$7)+IF(Topraklar!$K$42=Bitkiler!$C$57,0.002,IF(Topraklar!$L$42="Evet",0.001,0)))</f>
        <v/>
      </c>
      <c r="AQ58" s="16">
        <f>IF(OR(Topraklar!$J$43="Evet",AND(Topraklar!$L$43&lt;&gt;"Evet",Topraklar!$K$43&lt;&gt;Bitkiler!$C$57)),0,MAX(0,1-(Ayarlar!$B$2*ABS(Bitkiler!$D$57-Topraklar!$D$43)+Ayarlar!$B$3*ABS(Bitkiler!$E$57-Topraklar!$E$43)+Ayarlar!$B$4*ABS(Bitkiler!$F$57-Topraklar!$F$43)+Ayarlar!$B$5*ABS(Bitkiler!$G$57-Topraklar!$G$43)+Ayarlar!$B$6*IF(Bitkiler!$H$57=Topraklar!$H$43,0,1))/Ayarlar!$B$7)+IF(Topraklar!$K$43=Bitkiler!$C$57,0.002,IF(Topraklar!$L$43="Evet",0.001,0)))</f>
        <v/>
      </c>
      <c r="AR58" s="16">
        <f>IF(OR(Topraklar!$J$44="Evet",AND(Topraklar!$L$44&lt;&gt;"Evet",Topraklar!$K$44&lt;&gt;Bitkiler!$C$57)),0,MAX(0,1-(Ayarlar!$B$2*ABS(Bitkiler!$D$57-Topraklar!$D$44)+Ayarlar!$B$3*ABS(Bitkiler!$E$57-Topraklar!$E$44)+Ayarlar!$B$4*ABS(Bitkiler!$F$57-Topraklar!$F$44)+Ayarlar!$B$5*ABS(Bitkiler!$G$57-Topraklar!$G$44)+Ayarlar!$B$6*IF(Bitkiler!$H$57=Topraklar!$H$44,0,1))/Ayarlar!$B$7)+IF(Topraklar!$K$44=Bitkiler!$C$57,0.002,IF(Topraklar!$L$44="Evet",0.001,0)))</f>
        <v/>
      </c>
      <c r="AS58" s="16">
        <f>IF(OR(Topraklar!$J$45="Evet",AND(Topraklar!$L$45&lt;&gt;"Evet",Topraklar!$K$45&lt;&gt;Bitkiler!$C$57)),0,MAX(0,1-(Ayarlar!$B$2*ABS(Bitkiler!$D$57-Topraklar!$D$45)+Ayarlar!$B$3*ABS(Bitkiler!$E$57-Topraklar!$E$45)+Ayarlar!$B$4*ABS(Bitkiler!$F$57-Topraklar!$F$45)+Ayarlar!$B$5*ABS(Bitkiler!$G$57-Topraklar!$G$45)+Ayarlar!$B$6*IF(Bitkiler!$H$57=Topraklar!$H$45,0,1))/Ayarlar!$B$7)+IF(Topraklar!$K$45=Bitkiler!$C$57,0.002,IF(Topraklar!$L$45="Evet",0.001,0)))</f>
        <v/>
      </c>
      <c r="AT58" s="16">
        <f>IF(OR(Topraklar!$J$46="Evet",AND(Topraklar!$L$46&lt;&gt;"Evet",Topraklar!$K$46&lt;&gt;Bitkiler!$C$57)),0,MAX(0,1-(Ayarlar!$B$2*ABS(Bitkiler!$D$57-Topraklar!$D$46)+Ayarlar!$B$3*ABS(Bitkiler!$E$57-Topraklar!$E$46)+Ayarlar!$B$4*ABS(Bitkiler!$F$57-Topraklar!$F$46)+Ayarlar!$B$5*ABS(Bitkiler!$G$57-Topraklar!$G$46)+Ayarlar!$B$6*IF(Bitkiler!$H$57=Topraklar!$H$46,0,1))/Ayarlar!$B$7)+IF(Topraklar!$K$46=Bitkiler!$C$57,0.002,IF(Topraklar!$L$46="Evet",0.001,0)))</f>
        <v/>
      </c>
      <c r="AU58" s="16">
        <f>IF(OR(Topraklar!$J$47="Evet",AND(Topraklar!$L$47&lt;&gt;"Evet",Topraklar!$K$47&lt;&gt;Bitkiler!$C$57)),0,MAX(0,1-(Ayarlar!$B$2*ABS(Bitkiler!$D$57-Topraklar!$D$47)+Ayarlar!$B$3*ABS(Bitkiler!$E$57-Topraklar!$E$47)+Ayarlar!$B$4*ABS(Bitkiler!$F$57-Topraklar!$F$47)+Ayarlar!$B$5*ABS(Bitkiler!$G$57-Topraklar!$G$47)+Ayarlar!$B$6*IF(Bitkiler!$H$57=Topraklar!$H$47,0,1))/Ayarlar!$B$7)+IF(Topraklar!$K$47=Bitkiler!$C$57,0.002,IF(Topraklar!$L$47="Evet",0.001,0)))</f>
        <v/>
      </c>
      <c r="AV58" s="16">
        <f>IF(OR(Topraklar!$J$48="Evet",AND(Topraklar!$L$48&lt;&gt;"Evet",Topraklar!$K$48&lt;&gt;Bitkiler!$C$57)),0,MAX(0,1-(Ayarlar!$B$2*ABS(Bitkiler!$D$57-Topraklar!$D$48)+Ayarlar!$B$3*ABS(Bitkiler!$E$57-Topraklar!$E$48)+Ayarlar!$B$4*ABS(Bitkiler!$F$57-Topraklar!$F$48)+Ayarlar!$B$5*ABS(Bitkiler!$G$57-Topraklar!$G$48)+Ayarlar!$B$6*IF(Bitkiler!$H$57=Topraklar!$H$48,0,1))/Ayarlar!$B$7)+IF(Topraklar!$K$48=Bitkiler!$C$57,0.002,IF(Topraklar!$L$48="Evet",0.001,0)))</f>
        <v/>
      </c>
      <c r="AW58" s="16">
        <f>IF(OR(Topraklar!$J$49="Evet",AND(Topraklar!$L$49&lt;&gt;"Evet",Topraklar!$K$49&lt;&gt;Bitkiler!$C$57)),0,MAX(0,1-(Ayarlar!$B$2*ABS(Bitkiler!$D$57-Topraklar!$D$49)+Ayarlar!$B$3*ABS(Bitkiler!$E$57-Topraklar!$E$49)+Ayarlar!$B$4*ABS(Bitkiler!$F$57-Topraklar!$F$49)+Ayarlar!$B$5*ABS(Bitkiler!$G$57-Topraklar!$G$49)+Ayarlar!$B$6*IF(Bitkiler!$H$57=Topraklar!$H$49,0,1))/Ayarlar!$B$7)+IF(Topraklar!$K$49=Bitkiler!$C$57,0.002,IF(Topraklar!$L$49="Evet",0.001,0)))</f>
        <v/>
      </c>
      <c r="AX58" s="16">
        <f>IF(OR(Topraklar!$J$50="Evet",AND(Topraklar!$L$50&lt;&gt;"Evet",Topraklar!$K$50&lt;&gt;Bitkiler!$C$57)),0,MAX(0,1-(Ayarlar!$B$2*ABS(Bitkiler!$D$57-Topraklar!$D$50)+Ayarlar!$B$3*ABS(Bitkiler!$E$57-Topraklar!$E$50)+Ayarlar!$B$4*ABS(Bitkiler!$F$57-Topraklar!$F$50)+Ayarlar!$B$5*ABS(Bitkiler!$G$57-Topraklar!$G$50)+Ayarlar!$B$6*IF(Bitkiler!$H$57=Topraklar!$H$50,0,1))/Ayarlar!$B$7)+IF(Topraklar!$K$50=Bitkiler!$C$57,0.002,IF(Topraklar!$L$50="Evet",0.001,0)))</f>
        <v/>
      </c>
      <c r="AY58" s="16">
        <f>IF(OR(Topraklar!$J$51="Evet",AND(Topraklar!$L$51&lt;&gt;"Evet",Topraklar!$K$51&lt;&gt;Bitkiler!$C$57)),0,MAX(0,1-(Ayarlar!$B$2*ABS(Bitkiler!$D$57-Topraklar!$D$51)+Ayarlar!$B$3*ABS(Bitkiler!$E$57-Topraklar!$E$51)+Ayarlar!$B$4*ABS(Bitkiler!$F$57-Topraklar!$F$51)+Ayarlar!$B$5*ABS(Bitkiler!$G$57-Topraklar!$G$51)+Ayarlar!$B$6*IF(Bitkiler!$H$57=Topraklar!$H$51,0,1))/Ayarlar!$B$7)+IF(Topraklar!$K$51=Bitkiler!$C$57,0.002,IF(Topraklar!$L$51="Evet",0.001,0)))</f>
        <v/>
      </c>
    </row>
    <row r="59">
      <c r="A59" s="15">
        <f>Bitkiler!A58</f>
        <v/>
      </c>
      <c r="B59" s="16">
        <f>IF(OR(Topraklar!$J$2="Evet",AND(Topraklar!$L$2&lt;&gt;"Evet",Topraklar!$K$2&lt;&gt;Bitkiler!$C$58)),0,MAX(0,1-(Ayarlar!$B$2*ABS(Bitkiler!$D$58-Topraklar!$D$2)+Ayarlar!$B$3*ABS(Bitkiler!$E$58-Topraklar!$E$2)+Ayarlar!$B$4*ABS(Bitkiler!$F$58-Topraklar!$F$2)+Ayarlar!$B$5*ABS(Bitkiler!$G$58-Topraklar!$G$2)+Ayarlar!$B$6*IF(Bitkiler!$H$58=Topraklar!$H$2,0,1))/Ayarlar!$B$7)+IF(Topraklar!$K$2=Bitkiler!$C$58,0.002,IF(Topraklar!$L$2="Evet",0.001,0)))</f>
        <v/>
      </c>
      <c r="C59" s="16">
        <f>IF(OR(Topraklar!$J$3="Evet",AND(Topraklar!$L$3&lt;&gt;"Evet",Topraklar!$K$3&lt;&gt;Bitkiler!$C$58)),0,MAX(0,1-(Ayarlar!$B$2*ABS(Bitkiler!$D$58-Topraklar!$D$3)+Ayarlar!$B$3*ABS(Bitkiler!$E$58-Topraklar!$E$3)+Ayarlar!$B$4*ABS(Bitkiler!$F$58-Topraklar!$F$3)+Ayarlar!$B$5*ABS(Bitkiler!$G$58-Topraklar!$G$3)+Ayarlar!$B$6*IF(Bitkiler!$H$58=Topraklar!$H$3,0,1))/Ayarlar!$B$7)+IF(Topraklar!$K$3=Bitkiler!$C$58,0.002,IF(Topraklar!$L$3="Evet",0.001,0)))</f>
        <v/>
      </c>
      <c r="D59" s="16">
        <f>IF(OR(Topraklar!$J$4="Evet",AND(Topraklar!$L$4&lt;&gt;"Evet",Topraklar!$K$4&lt;&gt;Bitkiler!$C$58)),0,MAX(0,1-(Ayarlar!$B$2*ABS(Bitkiler!$D$58-Topraklar!$D$4)+Ayarlar!$B$3*ABS(Bitkiler!$E$58-Topraklar!$E$4)+Ayarlar!$B$4*ABS(Bitkiler!$F$58-Topraklar!$F$4)+Ayarlar!$B$5*ABS(Bitkiler!$G$58-Topraklar!$G$4)+Ayarlar!$B$6*IF(Bitkiler!$H$58=Topraklar!$H$4,0,1))/Ayarlar!$B$7)+IF(Topraklar!$K$4=Bitkiler!$C$58,0.002,IF(Topraklar!$L$4="Evet",0.001,0)))</f>
        <v/>
      </c>
      <c r="E59" s="16">
        <f>IF(OR(Topraklar!$J$5="Evet",AND(Topraklar!$L$5&lt;&gt;"Evet",Topraklar!$K$5&lt;&gt;Bitkiler!$C$58)),0,MAX(0,1-(Ayarlar!$B$2*ABS(Bitkiler!$D$58-Topraklar!$D$5)+Ayarlar!$B$3*ABS(Bitkiler!$E$58-Topraklar!$E$5)+Ayarlar!$B$4*ABS(Bitkiler!$F$58-Topraklar!$F$5)+Ayarlar!$B$5*ABS(Bitkiler!$G$58-Topraklar!$G$5)+Ayarlar!$B$6*IF(Bitkiler!$H$58=Topraklar!$H$5,0,1))/Ayarlar!$B$7)+IF(Topraklar!$K$5=Bitkiler!$C$58,0.002,IF(Topraklar!$L$5="Evet",0.001,0)))</f>
        <v/>
      </c>
      <c r="F59" s="16">
        <f>IF(OR(Topraklar!$J$6="Evet",AND(Topraklar!$L$6&lt;&gt;"Evet",Topraklar!$K$6&lt;&gt;Bitkiler!$C$58)),0,MAX(0,1-(Ayarlar!$B$2*ABS(Bitkiler!$D$58-Topraklar!$D$6)+Ayarlar!$B$3*ABS(Bitkiler!$E$58-Topraklar!$E$6)+Ayarlar!$B$4*ABS(Bitkiler!$F$58-Topraklar!$F$6)+Ayarlar!$B$5*ABS(Bitkiler!$G$58-Topraklar!$G$6)+Ayarlar!$B$6*IF(Bitkiler!$H$58=Topraklar!$H$6,0,1))/Ayarlar!$B$7)+IF(Topraklar!$K$6=Bitkiler!$C$58,0.002,IF(Topraklar!$L$6="Evet",0.001,0)))</f>
        <v/>
      </c>
      <c r="G59" s="16">
        <f>IF(OR(Topraklar!$J$7="Evet",AND(Topraklar!$L$7&lt;&gt;"Evet",Topraklar!$K$7&lt;&gt;Bitkiler!$C$58)),0,MAX(0,1-(Ayarlar!$B$2*ABS(Bitkiler!$D$58-Topraklar!$D$7)+Ayarlar!$B$3*ABS(Bitkiler!$E$58-Topraklar!$E$7)+Ayarlar!$B$4*ABS(Bitkiler!$F$58-Topraklar!$F$7)+Ayarlar!$B$5*ABS(Bitkiler!$G$58-Topraklar!$G$7)+Ayarlar!$B$6*IF(Bitkiler!$H$58=Topraklar!$H$7,0,1))/Ayarlar!$B$7)+IF(Topraklar!$K$7=Bitkiler!$C$58,0.002,IF(Topraklar!$L$7="Evet",0.001,0)))</f>
        <v/>
      </c>
      <c r="H59" s="16">
        <f>IF(OR(Topraklar!$J$8="Evet",AND(Topraklar!$L$8&lt;&gt;"Evet",Topraklar!$K$8&lt;&gt;Bitkiler!$C$58)),0,MAX(0,1-(Ayarlar!$B$2*ABS(Bitkiler!$D$58-Topraklar!$D$8)+Ayarlar!$B$3*ABS(Bitkiler!$E$58-Topraklar!$E$8)+Ayarlar!$B$4*ABS(Bitkiler!$F$58-Topraklar!$F$8)+Ayarlar!$B$5*ABS(Bitkiler!$G$58-Topraklar!$G$8)+Ayarlar!$B$6*IF(Bitkiler!$H$58=Topraklar!$H$8,0,1))/Ayarlar!$B$7)+IF(Topraklar!$K$8=Bitkiler!$C$58,0.002,IF(Topraklar!$L$8="Evet",0.001,0)))</f>
        <v/>
      </c>
      <c r="I59" s="16">
        <f>IF(OR(Topraklar!$J$9="Evet",AND(Topraklar!$L$9&lt;&gt;"Evet",Topraklar!$K$9&lt;&gt;Bitkiler!$C$58)),0,MAX(0,1-(Ayarlar!$B$2*ABS(Bitkiler!$D$58-Topraklar!$D$9)+Ayarlar!$B$3*ABS(Bitkiler!$E$58-Topraklar!$E$9)+Ayarlar!$B$4*ABS(Bitkiler!$F$58-Topraklar!$F$9)+Ayarlar!$B$5*ABS(Bitkiler!$G$58-Topraklar!$G$9)+Ayarlar!$B$6*IF(Bitkiler!$H$58=Topraklar!$H$9,0,1))/Ayarlar!$B$7)+IF(Topraklar!$K$9=Bitkiler!$C$58,0.002,IF(Topraklar!$L$9="Evet",0.001,0)))</f>
        <v/>
      </c>
      <c r="J59" s="16">
        <f>IF(OR(Topraklar!$J$10="Evet",AND(Topraklar!$L$10&lt;&gt;"Evet",Topraklar!$K$10&lt;&gt;Bitkiler!$C$58)),0,MAX(0,1-(Ayarlar!$B$2*ABS(Bitkiler!$D$58-Topraklar!$D$10)+Ayarlar!$B$3*ABS(Bitkiler!$E$58-Topraklar!$E$10)+Ayarlar!$B$4*ABS(Bitkiler!$F$58-Topraklar!$F$10)+Ayarlar!$B$5*ABS(Bitkiler!$G$58-Topraklar!$G$10)+Ayarlar!$B$6*IF(Bitkiler!$H$58=Topraklar!$H$10,0,1))/Ayarlar!$B$7)+IF(Topraklar!$K$10=Bitkiler!$C$58,0.002,IF(Topraklar!$L$10="Evet",0.001,0)))</f>
        <v/>
      </c>
      <c r="K59" s="16">
        <f>IF(OR(Topraklar!$J$11="Evet",AND(Topraklar!$L$11&lt;&gt;"Evet",Topraklar!$K$11&lt;&gt;Bitkiler!$C$58)),0,MAX(0,1-(Ayarlar!$B$2*ABS(Bitkiler!$D$58-Topraklar!$D$11)+Ayarlar!$B$3*ABS(Bitkiler!$E$58-Topraklar!$E$11)+Ayarlar!$B$4*ABS(Bitkiler!$F$58-Topraklar!$F$11)+Ayarlar!$B$5*ABS(Bitkiler!$G$58-Topraklar!$G$11)+Ayarlar!$B$6*IF(Bitkiler!$H$58=Topraklar!$H$11,0,1))/Ayarlar!$B$7)+IF(Topraklar!$K$11=Bitkiler!$C$58,0.002,IF(Topraklar!$L$11="Evet",0.001,0)))</f>
        <v/>
      </c>
      <c r="L59" s="16">
        <f>IF(OR(Topraklar!$J$12="Evet",AND(Topraklar!$L$12&lt;&gt;"Evet",Topraklar!$K$12&lt;&gt;Bitkiler!$C$58)),0,MAX(0,1-(Ayarlar!$B$2*ABS(Bitkiler!$D$58-Topraklar!$D$12)+Ayarlar!$B$3*ABS(Bitkiler!$E$58-Topraklar!$E$12)+Ayarlar!$B$4*ABS(Bitkiler!$F$58-Topraklar!$F$12)+Ayarlar!$B$5*ABS(Bitkiler!$G$58-Topraklar!$G$12)+Ayarlar!$B$6*IF(Bitkiler!$H$58=Topraklar!$H$12,0,1))/Ayarlar!$B$7)+IF(Topraklar!$K$12=Bitkiler!$C$58,0.002,IF(Topraklar!$L$12="Evet",0.001,0)))</f>
        <v/>
      </c>
      <c r="M59" s="16">
        <f>IF(OR(Topraklar!$J$13="Evet",AND(Topraklar!$L$13&lt;&gt;"Evet",Topraklar!$K$13&lt;&gt;Bitkiler!$C$58)),0,MAX(0,1-(Ayarlar!$B$2*ABS(Bitkiler!$D$58-Topraklar!$D$13)+Ayarlar!$B$3*ABS(Bitkiler!$E$58-Topraklar!$E$13)+Ayarlar!$B$4*ABS(Bitkiler!$F$58-Topraklar!$F$13)+Ayarlar!$B$5*ABS(Bitkiler!$G$58-Topraklar!$G$13)+Ayarlar!$B$6*IF(Bitkiler!$H$58=Topraklar!$H$13,0,1))/Ayarlar!$B$7)+IF(Topraklar!$K$13=Bitkiler!$C$58,0.002,IF(Topraklar!$L$13="Evet",0.001,0)))</f>
        <v/>
      </c>
      <c r="N59" s="16">
        <f>IF(OR(Topraklar!$J$14="Evet",AND(Topraklar!$L$14&lt;&gt;"Evet",Topraklar!$K$14&lt;&gt;Bitkiler!$C$58)),0,MAX(0,1-(Ayarlar!$B$2*ABS(Bitkiler!$D$58-Topraklar!$D$14)+Ayarlar!$B$3*ABS(Bitkiler!$E$58-Topraklar!$E$14)+Ayarlar!$B$4*ABS(Bitkiler!$F$58-Topraklar!$F$14)+Ayarlar!$B$5*ABS(Bitkiler!$G$58-Topraklar!$G$14)+Ayarlar!$B$6*IF(Bitkiler!$H$58=Topraklar!$H$14,0,1))/Ayarlar!$B$7)+IF(Topraklar!$K$14=Bitkiler!$C$58,0.002,IF(Topraklar!$L$14="Evet",0.001,0)))</f>
        <v/>
      </c>
      <c r="O59" s="16">
        <f>IF(OR(Topraklar!$J$15="Evet",AND(Topraklar!$L$15&lt;&gt;"Evet",Topraklar!$K$15&lt;&gt;Bitkiler!$C$58)),0,MAX(0,1-(Ayarlar!$B$2*ABS(Bitkiler!$D$58-Topraklar!$D$15)+Ayarlar!$B$3*ABS(Bitkiler!$E$58-Topraklar!$E$15)+Ayarlar!$B$4*ABS(Bitkiler!$F$58-Topraklar!$F$15)+Ayarlar!$B$5*ABS(Bitkiler!$G$58-Topraklar!$G$15)+Ayarlar!$B$6*IF(Bitkiler!$H$58=Topraklar!$H$15,0,1))/Ayarlar!$B$7)+IF(Topraklar!$K$15=Bitkiler!$C$58,0.002,IF(Topraklar!$L$15="Evet",0.001,0)))</f>
        <v/>
      </c>
      <c r="P59" s="16">
        <f>IF(OR(Topraklar!$J$16="Evet",AND(Topraklar!$L$16&lt;&gt;"Evet",Topraklar!$K$16&lt;&gt;Bitkiler!$C$58)),0,MAX(0,1-(Ayarlar!$B$2*ABS(Bitkiler!$D$58-Topraklar!$D$16)+Ayarlar!$B$3*ABS(Bitkiler!$E$58-Topraklar!$E$16)+Ayarlar!$B$4*ABS(Bitkiler!$F$58-Topraklar!$F$16)+Ayarlar!$B$5*ABS(Bitkiler!$G$58-Topraklar!$G$16)+Ayarlar!$B$6*IF(Bitkiler!$H$58=Topraklar!$H$16,0,1))/Ayarlar!$B$7)+IF(Topraklar!$K$16=Bitkiler!$C$58,0.002,IF(Topraklar!$L$16="Evet",0.001,0)))</f>
        <v/>
      </c>
      <c r="Q59" s="16">
        <f>IF(OR(Topraklar!$J$17="Evet",AND(Topraklar!$L$17&lt;&gt;"Evet",Topraklar!$K$17&lt;&gt;Bitkiler!$C$58)),0,MAX(0,1-(Ayarlar!$B$2*ABS(Bitkiler!$D$58-Topraklar!$D$17)+Ayarlar!$B$3*ABS(Bitkiler!$E$58-Topraklar!$E$17)+Ayarlar!$B$4*ABS(Bitkiler!$F$58-Topraklar!$F$17)+Ayarlar!$B$5*ABS(Bitkiler!$G$58-Topraklar!$G$17)+Ayarlar!$B$6*IF(Bitkiler!$H$58=Topraklar!$H$17,0,1))/Ayarlar!$B$7)+IF(Topraklar!$K$17=Bitkiler!$C$58,0.002,IF(Topraklar!$L$17="Evet",0.001,0)))</f>
        <v/>
      </c>
      <c r="R59" s="16">
        <f>IF(OR(Topraklar!$J$18="Evet",AND(Topraklar!$L$18&lt;&gt;"Evet",Topraklar!$K$18&lt;&gt;Bitkiler!$C$58)),0,MAX(0,1-(Ayarlar!$B$2*ABS(Bitkiler!$D$58-Topraklar!$D$18)+Ayarlar!$B$3*ABS(Bitkiler!$E$58-Topraklar!$E$18)+Ayarlar!$B$4*ABS(Bitkiler!$F$58-Topraklar!$F$18)+Ayarlar!$B$5*ABS(Bitkiler!$G$58-Topraklar!$G$18)+Ayarlar!$B$6*IF(Bitkiler!$H$58=Topraklar!$H$18,0,1))/Ayarlar!$B$7)+IF(Topraklar!$K$18=Bitkiler!$C$58,0.002,IF(Topraklar!$L$18="Evet",0.001,0)))</f>
        <v/>
      </c>
      <c r="S59" s="16">
        <f>IF(OR(Topraklar!$J$19="Evet",AND(Topraklar!$L$19&lt;&gt;"Evet",Topraklar!$K$19&lt;&gt;Bitkiler!$C$58)),0,MAX(0,1-(Ayarlar!$B$2*ABS(Bitkiler!$D$58-Topraklar!$D$19)+Ayarlar!$B$3*ABS(Bitkiler!$E$58-Topraklar!$E$19)+Ayarlar!$B$4*ABS(Bitkiler!$F$58-Topraklar!$F$19)+Ayarlar!$B$5*ABS(Bitkiler!$G$58-Topraklar!$G$19)+Ayarlar!$B$6*IF(Bitkiler!$H$58=Topraklar!$H$19,0,1))/Ayarlar!$B$7)+IF(Topraklar!$K$19=Bitkiler!$C$58,0.002,IF(Topraklar!$L$19="Evet",0.001,0)))</f>
        <v/>
      </c>
      <c r="T59" s="16">
        <f>IF(OR(Topraklar!$J$20="Evet",AND(Topraklar!$L$20&lt;&gt;"Evet",Topraklar!$K$20&lt;&gt;Bitkiler!$C$58)),0,MAX(0,1-(Ayarlar!$B$2*ABS(Bitkiler!$D$58-Topraklar!$D$20)+Ayarlar!$B$3*ABS(Bitkiler!$E$58-Topraklar!$E$20)+Ayarlar!$B$4*ABS(Bitkiler!$F$58-Topraklar!$F$20)+Ayarlar!$B$5*ABS(Bitkiler!$G$58-Topraklar!$G$20)+Ayarlar!$B$6*IF(Bitkiler!$H$58=Topraklar!$H$20,0,1))/Ayarlar!$B$7)+IF(Topraklar!$K$20=Bitkiler!$C$58,0.002,IF(Topraklar!$L$20="Evet",0.001,0)))</f>
        <v/>
      </c>
      <c r="U59" s="16">
        <f>IF(OR(Topraklar!$J$21="Evet",AND(Topraklar!$L$21&lt;&gt;"Evet",Topraklar!$K$21&lt;&gt;Bitkiler!$C$58)),0,MAX(0,1-(Ayarlar!$B$2*ABS(Bitkiler!$D$58-Topraklar!$D$21)+Ayarlar!$B$3*ABS(Bitkiler!$E$58-Topraklar!$E$21)+Ayarlar!$B$4*ABS(Bitkiler!$F$58-Topraklar!$F$21)+Ayarlar!$B$5*ABS(Bitkiler!$G$58-Topraklar!$G$21)+Ayarlar!$B$6*IF(Bitkiler!$H$58=Topraklar!$H$21,0,1))/Ayarlar!$B$7)+IF(Topraklar!$K$21=Bitkiler!$C$58,0.002,IF(Topraklar!$L$21="Evet",0.001,0)))</f>
        <v/>
      </c>
      <c r="V59" s="16">
        <f>IF(OR(Topraklar!$J$22="Evet",AND(Topraklar!$L$22&lt;&gt;"Evet",Topraklar!$K$22&lt;&gt;Bitkiler!$C$58)),0,MAX(0,1-(Ayarlar!$B$2*ABS(Bitkiler!$D$58-Topraklar!$D$22)+Ayarlar!$B$3*ABS(Bitkiler!$E$58-Topraklar!$E$22)+Ayarlar!$B$4*ABS(Bitkiler!$F$58-Topraklar!$F$22)+Ayarlar!$B$5*ABS(Bitkiler!$G$58-Topraklar!$G$22)+Ayarlar!$B$6*IF(Bitkiler!$H$58=Topraklar!$H$22,0,1))/Ayarlar!$B$7)+IF(Topraklar!$K$22=Bitkiler!$C$58,0.002,IF(Topraklar!$L$22="Evet",0.001,0)))</f>
        <v/>
      </c>
      <c r="W59" s="16">
        <f>IF(OR(Topraklar!$J$23="Evet",AND(Topraklar!$L$23&lt;&gt;"Evet",Topraklar!$K$23&lt;&gt;Bitkiler!$C$58)),0,MAX(0,1-(Ayarlar!$B$2*ABS(Bitkiler!$D$58-Topraklar!$D$23)+Ayarlar!$B$3*ABS(Bitkiler!$E$58-Topraklar!$E$23)+Ayarlar!$B$4*ABS(Bitkiler!$F$58-Topraklar!$F$23)+Ayarlar!$B$5*ABS(Bitkiler!$G$58-Topraklar!$G$23)+Ayarlar!$B$6*IF(Bitkiler!$H$58=Topraklar!$H$23,0,1))/Ayarlar!$B$7)+IF(Topraklar!$K$23=Bitkiler!$C$58,0.002,IF(Topraklar!$L$23="Evet",0.001,0)))</f>
        <v/>
      </c>
      <c r="X59" s="16">
        <f>IF(OR(Topraklar!$J$24="Evet",AND(Topraklar!$L$24&lt;&gt;"Evet",Topraklar!$K$24&lt;&gt;Bitkiler!$C$58)),0,MAX(0,1-(Ayarlar!$B$2*ABS(Bitkiler!$D$58-Topraklar!$D$24)+Ayarlar!$B$3*ABS(Bitkiler!$E$58-Topraklar!$E$24)+Ayarlar!$B$4*ABS(Bitkiler!$F$58-Topraklar!$F$24)+Ayarlar!$B$5*ABS(Bitkiler!$G$58-Topraklar!$G$24)+Ayarlar!$B$6*IF(Bitkiler!$H$58=Topraklar!$H$24,0,1))/Ayarlar!$B$7)+IF(Topraklar!$K$24=Bitkiler!$C$58,0.002,IF(Topraklar!$L$24="Evet",0.001,0)))</f>
        <v/>
      </c>
      <c r="Y59" s="16">
        <f>IF(OR(Topraklar!$J$25="Evet",AND(Topraklar!$L$25&lt;&gt;"Evet",Topraklar!$K$25&lt;&gt;Bitkiler!$C$58)),0,MAX(0,1-(Ayarlar!$B$2*ABS(Bitkiler!$D$58-Topraklar!$D$25)+Ayarlar!$B$3*ABS(Bitkiler!$E$58-Topraklar!$E$25)+Ayarlar!$B$4*ABS(Bitkiler!$F$58-Topraklar!$F$25)+Ayarlar!$B$5*ABS(Bitkiler!$G$58-Topraklar!$G$25)+Ayarlar!$B$6*IF(Bitkiler!$H$58=Topraklar!$H$25,0,1))/Ayarlar!$B$7)+IF(Topraklar!$K$25=Bitkiler!$C$58,0.002,IF(Topraklar!$L$25="Evet",0.001,0)))</f>
        <v/>
      </c>
      <c r="Z59" s="16">
        <f>IF(OR(Topraklar!$J$26="Evet",AND(Topraklar!$L$26&lt;&gt;"Evet",Topraklar!$K$26&lt;&gt;Bitkiler!$C$58)),0,MAX(0,1-(Ayarlar!$B$2*ABS(Bitkiler!$D$58-Topraklar!$D$26)+Ayarlar!$B$3*ABS(Bitkiler!$E$58-Topraklar!$E$26)+Ayarlar!$B$4*ABS(Bitkiler!$F$58-Topraklar!$F$26)+Ayarlar!$B$5*ABS(Bitkiler!$G$58-Topraklar!$G$26)+Ayarlar!$B$6*IF(Bitkiler!$H$58=Topraklar!$H$26,0,1))/Ayarlar!$B$7)+IF(Topraklar!$K$26=Bitkiler!$C$58,0.002,IF(Topraklar!$L$26="Evet",0.001,0)))</f>
        <v/>
      </c>
      <c r="AA59" s="16">
        <f>IF(OR(Topraklar!$J$27="Evet",AND(Topraklar!$L$27&lt;&gt;"Evet",Topraklar!$K$27&lt;&gt;Bitkiler!$C$58)),0,MAX(0,1-(Ayarlar!$B$2*ABS(Bitkiler!$D$58-Topraklar!$D$27)+Ayarlar!$B$3*ABS(Bitkiler!$E$58-Topraklar!$E$27)+Ayarlar!$B$4*ABS(Bitkiler!$F$58-Topraklar!$F$27)+Ayarlar!$B$5*ABS(Bitkiler!$G$58-Topraklar!$G$27)+Ayarlar!$B$6*IF(Bitkiler!$H$58=Topraklar!$H$27,0,1))/Ayarlar!$B$7)+IF(Topraklar!$K$27=Bitkiler!$C$58,0.002,IF(Topraklar!$L$27="Evet",0.001,0)))</f>
        <v/>
      </c>
      <c r="AB59" s="16">
        <f>IF(OR(Topraklar!$J$28="Evet",AND(Topraklar!$L$28&lt;&gt;"Evet",Topraklar!$K$28&lt;&gt;Bitkiler!$C$58)),0,MAX(0,1-(Ayarlar!$B$2*ABS(Bitkiler!$D$58-Topraklar!$D$28)+Ayarlar!$B$3*ABS(Bitkiler!$E$58-Topraklar!$E$28)+Ayarlar!$B$4*ABS(Bitkiler!$F$58-Topraklar!$F$28)+Ayarlar!$B$5*ABS(Bitkiler!$G$58-Topraklar!$G$28)+Ayarlar!$B$6*IF(Bitkiler!$H$58=Topraklar!$H$28,0,1))/Ayarlar!$B$7)+IF(Topraklar!$K$28=Bitkiler!$C$58,0.002,IF(Topraklar!$L$28="Evet",0.001,0)))</f>
        <v/>
      </c>
      <c r="AC59" s="16">
        <f>IF(OR(Topraklar!$J$29="Evet",AND(Topraklar!$L$29&lt;&gt;"Evet",Topraklar!$K$29&lt;&gt;Bitkiler!$C$58)),0,MAX(0,1-(Ayarlar!$B$2*ABS(Bitkiler!$D$58-Topraklar!$D$29)+Ayarlar!$B$3*ABS(Bitkiler!$E$58-Topraklar!$E$29)+Ayarlar!$B$4*ABS(Bitkiler!$F$58-Topraklar!$F$29)+Ayarlar!$B$5*ABS(Bitkiler!$G$58-Topraklar!$G$29)+Ayarlar!$B$6*IF(Bitkiler!$H$58=Topraklar!$H$29,0,1))/Ayarlar!$B$7)+IF(Topraklar!$K$29=Bitkiler!$C$58,0.002,IF(Topraklar!$L$29="Evet",0.001,0)))</f>
        <v/>
      </c>
      <c r="AD59" s="16">
        <f>IF(OR(Topraklar!$J$30="Evet",AND(Topraklar!$L$30&lt;&gt;"Evet",Topraklar!$K$30&lt;&gt;Bitkiler!$C$58)),0,MAX(0,1-(Ayarlar!$B$2*ABS(Bitkiler!$D$58-Topraklar!$D$30)+Ayarlar!$B$3*ABS(Bitkiler!$E$58-Topraklar!$E$30)+Ayarlar!$B$4*ABS(Bitkiler!$F$58-Topraklar!$F$30)+Ayarlar!$B$5*ABS(Bitkiler!$G$58-Topraklar!$G$30)+Ayarlar!$B$6*IF(Bitkiler!$H$58=Topraklar!$H$30,0,1))/Ayarlar!$B$7)+IF(Topraklar!$K$30=Bitkiler!$C$58,0.002,IF(Topraklar!$L$30="Evet",0.001,0)))</f>
        <v/>
      </c>
      <c r="AE59" s="16">
        <f>IF(OR(Topraklar!$J$31="Evet",AND(Topraklar!$L$31&lt;&gt;"Evet",Topraklar!$K$31&lt;&gt;Bitkiler!$C$58)),0,MAX(0,1-(Ayarlar!$B$2*ABS(Bitkiler!$D$58-Topraklar!$D$31)+Ayarlar!$B$3*ABS(Bitkiler!$E$58-Topraklar!$E$31)+Ayarlar!$B$4*ABS(Bitkiler!$F$58-Topraklar!$F$31)+Ayarlar!$B$5*ABS(Bitkiler!$G$58-Topraklar!$G$31)+Ayarlar!$B$6*IF(Bitkiler!$H$58=Topraklar!$H$31,0,1))/Ayarlar!$B$7)+IF(Topraklar!$K$31=Bitkiler!$C$58,0.002,IF(Topraklar!$L$31="Evet",0.001,0)))</f>
        <v/>
      </c>
      <c r="AF59" s="16">
        <f>IF(OR(Topraklar!$J$32="Evet",AND(Topraklar!$L$32&lt;&gt;"Evet",Topraklar!$K$32&lt;&gt;Bitkiler!$C$58)),0,MAX(0,1-(Ayarlar!$B$2*ABS(Bitkiler!$D$58-Topraklar!$D$32)+Ayarlar!$B$3*ABS(Bitkiler!$E$58-Topraklar!$E$32)+Ayarlar!$B$4*ABS(Bitkiler!$F$58-Topraklar!$F$32)+Ayarlar!$B$5*ABS(Bitkiler!$G$58-Topraklar!$G$32)+Ayarlar!$B$6*IF(Bitkiler!$H$58=Topraklar!$H$32,0,1))/Ayarlar!$B$7)+IF(Topraklar!$K$32=Bitkiler!$C$58,0.002,IF(Topraklar!$L$32="Evet",0.001,0)))</f>
        <v/>
      </c>
      <c r="AG59" s="16">
        <f>IF(OR(Topraklar!$J$33="Evet",AND(Topraklar!$L$33&lt;&gt;"Evet",Topraklar!$K$33&lt;&gt;Bitkiler!$C$58)),0,MAX(0,1-(Ayarlar!$B$2*ABS(Bitkiler!$D$58-Topraklar!$D$33)+Ayarlar!$B$3*ABS(Bitkiler!$E$58-Topraklar!$E$33)+Ayarlar!$B$4*ABS(Bitkiler!$F$58-Topraklar!$F$33)+Ayarlar!$B$5*ABS(Bitkiler!$G$58-Topraklar!$G$33)+Ayarlar!$B$6*IF(Bitkiler!$H$58=Topraklar!$H$33,0,1))/Ayarlar!$B$7)+IF(Topraklar!$K$33=Bitkiler!$C$58,0.002,IF(Topraklar!$L$33="Evet",0.001,0)))</f>
        <v/>
      </c>
      <c r="AH59" s="16">
        <f>IF(OR(Topraklar!$J$34="Evet",AND(Topraklar!$L$34&lt;&gt;"Evet",Topraklar!$K$34&lt;&gt;Bitkiler!$C$58)),0,MAX(0,1-(Ayarlar!$B$2*ABS(Bitkiler!$D$58-Topraklar!$D$34)+Ayarlar!$B$3*ABS(Bitkiler!$E$58-Topraklar!$E$34)+Ayarlar!$B$4*ABS(Bitkiler!$F$58-Topraklar!$F$34)+Ayarlar!$B$5*ABS(Bitkiler!$G$58-Topraklar!$G$34)+Ayarlar!$B$6*IF(Bitkiler!$H$58=Topraklar!$H$34,0,1))/Ayarlar!$B$7)+IF(Topraklar!$K$34=Bitkiler!$C$58,0.002,IF(Topraklar!$L$34="Evet",0.001,0)))</f>
        <v/>
      </c>
      <c r="AI59" s="16">
        <f>IF(OR(Topraklar!$J$35="Evet",AND(Topraklar!$L$35&lt;&gt;"Evet",Topraklar!$K$35&lt;&gt;Bitkiler!$C$58)),0,MAX(0,1-(Ayarlar!$B$2*ABS(Bitkiler!$D$58-Topraklar!$D$35)+Ayarlar!$B$3*ABS(Bitkiler!$E$58-Topraklar!$E$35)+Ayarlar!$B$4*ABS(Bitkiler!$F$58-Topraklar!$F$35)+Ayarlar!$B$5*ABS(Bitkiler!$G$58-Topraklar!$G$35)+Ayarlar!$B$6*IF(Bitkiler!$H$58=Topraklar!$H$35,0,1))/Ayarlar!$B$7)+IF(Topraklar!$K$35=Bitkiler!$C$58,0.002,IF(Topraklar!$L$35="Evet",0.001,0)))</f>
        <v/>
      </c>
      <c r="AJ59" s="16">
        <f>IF(OR(Topraklar!$J$36="Evet",AND(Topraklar!$L$36&lt;&gt;"Evet",Topraklar!$K$36&lt;&gt;Bitkiler!$C$58)),0,MAX(0,1-(Ayarlar!$B$2*ABS(Bitkiler!$D$58-Topraklar!$D$36)+Ayarlar!$B$3*ABS(Bitkiler!$E$58-Topraklar!$E$36)+Ayarlar!$B$4*ABS(Bitkiler!$F$58-Topraklar!$F$36)+Ayarlar!$B$5*ABS(Bitkiler!$G$58-Topraklar!$G$36)+Ayarlar!$B$6*IF(Bitkiler!$H$58=Topraklar!$H$36,0,1))/Ayarlar!$B$7)+IF(Topraklar!$K$36=Bitkiler!$C$58,0.002,IF(Topraklar!$L$36="Evet",0.001,0)))</f>
        <v/>
      </c>
      <c r="AK59" s="16">
        <f>IF(OR(Topraklar!$J$37="Evet",AND(Topraklar!$L$37&lt;&gt;"Evet",Topraklar!$K$37&lt;&gt;Bitkiler!$C$58)),0,MAX(0,1-(Ayarlar!$B$2*ABS(Bitkiler!$D$58-Topraklar!$D$37)+Ayarlar!$B$3*ABS(Bitkiler!$E$58-Topraklar!$E$37)+Ayarlar!$B$4*ABS(Bitkiler!$F$58-Topraklar!$F$37)+Ayarlar!$B$5*ABS(Bitkiler!$G$58-Topraklar!$G$37)+Ayarlar!$B$6*IF(Bitkiler!$H$58=Topraklar!$H$37,0,1))/Ayarlar!$B$7)+IF(Topraklar!$K$37=Bitkiler!$C$58,0.002,IF(Topraklar!$L$37="Evet",0.001,0)))</f>
        <v/>
      </c>
      <c r="AL59" s="16">
        <f>IF(OR(Topraklar!$J$38="Evet",AND(Topraklar!$L$38&lt;&gt;"Evet",Topraklar!$K$38&lt;&gt;Bitkiler!$C$58)),0,MAX(0,1-(Ayarlar!$B$2*ABS(Bitkiler!$D$58-Topraklar!$D$38)+Ayarlar!$B$3*ABS(Bitkiler!$E$58-Topraklar!$E$38)+Ayarlar!$B$4*ABS(Bitkiler!$F$58-Topraklar!$F$38)+Ayarlar!$B$5*ABS(Bitkiler!$G$58-Topraklar!$G$38)+Ayarlar!$B$6*IF(Bitkiler!$H$58=Topraklar!$H$38,0,1))/Ayarlar!$B$7)+IF(Topraklar!$K$38=Bitkiler!$C$58,0.002,IF(Topraklar!$L$38="Evet",0.001,0)))</f>
        <v/>
      </c>
      <c r="AM59" s="16">
        <f>IF(OR(Topraklar!$J$39="Evet",AND(Topraklar!$L$39&lt;&gt;"Evet",Topraklar!$K$39&lt;&gt;Bitkiler!$C$58)),0,MAX(0,1-(Ayarlar!$B$2*ABS(Bitkiler!$D$58-Topraklar!$D$39)+Ayarlar!$B$3*ABS(Bitkiler!$E$58-Topraklar!$E$39)+Ayarlar!$B$4*ABS(Bitkiler!$F$58-Topraklar!$F$39)+Ayarlar!$B$5*ABS(Bitkiler!$G$58-Topraklar!$G$39)+Ayarlar!$B$6*IF(Bitkiler!$H$58=Topraklar!$H$39,0,1))/Ayarlar!$B$7)+IF(Topraklar!$K$39=Bitkiler!$C$58,0.002,IF(Topraklar!$L$39="Evet",0.001,0)))</f>
        <v/>
      </c>
      <c r="AN59" s="16">
        <f>IF(OR(Topraklar!$J$40="Evet",AND(Topraklar!$L$40&lt;&gt;"Evet",Topraklar!$K$40&lt;&gt;Bitkiler!$C$58)),0,MAX(0,1-(Ayarlar!$B$2*ABS(Bitkiler!$D$58-Topraklar!$D$40)+Ayarlar!$B$3*ABS(Bitkiler!$E$58-Topraklar!$E$40)+Ayarlar!$B$4*ABS(Bitkiler!$F$58-Topraklar!$F$40)+Ayarlar!$B$5*ABS(Bitkiler!$G$58-Topraklar!$G$40)+Ayarlar!$B$6*IF(Bitkiler!$H$58=Topraklar!$H$40,0,1))/Ayarlar!$B$7)+IF(Topraklar!$K$40=Bitkiler!$C$58,0.002,IF(Topraklar!$L$40="Evet",0.001,0)))</f>
        <v/>
      </c>
      <c r="AO59" s="16">
        <f>IF(OR(Topraklar!$J$41="Evet",AND(Topraklar!$L$41&lt;&gt;"Evet",Topraklar!$K$41&lt;&gt;Bitkiler!$C$58)),0,MAX(0,1-(Ayarlar!$B$2*ABS(Bitkiler!$D$58-Topraklar!$D$41)+Ayarlar!$B$3*ABS(Bitkiler!$E$58-Topraklar!$E$41)+Ayarlar!$B$4*ABS(Bitkiler!$F$58-Topraklar!$F$41)+Ayarlar!$B$5*ABS(Bitkiler!$G$58-Topraklar!$G$41)+Ayarlar!$B$6*IF(Bitkiler!$H$58=Topraklar!$H$41,0,1))/Ayarlar!$B$7)+IF(Topraklar!$K$41=Bitkiler!$C$58,0.002,IF(Topraklar!$L$41="Evet",0.001,0)))</f>
        <v/>
      </c>
      <c r="AP59" s="16">
        <f>IF(OR(Topraklar!$J$42="Evet",AND(Topraklar!$L$42&lt;&gt;"Evet",Topraklar!$K$42&lt;&gt;Bitkiler!$C$58)),0,MAX(0,1-(Ayarlar!$B$2*ABS(Bitkiler!$D$58-Topraklar!$D$42)+Ayarlar!$B$3*ABS(Bitkiler!$E$58-Topraklar!$E$42)+Ayarlar!$B$4*ABS(Bitkiler!$F$58-Topraklar!$F$42)+Ayarlar!$B$5*ABS(Bitkiler!$G$58-Topraklar!$G$42)+Ayarlar!$B$6*IF(Bitkiler!$H$58=Topraklar!$H$42,0,1))/Ayarlar!$B$7)+IF(Topraklar!$K$42=Bitkiler!$C$58,0.002,IF(Topraklar!$L$42="Evet",0.001,0)))</f>
        <v/>
      </c>
      <c r="AQ59" s="16">
        <f>IF(OR(Topraklar!$J$43="Evet",AND(Topraklar!$L$43&lt;&gt;"Evet",Topraklar!$K$43&lt;&gt;Bitkiler!$C$58)),0,MAX(0,1-(Ayarlar!$B$2*ABS(Bitkiler!$D$58-Topraklar!$D$43)+Ayarlar!$B$3*ABS(Bitkiler!$E$58-Topraklar!$E$43)+Ayarlar!$B$4*ABS(Bitkiler!$F$58-Topraklar!$F$43)+Ayarlar!$B$5*ABS(Bitkiler!$G$58-Topraklar!$G$43)+Ayarlar!$B$6*IF(Bitkiler!$H$58=Topraklar!$H$43,0,1))/Ayarlar!$B$7)+IF(Topraklar!$K$43=Bitkiler!$C$58,0.002,IF(Topraklar!$L$43="Evet",0.001,0)))</f>
        <v/>
      </c>
      <c r="AR59" s="16">
        <f>IF(OR(Topraklar!$J$44="Evet",AND(Topraklar!$L$44&lt;&gt;"Evet",Topraklar!$K$44&lt;&gt;Bitkiler!$C$58)),0,MAX(0,1-(Ayarlar!$B$2*ABS(Bitkiler!$D$58-Topraklar!$D$44)+Ayarlar!$B$3*ABS(Bitkiler!$E$58-Topraklar!$E$44)+Ayarlar!$B$4*ABS(Bitkiler!$F$58-Topraklar!$F$44)+Ayarlar!$B$5*ABS(Bitkiler!$G$58-Topraklar!$G$44)+Ayarlar!$B$6*IF(Bitkiler!$H$58=Topraklar!$H$44,0,1))/Ayarlar!$B$7)+IF(Topraklar!$K$44=Bitkiler!$C$58,0.002,IF(Topraklar!$L$44="Evet",0.001,0)))</f>
        <v/>
      </c>
      <c r="AS59" s="16">
        <f>IF(OR(Topraklar!$J$45="Evet",AND(Topraklar!$L$45&lt;&gt;"Evet",Topraklar!$K$45&lt;&gt;Bitkiler!$C$58)),0,MAX(0,1-(Ayarlar!$B$2*ABS(Bitkiler!$D$58-Topraklar!$D$45)+Ayarlar!$B$3*ABS(Bitkiler!$E$58-Topraklar!$E$45)+Ayarlar!$B$4*ABS(Bitkiler!$F$58-Topraklar!$F$45)+Ayarlar!$B$5*ABS(Bitkiler!$G$58-Topraklar!$G$45)+Ayarlar!$B$6*IF(Bitkiler!$H$58=Topraklar!$H$45,0,1))/Ayarlar!$B$7)+IF(Topraklar!$K$45=Bitkiler!$C$58,0.002,IF(Topraklar!$L$45="Evet",0.001,0)))</f>
        <v/>
      </c>
      <c r="AT59" s="16">
        <f>IF(OR(Topraklar!$J$46="Evet",AND(Topraklar!$L$46&lt;&gt;"Evet",Topraklar!$K$46&lt;&gt;Bitkiler!$C$58)),0,MAX(0,1-(Ayarlar!$B$2*ABS(Bitkiler!$D$58-Topraklar!$D$46)+Ayarlar!$B$3*ABS(Bitkiler!$E$58-Topraklar!$E$46)+Ayarlar!$B$4*ABS(Bitkiler!$F$58-Topraklar!$F$46)+Ayarlar!$B$5*ABS(Bitkiler!$G$58-Topraklar!$G$46)+Ayarlar!$B$6*IF(Bitkiler!$H$58=Topraklar!$H$46,0,1))/Ayarlar!$B$7)+IF(Topraklar!$K$46=Bitkiler!$C$58,0.002,IF(Topraklar!$L$46="Evet",0.001,0)))</f>
        <v/>
      </c>
      <c r="AU59" s="16">
        <f>IF(OR(Topraklar!$J$47="Evet",AND(Topraklar!$L$47&lt;&gt;"Evet",Topraklar!$K$47&lt;&gt;Bitkiler!$C$58)),0,MAX(0,1-(Ayarlar!$B$2*ABS(Bitkiler!$D$58-Topraklar!$D$47)+Ayarlar!$B$3*ABS(Bitkiler!$E$58-Topraklar!$E$47)+Ayarlar!$B$4*ABS(Bitkiler!$F$58-Topraklar!$F$47)+Ayarlar!$B$5*ABS(Bitkiler!$G$58-Topraklar!$G$47)+Ayarlar!$B$6*IF(Bitkiler!$H$58=Topraklar!$H$47,0,1))/Ayarlar!$B$7)+IF(Topraklar!$K$47=Bitkiler!$C$58,0.002,IF(Topraklar!$L$47="Evet",0.001,0)))</f>
        <v/>
      </c>
      <c r="AV59" s="16">
        <f>IF(OR(Topraklar!$J$48="Evet",AND(Topraklar!$L$48&lt;&gt;"Evet",Topraklar!$K$48&lt;&gt;Bitkiler!$C$58)),0,MAX(0,1-(Ayarlar!$B$2*ABS(Bitkiler!$D$58-Topraklar!$D$48)+Ayarlar!$B$3*ABS(Bitkiler!$E$58-Topraklar!$E$48)+Ayarlar!$B$4*ABS(Bitkiler!$F$58-Topraklar!$F$48)+Ayarlar!$B$5*ABS(Bitkiler!$G$58-Topraklar!$G$48)+Ayarlar!$B$6*IF(Bitkiler!$H$58=Topraklar!$H$48,0,1))/Ayarlar!$B$7)+IF(Topraklar!$K$48=Bitkiler!$C$58,0.002,IF(Topraklar!$L$48="Evet",0.001,0)))</f>
        <v/>
      </c>
      <c r="AW59" s="16">
        <f>IF(OR(Topraklar!$J$49="Evet",AND(Topraklar!$L$49&lt;&gt;"Evet",Topraklar!$K$49&lt;&gt;Bitkiler!$C$58)),0,MAX(0,1-(Ayarlar!$B$2*ABS(Bitkiler!$D$58-Topraklar!$D$49)+Ayarlar!$B$3*ABS(Bitkiler!$E$58-Topraklar!$E$49)+Ayarlar!$B$4*ABS(Bitkiler!$F$58-Topraklar!$F$49)+Ayarlar!$B$5*ABS(Bitkiler!$G$58-Topraklar!$G$49)+Ayarlar!$B$6*IF(Bitkiler!$H$58=Topraklar!$H$49,0,1))/Ayarlar!$B$7)+IF(Topraklar!$K$49=Bitkiler!$C$58,0.002,IF(Topraklar!$L$49="Evet",0.001,0)))</f>
        <v/>
      </c>
      <c r="AX59" s="16">
        <f>IF(OR(Topraklar!$J$50="Evet",AND(Topraklar!$L$50&lt;&gt;"Evet",Topraklar!$K$50&lt;&gt;Bitkiler!$C$58)),0,MAX(0,1-(Ayarlar!$B$2*ABS(Bitkiler!$D$58-Topraklar!$D$50)+Ayarlar!$B$3*ABS(Bitkiler!$E$58-Topraklar!$E$50)+Ayarlar!$B$4*ABS(Bitkiler!$F$58-Topraklar!$F$50)+Ayarlar!$B$5*ABS(Bitkiler!$G$58-Topraklar!$G$50)+Ayarlar!$B$6*IF(Bitkiler!$H$58=Topraklar!$H$50,0,1))/Ayarlar!$B$7)+IF(Topraklar!$K$50=Bitkiler!$C$58,0.002,IF(Topraklar!$L$50="Evet",0.001,0)))</f>
        <v/>
      </c>
      <c r="AY59" s="16">
        <f>IF(OR(Topraklar!$J$51="Evet",AND(Topraklar!$L$51&lt;&gt;"Evet",Topraklar!$K$51&lt;&gt;Bitkiler!$C$58)),0,MAX(0,1-(Ayarlar!$B$2*ABS(Bitkiler!$D$58-Topraklar!$D$51)+Ayarlar!$B$3*ABS(Bitkiler!$E$58-Topraklar!$E$51)+Ayarlar!$B$4*ABS(Bitkiler!$F$58-Topraklar!$F$51)+Ayarlar!$B$5*ABS(Bitkiler!$G$58-Topraklar!$G$51)+Ayarlar!$B$6*IF(Bitkiler!$H$58=Topraklar!$H$51,0,1))/Ayarlar!$B$7)+IF(Topraklar!$K$51=Bitkiler!$C$58,0.002,IF(Topraklar!$L$51="Evet",0.001,0)))</f>
        <v/>
      </c>
    </row>
    <row r="60">
      <c r="A60" s="15">
        <f>Bitkiler!A59</f>
        <v/>
      </c>
      <c r="B60" s="16">
        <f>IF(OR(Topraklar!$J$2="Evet",AND(Topraklar!$L$2&lt;&gt;"Evet",Topraklar!$K$2&lt;&gt;Bitkiler!$C$59)),0,MAX(0,1-(Ayarlar!$B$2*ABS(Bitkiler!$D$59-Topraklar!$D$2)+Ayarlar!$B$3*ABS(Bitkiler!$E$59-Topraklar!$E$2)+Ayarlar!$B$4*ABS(Bitkiler!$F$59-Topraklar!$F$2)+Ayarlar!$B$5*ABS(Bitkiler!$G$59-Topraklar!$G$2)+Ayarlar!$B$6*IF(Bitkiler!$H$59=Topraklar!$H$2,0,1))/Ayarlar!$B$7)+IF(Topraklar!$K$2=Bitkiler!$C$59,0.002,IF(Topraklar!$L$2="Evet",0.001,0)))</f>
        <v/>
      </c>
      <c r="C60" s="16">
        <f>IF(OR(Topraklar!$J$3="Evet",AND(Topraklar!$L$3&lt;&gt;"Evet",Topraklar!$K$3&lt;&gt;Bitkiler!$C$59)),0,MAX(0,1-(Ayarlar!$B$2*ABS(Bitkiler!$D$59-Topraklar!$D$3)+Ayarlar!$B$3*ABS(Bitkiler!$E$59-Topraklar!$E$3)+Ayarlar!$B$4*ABS(Bitkiler!$F$59-Topraklar!$F$3)+Ayarlar!$B$5*ABS(Bitkiler!$G$59-Topraklar!$G$3)+Ayarlar!$B$6*IF(Bitkiler!$H$59=Topraklar!$H$3,0,1))/Ayarlar!$B$7)+IF(Topraklar!$K$3=Bitkiler!$C$59,0.002,IF(Topraklar!$L$3="Evet",0.001,0)))</f>
        <v/>
      </c>
      <c r="D60" s="16">
        <f>IF(OR(Topraklar!$J$4="Evet",AND(Topraklar!$L$4&lt;&gt;"Evet",Topraklar!$K$4&lt;&gt;Bitkiler!$C$59)),0,MAX(0,1-(Ayarlar!$B$2*ABS(Bitkiler!$D$59-Topraklar!$D$4)+Ayarlar!$B$3*ABS(Bitkiler!$E$59-Topraklar!$E$4)+Ayarlar!$B$4*ABS(Bitkiler!$F$59-Topraklar!$F$4)+Ayarlar!$B$5*ABS(Bitkiler!$G$59-Topraklar!$G$4)+Ayarlar!$B$6*IF(Bitkiler!$H$59=Topraklar!$H$4,0,1))/Ayarlar!$B$7)+IF(Topraklar!$K$4=Bitkiler!$C$59,0.002,IF(Topraklar!$L$4="Evet",0.001,0)))</f>
        <v/>
      </c>
      <c r="E60" s="16">
        <f>IF(OR(Topraklar!$J$5="Evet",AND(Topraklar!$L$5&lt;&gt;"Evet",Topraklar!$K$5&lt;&gt;Bitkiler!$C$59)),0,MAX(0,1-(Ayarlar!$B$2*ABS(Bitkiler!$D$59-Topraklar!$D$5)+Ayarlar!$B$3*ABS(Bitkiler!$E$59-Topraklar!$E$5)+Ayarlar!$B$4*ABS(Bitkiler!$F$59-Topraklar!$F$5)+Ayarlar!$B$5*ABS(Bitkiler!$G$59-Topraklar!$G$5)+Ayarlar!$B$6*IF(Bitkiler!$H$59=Topraklar!$H$5,0,1))/Ayarlar!$B$7)+IF(Topraklar!$K$5=Bitkiler!$C$59,0.002,IF(Topraklar!$L$5="Evet",0.001,0)))</f>
        <v/>
      </c>
      <c r="F60" s="16">
        <f>IF(OR(Topraklar!$J$6="Evet",AND(Topraklar!$L$6&lt;&gt;"Evet",Topraklar!$K$6&lt;&gt;Bitkiler!$C$59)),0,MAX(0,1-(Ayarlar!$B$2*ABS(Bitkiler!$D$59-Topraklar!$D$6)+Ayarlar!$B$3*ABS(Bitkiler!$E$59-Topraklar!$E$6)+Ayarlar!$B$4*ABS(Bitkiler!$F$59-Topraklar!$F$6)+Ayarlar!$B$5*ABS(Bitkiler!$G$59-Topraklar!$G$6)+Ayarlar!$B$6*IF(Bitkiler!$H$59=Topraklar!$H$6,0,1))/Ayarlar!$B$7)+IF(Topraklar!$K$6=Bitkiler!$C$59,0.002,IF(Topraklar!$L$6="Evet",0.001,0)))</f>
        <v/>
      </c>
      <c r="G60" s="16">
        <f>IF(OR(Topraklar!$J$7="Evet",AND(Topraklar!$L$7&lt;&gt;"Evet",Topraklar!$K$7&lt;&gt;Bitkiler!$C$59)),0,MAX(0,1-(Ayarlar!$B$2*ABS(Bitkiler!$D$59-Topraklar!$D$7)+Ayarlar!$B$3*ABS(Bitkiler!$E$59-Topraklar!$E$7)+Ayarlar!$B$4*ABS(Bitkiler!$F$59-Topraklar!$F$7)+Ayarlar!$B$5*ABS(Bitkiler!$G$59-Topraklar!$G$7)+Ayarlar!$B$6*IF(Bitkiler!$H$59=Topraklar!$H$7,0,1))/Ayarlar!$B$7)+IF(Topraklar!$K$7=Bitkiler!$C$59,0.002,IF(Topraklar!$L$7="Evet",0.001,0)))</f>
        <v/>
      </c>
      <c r="H60" s="16">
        <f>IF(OR(Topraklar!$J$8="Evet",AND(Topraklar!$L$8&lt;&gt;"Evet",Topraklar!$K$8&lt;&gt;Bitkiler!$C$59)),0,MAX(0,1-(Ayarlar!$B$2*ABS(Bitkiler!$D$59-Topraklar!$D$8)+Ayarlar!$B$3*ABS(Bitkiler!$E$59-Topraklar!$E$8)+Ayarlar!$B$4*ABS(Bitkiler!$F$59-Topraklar!$F$8)+Ayarlar!$B$5*ABS(Bitkiler!$G$59-Topraklar!$G$8)+Ayarlar!$B$6*IF(Bitkiler!$H$59=Topraklar!$H$8,0,1))/Ayarlar!$B$7)+IF(Topraklar!$K$8=Bitkiler!$C$59,0.002,IF(Topraklar!$L$8="Evet",0.001,0)))</f>
        <v/>
      </c>
      <c r="I60" s="16">
        <f>IF(OR(Topraklar!$J$9="Evet",AND(Topraklar!$L$9&lt;&gt;"Evet",Topraklar!$K$9&lt;&gt;Bitkiler!$C$59)),0,MAX(0,1-(Ayarlar!$B$2*ABS(Bitkiler!$D$59-Topraklar!$D$9)+Ayarlar!$B$3*ABS(Bitkiler!$E$59-Topraklar!$E$9)+Ayarlar!$B$4*ABS(Bitkiler!$F$59-Topraklar!$F$9)+Ayarlar!$B$5*ABS(Bitkiler!$G$59-Topraklar!$G$9)+Ayarlar!$B$6*IF(Bitkiler!$H$59=Topraklar!$H$9,0,1))/Ayarlar!$B$7)+IF(Topraklar!$K$9=Bitkiler!$C$59,0.002,IF(Topraklar!$L$9="Evet",0.001,0)))</f>
        <v/>
      </c>
      <c r="J60" s="16">
        <f>IF(OR(Topraklar!$J$10="Evet",AND(Topraklar!$L$10&lt;&gt;"Evet",Topraklar!$K$10&lt;&gt;Bitkiler!$C$59)),0,MAX(0,1-(Ayarlar!$B$2*ABS(Bitkiler!$D$59-Topraklar!$D$10)+Ayarlar!$B$3*ABS(Bitkiler!$E$59-Topraklar!$E$10)+Ayarlar!$B$4*ABS(Bitkiler!$F$59-Topraklar!$F$10)+Ayarlar!$B$5*ABS(Bitkiler!$G$59-Topraklar!$G$10)+Ayarlar!$B$6*IF(Bitkiler!$H$59=Topraklar!$H$10,0,1))/Ayarlar!$B$7)+IF(Topraklar!$K$10=Bitkiler!$C$59,0.002,IF(Topraklar!$L$10="Evet",0.001,0)))</f>
        <v/>
      </c>
      <c r="K60" s="16">
        <f>IF(OR(Topraklar!$J$11="Evet",AND(Topraklar!$L$11&lt;&gt;"Evet",Topraklar!$K$11&lt;&gt;Bitkiler!$C$59)),0,MAX(0,1-(Ayarlar!$B$2*ABS(Bitkiler!$D$59-Topraklar!$D$11)+Ayarlar!$B$3*ABS(Bitkiler!$E$59-Topraklar!$E$11)+Ayarlar!$B$4*ABS(Bitkiler!$F$59-Topraklar!$F$11)+Ayarlar!$B$5*ABS(Bitkiler!$G$59-Topraklar!$G$11)+Ayarlar!$B$6*IF(Bitkiler!$H$59=Topraklar!$H$11,0,1))/Ayarlar!$B$7)+IF(Topraklar!$K$11=Bitkiler!$C$59,0.002,IF(Topraklar!$L$11="Evet",0.001,0)))</f>
        <v/>
      </c>
      <c r="L60" s="16">
        <f>IF(OR(Topraklar!$J$12="Evet",AND(Topraklar!$L$12&lt;&gt;"Evet",Topraklar!$K$12&lt;&gt;Bitkiler!$C$59)),0,MAX(0,1-(Ayarlar!$B$2*ABS(Bitkiler!$D$59-Topraklar!$D$12)+Ayarlar!$B$3*ABS(Bitkiler!$E$59-Topraklar!$E$12)+Ayarlar!$B$4*ABS(Bitkiler!$F$59-Topraklar!$F$12)+Ayarlar!$B$5*ABS(Bitkiler!$G$59-Topraklar!$G$12)+Ayarlar!$B$6*IF(Bitkiler!$H$59=Topraklar!$H$12,0,1))/Ayarlar!$B$7)+IF(Topraklar!$K$12=Bitkiler!$C$59,0.002,IF(Topraklar!$L$12="Evet",0.001,0)))</f>
        <v/>
      </c>
      <c r="M60" s="16">
        <f>IF(OR(Topraklar!$J$13="Evet",AND(Topraklar!$L$13&lt;&gt;"Evet",Topraklar!$K$13&lt;&gt;Bitkiler!$C$59)),0,MAX(0,1-(Ayarlar!$B$2*ABS(Bitkiler!$D$59-Topraklar!$D$13)+Ayarlar!$B$3*ABS(Bitkiler!$E$59-Topraklar!$E$13)+Ayarlar!$B$4*ABS(Bitkiler!$F$59-Topraklar!$F$13)+Ayarlar!$B$5*ABS(Bitkiler!$G$59-Topraklar!$G$13)+Ayarlar!$B$6*IF(Bitkiler!$H$59=Topraklar!$H$13,0,1))/Ayarlar!$B$7)+IF(Topraklar!$K$13=Bitkiler!$C$59,0.002,IF(Topraklar!$L$13="Evet",0.001,0)))</f>
        <v/>
      </c>
      <c r="N60" s="16">
        <f>IF(OR(Topraklar!$J$14="Evet",AND(Topraklar!$L$14&lt;&gt;"Evet",Topraklar!$K$14&lt;&gt;Bitkiler!$C$59)),0,MAX(0,1-(Ayarlar!$B$2*ABS(Bitkiler!$D$59-Topraklar!$D$14)+Ayarlar!$B$3*ABS(Bitkiler!$E$59-Topraklar!$E$14)+Ayarlar!$B$4*ABS(Bitkiler!$F$59-Topraklar!$F$14)+Ayarlar!$B$5*ABS(Bitkiler!$G$59-Topraklar!$G$14)+Ayarlar!$B$6*IF(Bitkiler!$H$59=Topraklar!$H$14,0,1))/Ayarlar!$B$7)+IF(Topraklar!$K$14=Bitkiler!$C$59,0.002,IF(Topraklar!$L$14="Evet",0.001,0)))</f>
        <v/>
      </c>
      <c r="O60" s="16">
        <f>IF(OR(Topraklar!$J$15="Evet",AND(Topraklar!$L$15&lt;&gt;"Evet",Topraklar!$K$15&lt;&gt;Bitkiler!$C$59)),0,MAX(0,1-(Ayarlar!$B$2*ABS(Bitkiler!$D$59-Topraklar!$D$15)+Ayarlar!$B$3*ABS(Bitkiler!$E$59-Topraklar!$E$15)+Ayarlar!$B$4*ABS(Bitkiler!$F$59-Topraklar!$F$15)+Ayarlar!$B$5*ABS(Bitkiler!$G$59-Topraklar!$G$15)+Ayarlar!$B$6*IF(Bitkiler!$H$59=Topraklar!$H$15,0,1))/Ayarlar!$B$7)+IF(Topraklar!$K$15=Bitkiler!$C$59,0.002,IF(Topraklar!$L$15="Evet",0.001,0)))</f>
        <v/>
      </c>
      <c r="P60" s="16">
        <f>IF(OR(Topraklar!$J$16="Evet",AND(Topraklar!$L$16&lt;&gt;"Evet",Topraklar!$K$16&lt;&gt;Bitkiler!$C$59)),0,MAX(0,1-(Ayarlar!$B$2*ABS(Bitkiler!$D$59-Topraklar!$D$16)+Ayarlar!$B$3*ABS(Bitkiler!$E$59-Topraklar!$E$16)+Ayarlar!$B$4*ABS(Bitkiler!$F$59-Topraklar!$F$16)+Ayarlar!$B$5*ABS(Bitkiler!$G$59-Topraklar!$G$16)+Ayarlar!$B$6*IF(Bitkiler!$H$59=Topraklar!$H$16,0,1))/Ayarlar!$B$7)+IF(Topraklar!$K$16=Bitkiler!$C$59,0.002,IF(Topraklar!$L$16="Evet",0.001,0)))</f>
        <v/>
      </c>
      <c r="Q60" s="16">
        <f>IF(OR(Topraklar!$J$17="Evet",AND(Topraklar!$L$17&lt;&gt;"Evet",Topraklar!$K$17&lt;&gt;Bitkiler!$C$59)),0,MAX(0,1-(Ayarlar!$B$2*ABS(Bitkiler!$D$59-Topraklar!$D$17)+Ayarlar!$B$3*ABS(Bitkiler!$E$59-Topraklar!$E$17)+Ayarlar!$B$4*ABS(Bitkiler!$F$59-Topraklar!$F$17)+Ayarlar!$B$5*ABS(Bitkiler!$G$59-Topraklar!$G$17)+Ayarlar!$B$6*IF(Bitkiler!$H$59=Topraklar!$H$17,0,1))/Ayarlar!$B$7)+IF(Topraklar!$K$17=Bitkiler!$C$59,0.002,IF(Topraklar!$L$17="Evet",0.001,0)))</f>
        <v/>
      </c>
      <c r="R60" s="16">
        <f>IF(OR(Topraklar!$J$18="Evet",AND(Topraklar!$L$18&lt;&gt;"Evet",Topraklar!$K$18&lt;&gt;Bitkiler!$C$59)),0,MAX(0,1-(Ayarlar!$B$2*ABS(Bitkiler!$D$59-Topraklar!$D$18)+Ayarlar!$B$3*ABS(Bitkiler!$E$59-Topraklar!$E$18)+Ayarlar!$B$4*ABS(Bitkiler!$F$59-Topraklar!$F$18)+Ayarlar!$B$5*ABS(Bitkiler!$G$59-Topraklar!$G$18)+Ayarlar!$B$6*IF(Bitkiler!$H$59=Topraklar!$H$18,0,1))/Ayarlar!$B$7)+IF(Topraklar!$K$18=Bitkiler!$C$59,0.002,IF(Topraklar!$L$18="Evet",0.001,0)))</f>
        <v/>
      </c>
      <c r="S60" s="16">
        <f>IF(OR(Topraklar!$J$19="Evet",AND(Topraklar!$L$19&lt;&gt;"Evet",Topraklar!$K$19&lt;&gt;Bitkiler!$C$59)),0,MAX(0,1-(Ayarlar!$B$2*ABS(Bitkiler!$D$59-Topraklar!$D$19)+Ayarlar!$B$3*ABS(Bitkiler!$E$59-Topraklar!$E$19)+Ayarlar!$B$4*ABS(Bitkiler!$F$59-Topraklar!$F$19)+Ayarlar!$B$5*ABS(Bitkiler!$G$59-Topraklar!$G$19)+Ayarlar!$B$6*IF(Bitkiler!$H$59=Topraklar!$H$19,0,1))/Ayarlar!$B$7)+IF(Topraklar!$K$19=Bitkiler!$C$59,0.002,IF(Topraklar!$L$19="Evet",0.001,0)))</f>
        <v/>
      </c>
      <c r="T60" s="16">
        <f>IF(OR(Topraklar!$J$20="Evet",AND(Topraklar!$L$20&lt;&gt;"Evet",Topraklar!$K$20&lt;&gt;Bitkiler!$C$59)),0,MAX(0,1-(Ayarlar!$B$2*ABS(Bitkiler!$D$59-Topraklar!$D$20)+Ayarlar!$B$3*ABS(Bitkiler!$E$59-Topraklar!$E$20)+Ayarlar!$B$4*ABS(Bitkiler!$F$59-Topraklar!$F$20)+Ayarlar!$B$5*ABS(Bitkiler!$G$59-Topraklar!$G$20)+Ayarlar!$B$6*IF(Bitkiler!$H$59=Topraklar!$H$20,0,1))/Ayarlar!$B$7)+IF(Topraklar!$K$20=Bitkiler!$C$59,0.002,IF(Topraklar!$L$20="Evet",0.001,0)))</f>
        <v/>
      </c>
      <c r="U60" s="16">
        <f>IF(OR(Topraklar!$J$21="Evet",AND(Topraklar!$L$21&lt;&gt;"Evet",Topraklar!$K$21&lt;&gt;Bitkiler!$C$59)),0,MAX(0,1-(Ayarlar!$B$2*ABS(Bitkiler!$D$59-Topraklar!$D$21)+Ayarlar!$B$3*ABS(Bitkiler!$E$59-Topraklar!$E$21)+Ayarlar!$B$4*ABS(Bitkiler!$F$59-Topraklar!$F$21)+Ayarlar!$B$5*ABS(Bitkiler!$G$59-Topraklar!$G$21)+Ayarlar!$B$6*IF(Bitkiler!$H$59=Topraklar!$H$21,0,1))/Ayarlar!$B$7)+IF(Topraklar!$K$21=Bitkiler!$C$59,0.002,IF(Topraklar!$L$21="Evet",0.001,0)))</f>
        <v/>
      </c>
      <c r="V60" s="16">
        <f>IF(OR(Topraklar!$J$22="Evet",AND(Topraklar!$L$22&lt;&gt;"Evet",Topraklar!$K$22&lt;&gt;Bitkiler!$C$59)),0,MAX(0,1-(Ayarlar!$B$2*ABS(Bitkiler!$D$59-Topraklar!$D$22)+Ayarlar!$B$3*ABS(Bitkiler!$E$59-Topraklar!$E$22)+Ayarlar!$B$4*ABS(Bitkiler!$F$59-Topraklar!$F$22)+Ayarlar!$B$5*ABS(Bitkiler!$G$59-Topraklar!$G$22)+Ayarlar!$B$6*IF(Bitkiler!$H$59=Topraklar!$H$22,0,1))/Ayarlar!$B$7)+IF(Topraklar!$K$22=Bitkiler!$C$59,0.002,IF(Topraklar!$L$22="Evet",0.001,0)))</f>
        <v/>
      </c>
      <c r="W60" s="16">
        <f>IF(OR(Topraklar!$J$23="Evet",AND(Topraklar!$L$23&lt;&gt;"Evet",Topraklar!$K$23&lt;&gt;Bitkiler!$C$59)),0,MAX(0,1-(Ayarlar!$B$2*ABS(Bitkiler!$D$59-Topraklar!$D$23)+Ayarlar!$B$3*ABS(Bitkiler!$E$59-Topraklar!$E$23)+Ayarlar!$B$4*ABS(Bitkiler!$F$59-Topraklar!$F$23)+Ayarlar!$B$5*ABS(Bitkiler!$G$59-Topraklar!$G$23)+Ayarlar!$B$6*IF(Bitkiler!$H$59=Topraklar!$H$23,0,1))/Ayarlar!$B$7)+IF(Topraklar!$K$23=Bitkiler!$C$59,0.002,IF(Topraklar!$L$23="Evet",0.001,0)))</f>
        <v/>
      </c>
      <c r="X60" s="16">
        <f>IF(OR(Topraklar!$J$24="Evet",AND(Topraklar!$L$24&lt;&gt;"Evet",Topraklar!$K$24&lt;&gt;Bitkiler!$C$59)),0,MAX(0,1-(Ayarlar!$B$2*ABS(Bitkiler!$D$59-Topraklar!$D$24)+Ayarlar!$B$3*ABS(Bitkiler!$E$59-Topraklar!$E$24)+Ayarlar!$B$4*ABS(Bitkiler!$F$59-Topraklar!$F$24)+Ayarlar!$B$5*ABS(Bitkiler!$G$59-Topraklar!$G$24)+Ayarlar!$B$6*IF(Bitkiler!$H$59=Topraklar!$H$24,0,1))/Ayarlar!$B$7)+IF(Topraklar!$K$24=Bitkiler!$C$59,0.002,IF(Topraklar!$L$24="Evet",0.001,0)))</f>
        <v/>
      </c>
      <c r="Y60" s="16">
        <f>IF(OR(Topraklar!$J$25="Evet",AND(Topraklar!$L$25&lt;&gt;"Evet",Topraklar!$K$25&lt;&gt;Bitkiler!$C$59)),0,MAX(0,1-(Ayarlar!$B$2*ABS(Bitkiler!$D$59-Topraklar!$D$25)+Ayarlar!$B$3*ABS(Bitkiler!$E$59-Topraklar!$E$25)+Ayarlar!$B$4*ABS(Bitkiler!$F$59-Topraklar!$F$25)+Ayarlar!$B$5*ABS(Bitkiler!$G$59-Topraklar!$G$25)+Ayarlar!$B$6*IF(Bitkiler!$H$59=Topraklar!$H$25,0,1))/Ayarlar!$B$7)+IF(Topraklar!$K$25=Bitkiler!$C$59,0.002,IF(Topraklar!$L$25="Evet",0.001,0)))</f>
        <v/>
      </c>
      <c r="Z60" s="16">
        <f>IF(OR(Topraklar!$J$26="Evet",AND(Topraklar!$L$26&lt;&gt;"Evet",Topraklar!$K$26&lt;&gt;Bitkiler!$C$59)),0,MAX(0,1-(Ayarlar!$B$2*ABS(Bitkiler!$D$59-Topraklar!$D$26)+Ayarlar!$B$3*ABS(Bitkiler!$E$59-Topraklar!$E$26)+Ayarlar!$B$4*ABS(Bitkiler!$F$59-Topraklar!$F$26)+Ayarlar!$B$5*ABS(Bitkiler!$G$59-Topraklar!$G$26)+Ayarlar!$B$6*IF(Bitkiler!$H$59=Topraklar!$H$26,0,1))/Ayarlar!$B$7)+IF(Topraklar!$K$26=Bitkiler!$C$59,0.002,IF(Topraklar!$L$26="Evet",0.001,0)))</f>
        <v/>
      </c>
      <c r="AA60" s="16">
        <f>IF(OR(Topraklar!$J$27="Evet",AND(Topraklar!$L$27&lt;&gt;"Evet",Topraklar!$K$27&lt;&gt;Bitkiler!$C$59)),0,MAX(0,1-(Ayarlar!$B$2*ABS(Bitkiler!$D$59-Topraklar!$D$27)+Ayarlar!$B$3*ABS(Bitkiler!$E$59-Topraklar!$E$27)+Ayarlar!$B$4*ABS(Bitkiler!$F$59-Topraklar!$F$27)+Ayarlar!$B$5*ABS(Bitkiler!$G$59-Topraklar!$G$27)+Ayarlar!$B$6*IF(Bitkiler!$H$59=Topraklar!$H$27,0,1))/Ayarlar!$B$7)+IF(Topraklar!$K$27=Bitkiler!$C$59,0.002,IF(Topraklar!$L$27="Evet",0.001,0)))</f>
        <v/>
      </c>
      <c r="AB60" s="16">
        <f>IF(OR(Topraklar!$J$28="Evet",AND(Topraklar!$L$28&lt;&gt;"Evet",Topraklar!$K$28&lt;&gt;Bitkiler!$C$59)),0,MAX(0,1-(Ayarlar!$B$2*ABS(Bitkiler!$D$59-Topraklar!$D$28)+Ayarlar!$B$3*ABS(Bitkiler!$E$59-Topraklar!$E$28)+Ayarlar!$B$4*ABS(Bitkiler!$F$59-Topraklar!$F$28)+Ayarlar!$B$5*ABS(Bitkiler!$G$59-Topraklar!$G$28)+Ayarlar!$B$6*IF(Bitkiler!$H$59=Topraklar!$H$28,0,1))/Ayarlar!$B$7)+IF(Topraklar!$K$28=Bitkiler!$C$59,0.002,IF(Topraklar!$L$28="Evet",0.001,0)))</f>
        <v/>
      </c>
      <c r="AC60" s="16">
        <f>IF(OR(Topraklar!$J$29="Evet",AND(Topraklar!$L$29&lt;&gt;"Evet",Topraklar!$K$29&lt;&gt;Bitkiler!$C$59)),0,MAX(0,1-(Ayarlar!$B$2*ABS(Bitkiler!$D$59-Topraklar!$D$29)+Ayarlar!$B$3*ABS(Bitkiler!$E$59-Topraklar!$E$29)+Ayarlar!$B$4*ABS(Bitkiler!$F$59-Topraklar!$F$29)+Ayarlar!$B$5*ABS(Bitkiler!$G$59-Topraklar!$G$29)+Ayarlar!$B$6*IF(Bitkiler!$H$59=Topraklar!$H$29,0,1))/Ayarlar!$B$7)+IF(Topraklar!$K$29=Bitkiler!$C$59,0.002,IF(Topraklar!$L$29="Evet",0.001,0)))</f>
        <v/>
      </c>
      <c r="AD60" s="16">
        <f>IF(OR(Topraklar!$J$30="Evet",AND(Topraklar!$L$30&lt;&gt;"Evet",Topraklar!$K$30&lt;&gt;Bitkiler!$C$59)),0,MAX(0,1-(Ayarlar!$B$2*ABS(Bitkiler!$D$59-Topraklar!$D$30)+Ayarlar!$B$3*ABS(Bitkiler!$E$59-Topraklar!$E$30)+Ayarlar!$B$4*ABS(Bitkiler!$F$59-Topraklar!$F$30)+Ayarlar!$B$5*ABS(Bitkiler!$G$59-Topraklar!$G$30)+Ayarlar!$B$6*IF(Bitkiler!$H$59=Topraklar!$H$30,0,1))/Ayarlar!$B$7)+IF(Topraklar!$K$30=Bitkiler!$C$59,0.002,IF(Topraklar!$L$30="Evet",0.001,0)))</f>
        <v/>
      </c>
      <c r="AE60" s="16">
        <f>IF(OR(Topraklar!$J$31="Evet",AND(Topraklar!$L$31&lt;&gt;"Evet",Topraklar!$K$31&lt;&gt;Bitkiler!$C$59)),0,MAX(0,1-(Ayarlar!$B$2*ABS(Bitkiler!$D$59-Topraklar!$D$31)+Ayarlar!$B$3*ABS(Bitkiler!$E$59-Topraklar!$E$31)+Ayarlar!$B$4*ABS(Bitkiler!$F$59-Topraklar!$F$31)+Ayarlar!$B$5*ABS(Bitkiler!$G$59-Topraklar!$G$31)+Ayarlar!$B$6*IF(Bitkiler!$H$59=Topraklar!$H$31,0,1))/Ayarlar!$B$7)+IF(Topraklar!$K$31=Bitkiler!$C$59,0.002,IF(Topraklar!$L$31="Evet",0.001,0)))</f>
        <v/>
      </c>
      <c r="AF60" s="16">
        <f>IF(OR(Topraklar!$J$32="Evet",AND(Topraklar!$L$32&lt;&gt;"Evet",Topraklar!$K$32&lt;&gt;Bitkiler!$C$59)),0,MAX(0,1-(Ayarlar!$B$2*ABS(Bitkiler!$D$59-Topraklar!$D$32)+Ayarlar!$B$3*ABS(Bitkiler!$E$59-Topraklar!$E$32)+Ayarlar!$B$4*ABS(Bitkiler!$F$59-Topraklar!$F$32)+Ayarlar!$B$5*ABS(Bitkiler!$G$59-Topraklar!$G$32)+Ayarlar!$B$6*IF(Bitkiler!$H$59=Topraklar!$H$32,0,1))/Ayarlar!$B$7)+IF(Topraklar!$K$32=Bitkiler!$C$59,0.002,IF(Topraklar!$L$32="Evet",0.001,0)))</f>
        <v/>
      </c>
      <c r="AG60" s="16">
        <f>IF(OR(Topraklar!$J$33="Evet",AND(Topraklar!$L$33&lt;&gt;"Evet",Topraklar!$K$33&lt;&gt;Bitkiler!$C$59)),0,MAX(0,1-(Ayarlar!$B$2*ABS(Bitkiler!$D$59-Topraklar!$D$33)+Ayarlar!$B$3*ABS(Bitkiler!$E$59-Topraklar!$E$33)+Ayarlar!$B$4*ABS(Bitkiler!$F$59-Topraklar!$F$33)+Ayarlar!$B$5*ABS(Bitkiler!$G$59-Topraklar!$G$33)+Ayarlar!$B$6*IF(Bitkiler!$H$59=Topraklar!$H$33,0,1))/Ayarlar!$B$7)+IF(Topraklar!$K$33=Bitkiler!$C$59,0.002,IF(Topraklar!$L$33="Evet",0.001,0)))</f>
        <v/>
      </c>
      <c r="AH60" s="16">
        <f>IF(OR(Topraklar!$J$34="Evet",AND(Topraklar!$L$34&lt;&gt;"Evet",Topraklar!$K$34&lt;&gt;Bitkiler!$C$59)),0,MAX(0,1-(Ayarlar!$B$2*ABS(Bitkiler!$D$59-Topraklar!$D$34)+Ayarlar!$B$3*ABS(Bitkiler!$E$59-Topraklar!$E$34)+Ayarlar!$B$4*ABS(Bitkiler!$F$59-Topraklar!$F$34)+Ayarlar!$B$5*ABS(Bitkiler!$G$59-Topraklar!$G$34)+Ayarlar!$B$6*IF(Bitkiler!$H$59=Topraklar!$H$34,0,1))/Ayarlar!$B$7)+IF(Topraklar!$K$34=Bitkiler!$C$59,0.002,IF(Topraklar!$L$34="Evet",0.001,0)))</f>
        <v/>
      </c>
      <c r="AI60" s="16">
        <f>IF(OR(Topraklar!$J$35="Evet",AND(Topraklar!$L$35&lt;&gt;"Evet",Topraklar!$K$35&lt;&gt;Bitkiler!$C$59)),0,MAX(0,1-(Ayarlar!$B$2*ABS(Bitkiler!$D$59-Topraklar!$D$35)+Ayarlar!$B$3*ABS(Bitkiler!$E$59-Topraklar!$E$35)+Ayarlar!$B$4*ABS(Bitkiler!$F$59-Topraklar!$F$35)+Ayarlar!$B$5*ABS(Bitkiler!$G$59-Topraklar!$G$35)+Ayarlar!$B$6*IF(Bitkiler!$H$59=Topraklar!$H$35,0,1))/Ayarlar!$B$7)+IF(Topraklar!$K$35=Bitkiler!$C$59,0.002,IF(Topraklar!$L$35="Evet",0.001,0)))</f>
        <v/>
      </c>
      <c r="AJ60" s="16">
        <f>IF(OR(Topraklar!$J$36="Evet",AND(Topraklar!$L$36&lt;&gt;"Evet",Topraklar!$K$36&lt;&gt;Bitkiler!$C$59)),0,MAX(0,1-(Ayarlar!$B$2*ABS(Bitkiler!$D$59-Topraklar!$D$36)+Ayarlar!$B$3*ABS(Bitkiler!$E$59-Topraklar!$E$36)+Ayarlar!$B$4*ABS(Bitkiler!$F$59-Topraklar!$F$36)+Ayarlar!$B$5*ABS(Bitkiler!$G$59-Topraklar!$G$36)+Ayarlar!$B$6*IF(Bitkiler!$H$59=Topraklar!$H$36,0,1))/Ayarlar!$B$7)+IF(Topraklar!$K$36=Bitkiler!$C$59,0.002,IF(Topraklar!$L$36="Evet",0.001,0)))</f>
        <v/>
      </c>
      <c r="AK60" s="16">
        <f>IF(OR(Topraklar!$J$37="Evet",AND(Topraklar!$L$37&lt;&gt;"Evet",Topraklar!$K$37&lt;&gt;Bitkiler!$C$59)),0,MAX(0,1-(Ayarlar!$B$2*ABS(Bitkiler!$D$59-Topraklar!$D$37)+Ayarlar!$B$3*ABS(Bitkiler!$E$59-Topraklar!$E$37)+Ayarlar!$B$4*ABS(Bitkiler!$F$59-Topraklar!$F$37)+Ayarlar!$B$5*ABS(Bitkiler!$G$59-Topraklar!$G$37)+Ayarlar!$B$6*IF(Bitkiler!$H$59=Topraklar!$H$37,0,1))/Ayarlar!$B$7)+IF(Topraklar!$K$37=Bitkiler!$C$59,0.002,IF(Topraklar!$L$37="Evet",0.001,0)))</f>
        <v/>
      </c>
      <c r="AL60" s="16">
        <f>IF(OR(Topraklar!$J$38="Evet",AND(Topraklar!$L$38&lt;&gt;"Evet",Topraklar!$K$38&lt;&gt;Bitkiler!$C$59)),0,MAX(0,1-(Ayarlar!$B$2*ABS(Bitkiler!$D$59-Topraklar!$D$38)+Ayarlar!$B$3*ABS(Bitkiler!$E$59-Topraklar!$E$38)+Ayarlar!$B$4*ABS(Bitkiler!$F$59-Topraklar!$F$38)+Ayarlar!$B$5*ABS(Bitkiler!$G$59-Topraklar!$G$38)+Ayarlar!$B$6*IF(Bitkiler!$H$59=Topraklar!$H$38,0,1))/Ayarlar!$B$7)+IF(Topraklar!$K$38=Bitkiler!$C$59,0.002,IF(Topraklar!$L$38="Evet",0.001,0)))</f>
        <v/>
      </c>
      <c r="AM60" s="16">
        <f>IF(OR(Topraklar!$J$39="Evet",AND(Topraklar!$L$39&lt;&gt;"Evet",Topraklar!$K$39&lt;&gt;Bitkiler!$C$59)),0,MAX(0,1-(Ayarlar!$B$2*ABS(Bitkiler!$D$59-Topraklar!$D$39)+Ayarlar!$B$3*ABS(Bitkiler!$E$59-Topraklar!$E$39)+Ayarlar!$B$4*ABS(Bitkiler!$F$59-Topraklar!$F$39)+Ayarlar!$B$5*ABS(Bitkiler!$G$59-Topraklar!$G$39)+Ayarlar!$B$6*IF(Bitkiler!$H$59=Topraklar!$H$39,0,1))/Ayarlar!$B$7)+IF(Topraklar!$K$39=Bitkiler!$C$59,0.002,IF(Topraklar!$L$39="Evet",0.001,0)))</f>
        <v/>
      </c>
      <c r="AN60" s="16">
        <f>IF(OR(Topraklar!$J$40="Evet",AND(Topraklar!$L$40&lt;&gt;"Evet",Topraklar!$K$40&lt;&gt;Bitkiler!$C$59)),0,MAX(0,1-(Ayarlar!$B$2*ABS(Bitkiler!$D$59-Topraklar!$D$40)+Ayarlar!$B$3*ABS(Bitkiler!$E$59-Topraklar!$E$40)+Ayarlar!$B$4*ABS(Bitkiler!$F$59-Topraklar!$F$40)+Ayarlar!$B$5*ABS(Bitkiler!$G$59-Topraklar!$G$40)+Ayarlar!$B$6*IF(Bitkiler!$H$59=Topraklar!$H$40,0,1))/Ayarlar!$B$7)+IF(Topraklar!$K$40=Bitkiler!$C$59,0.002,IF(Topraklar!$L$40="Evet",0.001,0)))</f>
        <v/>
      </c>
      <c r="AO60" s="16">
        <f>IF(OR(Topraklar!$J$41="Evet",AND(Topraklar!$L$41&lt;&gt;"Evet",Topraklar!$K$41&lt;&gt;Bitkiler!$C$59)),0,MAX(0,1-(Ayarlar!$B$2*ABS(Bitkiler!$D$59-Topraklar!$D$41)+Ayarlar!$B$3*ABS(Bitkiler!$E$59-Topraklar!$E$41)+Ayarlar!$B$4*ABS(Bitkiler!$F$59-Topraklar!$F$41)+Ayarlar!$B$5*ABS(Bitkiler!$G$59-Topraklar!$G$41)+Ayarlar!$B$6*IF(Bitkiler!$H$59=Topraklar!$H$41,0,1))/Ayarlar!$B$7)+IF(Topraklar!$K$41=Bitkiler!$C$59,0.002,IF(Topraklar!$L$41="Evet",0.001,0)))</f>
        <v/>
      </c>
      <c r="AP60" s="16">
        <f>IF(OR(Topraklar!$J$42="Evet",AND(Topraklar!$L$42&lt;&gt;"Evet",Topraklar!$K$42&lt;&gt;Bitkiler!$C$59)),0,MAX(0,1-(Ayarlar!$B$2*ABS(Bitkiler!$D$59-Topraklar!$D$42)+Ayarlar!$B$3*ABS(Bitkiler!$E$59-Topraklar!$E$42)+Ayarlar!$B$4*ABS(Bitkiler!$F$59-Topraklar!$F$42)+Ayarlar!$B$5*ABS(Bitkiler!$G$59-Topraklar!$G$42)+Ayarlar!$B$6*IF(Bitkiler!$H$59=Topraklar!$H$42,0,1))/Ayarlar!$B$7)+IF(Topraklar!$K$42=Bitkiler!$C$59,0.002,IF(Topraklar!$L$42="Evet",0.001,0)))</f>
        <v/>
      </c>
      <c r="AQ60" s="16">
        <f>IF(OR(Topraklar!$J$43="Evet",AND(Topraklar!$L$43&lt;&gt;"Evet",Topraklar!$K$43&lt;&gt;Bitkiler!$C$59)),0,MAX(0,1-(Ayarlar!$B$2*ABS(Bitkiler!$D$59-Topraklar!$D$43)+Ayarlar!$B$3*ABS(Bitkiler!$E$59-Topraklar!$E$43)+Ayarlar!$B$4*ABS(Bitkiler!$F$59-Topraklar!$F$43)+Ayarlar!$B$5*ABS(Bitkiler!$G$59-Topraklar!$G$43)+Ayarlar!$B$6*IF(Bitkiler!$H$59=Topraklar!$H$43,0,1))/Ayarlar!$B$7)+IF(Topraklar!$K$43=Bitkiler!$C$59,0.002,IF(Topraklar!$L$43="Evet",0.001,0)))</f>
        <v/>
      </c>
      <c r="AR60" s="16">
        <f>IF(OR(Topraklar!$J$44="Evet",AND(Topraklar!$L$44&lt;&gt;"Evet",Topraklar!$K$44&lt;&gt;Bitkiler!$C$59)),0,MAX(0,1-(Ayarlar!$B$2*ABS(Bitkiler!$D$59-Topraklar!$D$44)+Ayarlar!$B$3*ABS(Bitkiler!$E$59-Topraklar!$E$44)+Ayarlar!$B$4*ABS(Bitkiler!$F$59-Topraklar!$F$44)+Ayarlar!$B$5*ABS(Bitkiler!$G$59-Topraklar!$G$44)+Ayarlar!$B$6*IF(Bitkiler!$H$59=Topraklar!$H$44,0,1))/Ayarlar!$B$7)+IF(Topraklar!$K$44=Bitkiler!$C$59,0.002,IF(Topraklar!$L$44="Evet",0.001,0)))</f>
        <v/>
      </c>
      <c r="AS60" s="16">
        <f>IF(OR(Topraklar!$J$45="Evet",AND(Topraklar!$L$45&lt;&gt;"Evet",Topraklar!$K$45&lt;&gt;Bitkiler!$C$59)),0,MAX(0,1-(Ayarlar!$B$2*ABS(Bitkiler!$D$59-Topraklar!$D$45)+Ayarlar!$B$3*ABS(Bitkiler!$E$59-Topraklar!$E$45)+Ayarlar!$B$4*ABS(Bitkiler!$F$59-Topraklar!$F$45)+Ayarlar!$B$5*ABS(Bitkiler!$G$59-Topraklar!$G$45)+Ayarlar!$B$6*IF(Bitkiler!$H$59=Topraklar!$H$45,0,1))/Ayarlar!$B$7)+IF(Topraklar!$K$45=Bitkiler!$C$59,0.002,IF(Topraklar!$L$45="Evet",0.001,0)))</f>
        <v/>
      </c>
      <c r="AT60" s="16">
        <f>IF(OR(Topraklar!$J$46="Evet",AND(Topraklar!$L$46&lt;&gt;"Evet",Topraklar!$K$46&lt;&gt;Bitkiler!$C$59)),0,MAX(0,1-(Ayarlar!$B$2*ABS(Bitkiler!$D$59-Topraklar!$D$46)+Ayarlar!$B$3*ABS(Bitkiler!$E$59-Topraklar!$E$46)+Ayarlar!$B$4*ABS(Bitkiler!$F$59-Topraklar!$F$46)+Ayarlar!$B$5*ABS(Bitkiler!$G$59-Topraklar!$G$46)+Ayarlar!$B$6*IF(Bitkiler!$H$59=Topraklar!$H$46,0,1))/Ayarlar!$B$7)+IF(Topraklar!$K$46=Bitkiler!$C$59,0.002,IF(Topraklar!$L$46="Evet",0.001,0)))</f>
        <v/>
      </c>
      <c r="AU60" s="16">
        <f>IF(OR(Topraklar!$J$47="Evet",AND(Topraklar!$L$47&lt;&gt;"Evet",Topraklar!$K$47&lt;&gt;Bitkiler!$C$59)),0,MAX(0,1-(Ayarlar!$B$2*ABS(Bitkiler!$D$59-Topraklar!$D$47)+Ayarlar!$B$3*ABS(Bitkiler!$E$59-Topraklar!$E$47)+Ayarlar!$B$4*ABS(Bitkiler!$F$59-Topraklar!$F$47)+Ayarlar!$B$5*ABS(Bitkiler!$G$59-Topraklar!$G$47)+Ayarlar!$B$6*IF(Bitkiler!$H$59=Topraklar!$H$47,0,1))/Ayarlar!$B$7)+IF(Topraklar!$K$47=Bitkiler!$C$59,0.002,IF(Topraklar!$L$47="Evet",0.001,0)))</f>
        <v/>
      </c>
      <c r="AV60" s="16">
        <f>IF(OR(Topraklar!$J$48="Evet",AND(Topraklar!$L$48&lt;&gt;"Evet",Topraklar!$K$48&lt;&gt;Bitkiler!$C$59)),0,MAX(0,1-(Ayarlar!$B$2*ABS(Bitkiler!$D$59-Topraklar!$D$48)+Ayarlar!$B$3*ABS(Bitkiler!$E$59-Topraklar!$E$48)+Ayarlar!$B$4*ABS(Bitkiler!$F$59-Topraklar!$F$48)+Ayarlar!$B$5*ABS(Bitkiler!$G$59-Topraklar!$G$48)+Ayarlar!$B$6*IF(Bitkiler!$H$59=Topraklar!$H$48,0,1))/Ayarlar!$B$7)+IF(Topraklar!$K$48=Bitkiler!$C$59,0.002,IF(Topraklar!$L$48="Evet",0.001,0)))</f>
        <v/>
      </c>
      <c r="AW60" s="16">
        <f>IF(OR(Topraklar!$J$49="Evet",AND(Topraklar!$L$49&lt;&gt;"Evet",Topraklar!$K$49&lt;&gt;Bitkiler!$C$59)),0,MAX(0,1-(Ayarlar!$B$2*ABS(Bitkiler!$D$59-Topraklar!$D$49)+Ayarlar!$B$3*ABS(Bitkiler!$E$59-Topraklar!$E$49)+Ayarlar!$B$4*ABS(Bitkiler!$F$59-Topraklar!$F$49)+Ayarlar!$B$5*ABS(Bitkiler!$G$59-Topraklar!$G$49)+Ayarlar!$B$6*IF(Bitkiler!$H$59=Topraklar!$H$49,0,1))/Ayarlar!$B$7)+IF(Topraklar!$K$49=Bitkiler!$C$59,0.002,IF(Topraklar!$L$49="Evet",0.001,0)))</f>
        <v/>
      </c>
      <c r="AX60" s="16">
        <f>IF(OR(Topraklar!$J$50="Evet",AND(Topraklar!$L$50&lt;&gt;"Evet",Topraklar!$K$50&lt;&gt;Bitkiler!$C$59)),0,MAX(0,1-(Ayarlar!$B$2*ABS(Bitkiler!$D$59-Topraklar!$D$50)+Ayarlar!$B$3*ABS(Bitkiler!$E$59-Topraklar!$E$50)+Ayarlar!$B$4*ABS(Bitkiler!$F$59-Topraklar!$F$50)+Ayarlar!$B$5*ABS(Bitkiler!$G$59-Topraklar!$G$50)+Ayarlar!$B$6*IF(Bitkiler!$H$59=Topraklar!$H$50,0,1))/Ayarlar!$B$7)+IF(Topraklar!$K$50=Bitkiler!$C$59,0.002,IF(Topraklar!$L$50="Evet",0.001,0)))</f>
        <v/>
      </c>
      <c r="AY60" s="16">
        <f>IF(OR(Topraklar!$J$51="Evet",AND(Topraklar!$L$51&lt;&gt;"Evet",Topraklar!$K$51&lt;&gt;Bitkiler!$C$59)),0,MAX(0,1-(Ayarlar!$B$2*ABS(Bitkiler!$D$59-Topraklar!$D$51)+Ayarlar!$B$3*ABS(Bitkiler!$E$59-Topraklar!$E$51)+Ayarlar!$B$4*ABS(Bitkiler!$F$59-Topraklar!$F$51)+Ayarlar!$B$5*ABS(Bitkiler!$G$59-Topraklar!$G$51)+Ayarlar!$B$6*IF(Bitkiler!$H$59=Topraklar!$H$51,0,1))/Ayarlar!$B$7)+IF(Topraklar!$K$51=Bitkiler!$C$59,0.002,IF(Topraklar!$L$51="Evet",0.001,0)))</f>
        <v/>
      </c>
    </row>
    <row r="61">
      <c r="A61" s="15">
        <f>Bitkiler!A60</f>
        <v/>
      </c>
      <c r="B61" s="16">
        <f>IF(OR(Topraklar!$J$2="Evet",AND(Topraklar!$L$2&lt;&gt;"Evet",Topraklar!$K$2&lt;&gt;Bitkiler!$C$60)),0,MAX(0,1-(Ayarlar!$B$2*ABS(Bitkiler!$D$60-Topraklar!$D$2)+Ayarlar!$B$3*ABS(Bitkiler!$E$60-Topraklar!$E$2)+Ayarlar!$B$4*ABS(Bitkiler!$F$60-Topraklar!$F$2)+Ayarlar!$B$5*ABS(Bitkiler!$G$60-Topraklar!$G$2)+Ayarlar!$B$6*IF(Bitkiler!$H$60=Topraklar!$H$2,0,1))/Ayarlar!$B$7)+IF(Topraklar!$K$2=Bitkiler!$C$60,0.002,IF(Topraklar!$L$2="Evet",0.001,0)))</f>
        <v/>
      </c>
      <c r="C61" s="16">
        <f>IF(OR(Topraklar!$J$3="Evet",AND(Topraklar!$L$3&lt;&gt;"Evet",Topraklar!$K$3&lt;&gt;Bitkiler!$C$60)),0,MAX(0,1-(Ayarlar!$B$2*ABS(Bitkiler!$D$60-Topraklar!$D$3)+Ayarlar!$B$3*ABS(Bitkiler!$E$60-Topraklar!$E$3)+Ayarlar!$B$4*ABS(Bitkiler!$F$60-Topraklar!$F$3)+Ayarlar!$B$5*ABS(Bitkiler!$G$60-Topraklar!$G$3)+Ayarlar!$B$6*IF(Bitkiler!$H$60=Topraklar!$H$3,0,1))/Ayarlar!$B$7)+IF(Topraklar!$K$3=Bitkiler!$C$60,0.002,IF(Topraklar!$L$3="Evet",0.001,0)))</f>
        <v/>
      </c>
      <c r="D61" s="16">
        <f>IF(OR(Topraklar!$J$4="Evet",AND(Topraklar!$L$4&lt;&gt;"Evet",Topraklar!$K$4&lt;&gt;Bitkiler!$C$60)),0,MAX(0,1-(Ayarlar!$B$2*ABS(Bitkiler!$D$60-Topraklar!$D$4)+Ayarlar!$B$3*ABS(Bitkiler!$E$60-Topraklar!$E$4)+Ayarlar!$B$4*ABS(Bitkiler!$F$60-Topraklar!$F$4)+Ayarlar!$B$5*ABS(Bitkiler!$G$60-Topraklar!$G$4)+Ayarlar!$B$6*IF(Bitkiler!$H$60=Topraklar!$H$4,0,1))/Ayarlar!$B$7)+IF(Topraklar!$K$4=Bitkiler!$C$60,0.002,IF(Topraklar!$L$4="Evet",0.001,0)))</f>
        <v/>
      </c>
      <c r="E61" s="16">
        <f>IF(OR(Topraklar!$J$5="Evet",AND(Topraklar!$L$5&lt;&gt;"Evet",Topraklar!$K$5&lt;&gt;Bitkiler!$C$60)),0,MAX(0,1-(Ayarlar!$B$2*ABS(Bitkiler!$D$60-Topraklar!$D$5)+Ayarlar!$B$3*ABS(Bitkiler!$E$60-Topraklar!$E$5)+Ayarlar!$B$4*ABS(Bitkiler!$F$60-Topraklar!$F$5)+Ayarlar!$B$5*ABS(Bitkiler!$G$60-Topraklar!$G$5)+Ayarlar!$B$6*IF(Bitkiler!$H$60=Topraklar!$H$5,0,1))/Ayarlar!$B$7)+IF(Topraklar!$K$5=Bitkiler!$C$60,0.002,IF(Topraklar!$L$5="Evet",0.001,0)))</f>
        <v/>
      </c>
      <c r="F61" s="16">
        <f>IF(OR(Topraklar!$J$6="Evet",AND(Topraklar!$L$6&lt;&gt;"Evet",Topraklar!$K$6&lt;&gt;Bitkiler!$C$60)),0,MAX(0,1-(Ayarlar!$B$2*ABS(Bitkiler!$D$60-Topraklar!$D$6)+Ayarlar!$B$3*ABS(Bitkiler!$E$60-Topraklar!$E$6)+Ayarlar!$B$4*ABS(Bitkiler!$F$60-Topraklar!$F$6)+Ayarlar!$B$5*ABS(Bitkiler!$G$60-Topraklar!$G$6)+Ayarlar!$B$6*IF(Bitkiler!$H$60=Topraklar!$H$6,0,1))/Ayarlar!$B$7)+IF(Topraklar!$K$6=Bitkiler!$C$60,0.002,IF(Topraklar!$L$6="Evet",0.001,0)))</f>
        <v/>
      </c>
      <c r="G61" s="16">
        <f>IF(OR(Topraklar!$J$7="Evet",AND(Topraklar!$L$7&lt;&gt;"Evet",Topraklar!$K$7&lt;&gt;Bitkiler!$C$60)),0,MAX(0,1-(Ayarlar!$B$2*ABS(Bitkiler!$D$60-Topraklar!$D$7)+Ayarlar!$B$3*ABS(Bitkiler!$E$60-Topraklar!$E$7)+Ayarlar!$B$4*ABS(Bitkiler!$F$60-Topraklar!$F$7)+Ayarlar!$B$5*ABS(Bitkiler!$G$60-Topraklar!$G$7)+Ayarlar!$B$6*IF(Bitkiler!$H$60=Topraklar!$H$7,0,1))/Ayarlar!$B$7)+IF(Topraklar!$K$7=Bitkiler!$C$60,0.002,IF(Topraklar!$L$7="Evet",0.001,0)))</f>
        <v/>
      </c>
      <c r="H61" s="16">
        <f>IF(OR(Topraklar!$J$8="Evet",AND(Topraklar!$L$8&lt;&gt;"Evet",Topraklar!$K$8&lt;&gt;Bitkiler!$C$60)),0,MAX(0,1-(Ayarlar!$B$2*ABS(Bitkiler!$D$60-Topraklar!$D$8)+Ayarlar!$B$3*ABS(Bitkiler!$E$60-Topraklar!$E$8)+Ayarlar!$B$4*ABS(Bitkiler!$F$60-Topraklar!$F$8)+Ayarlar!$B$5*ABS(Bitkiler!$G$60-Topraklar!$G$8)+Ayarlar!$B$6*IF(Bitkiler!$H$60=Topraklar!$H$8,0,1))/Ayarlar!$B$7)+IF(Topraklar!$K$8=Bitkiler!$C$60,0.002,IF(Topraklar!$L$8="Evet",0.001,0)))</f>
        <v/>
      </c>
      <c r="I61" s="16">
        <f>IF(OR(Topraklar!$J$9="Evet",AND(Topraklar!$L$9&lt;&gt;"Evet",Topraklar!$K$9&lt;&gt;Bitkiler!$C$60)),0,MAX(0,1-(Ayarlar!$B$2*ABS(Bitkiler!$D$60-Topraklar!$D$9)+Ayarlar!$B$3*ABS(Bitkiler!$E$60-Topraklar!$E$9)+Ayarlar!$B$4*ABS(Bitkiler!$F$60-Topraklar!$F$9)+Ayarlar!$B$5*ABS(Bitkiler!$G$60-Topraklar!$G$9)+Ayarlar!$B$6*IF(Bitkiler!$H$60=Topraklar!$H$9,0,1))/Ayarlar!$B$7)+IF(Topraklar!$K$9=Bitkiler!$C$60,0.002,IF(Topraklar!$L$9="Evet",0.001,0)))</f>
        <v/>
      </c>
      <c r="J61" s="16">
        <f>IF(OR(Topraklar!$J$10="Evet",AND(Topraklar!$L$10&lt;&gt;"Evet",Topraklar!$K$10&lt;&gt;Bitkiler!$C$60)),0,MAX(0,1-(Ayarlar!$B$2*ABS(Bitkiler!$D$60-Topraklar!$D$10)+Ayarlar!$B$3*ABS(Bitkiler!$E$60-Topraklar!$E$10)+Ayarlar!$B$4*ABS(Bitkiler!$F$60-Topraklar!$F$10)+Ayarlar!$B$5*ABS(Bitkiler!$G$60-Topraklar!$G$10)+Ayarlar!$B$6*IF(Bitkiler!$H$60=Topraklar!$H$10,0,1))/Ayarlar!$B$7)+IF(Topraklar!$K$10=Bitkiler!$C$60,0.002,IF(Topraklar!$L$10="Evet",0.001,0)))</f>
        <v/>
      </c>
      <c r="K61" s="16">
        <f>IF(OR(Topraklar!$J$11="Evet",AND(Topraklar!$L$11&lt;&gt;"Evet",Topraklar!$K$11&lt;&gt;Bitkiler!$C$60)),0,MAX(0,1-(Ayarlar!$B$2*ABS(Bitkiler!$D$60-Topraklar!$D$11)+Ayarlar!$B$3*ABS(Bitkiler!$E$60-Topraklar!$E$11)+Ayarlar!$B$4*ABS(Bitkiler!$F$60-Topraklar!$F$11)+Ayarlar!$B$5*ABS(Bitkiler!$G$60-Topraklar!$G$11)+Ayarlar!$B$6*IF(Bitkiler!$H$60=Topraklar!$H$11,0,1))/Ayarlar!$B$7)+IF(Topraklar!$K$11=Bitkiler!$C$60,0.002,IF(Topraklar!$L$11="Evet",0.001,0)))</f>
        <v/>
      </c>
      <c r="L61" s="16">
        <f>IF(OR(Topraklar!$J$12="Evet",AND(Topraklar!$L$12&lt;&gt;"Evet",Topraklar!$K$12&lt;&gt;Bitkiler!$C$60)),0,MAX(0,1-(Ayarlar!$B$2*ABS(Bitkiler!$D$60-Topraklar!$D$12)+Ayarlar!$B$3*ABS(Bitkiler!$E$60-Topraklar!$E$12)+Ayarlar!$B$4*ABS(Bitkiler!$F$60-Topraklar!$F$12)+Ayarlar!$B$5*ABS(Bitkiler!$G$60-Topraklar!$G$12)+Ayarlar!$B$6*IF(Bitkiler!$H$60=Topraklar!$H$12,0,1))/Ayarlar!$B$7)+IF(Topraklar!$K$12=Bitkiler!$C$60,0.002,IF(Topraklar!$L$12="Evet",0.001,0)))</f>
        <v/>
      </c>
      <c r="M61" s="16">
        <f>IF(OR(Topraklar!$J$13="Evet",AND(Topraklar!$L$13&lt;&gt;"Evet",Topraklar!$K$13&lt;&gt;Bitkiler!$C$60)),0,MAX(0,1-(Ayarlar!$B$2*ABS(Bitkiler!$D$60-Topraklar!$D$13)+Ayarlar!$B$3*ABS(Bitkiler!$E$60-Topraklar!$E$13)+Ayarlar!$B$4*ABS(Bitkiler!$F$60-Topraklar!$F$13)+Ayarlar!$B$5*ABS(Bitkiler!$G$60-Topraklar!$G$13)+Ayarlar!$B$6*IF(Bitkiler!$H$60=Topraklar!$H$13,0,1))/Ayarlar!$B$7)+IF(Topraklar!$K$13=Bitkiler!$C$60,0.002,IF(Topraklar!$L$13="Evet",0.001,0)))</f>
        <v/>
      </c>
      <c r="N61" s="16">
        <f>IF(OR(Topraklar!$J$14="Evet",AND(Topraklar!$L$14&lt;&gt;"Evet",Topraklar!$K$14&lt;&gt;Bitkiler!$C$60)),0,MAX(0,1-(Ayarlar!$B$2*ABS(Bitkiler!$D$60-Topraklar!$D$14)+Ayarlar!$B$3*ABS(Bitkiler!$E$60-Topraklar!$E$14)+Ayarlar!$B$4*ABS(Bitkiler!$F$60-Topraklar!$F$14)+Ayarlar!$B$5*ABS(Bitkiler!$G$60-Topraklar!$G$14)+Ayarlar!$B$6*IF(Bitkiler!$H$60=Topraklar!$H$14,0,1))/Ayarlar!$B$7)+IF(Topraklar!$K$14=Bitkiler!$C$60,0.002,IF(Topraklar!$L$14="Evet",0.001,0)))</f>
        <v/>
      </c>
      <c r="O61" s="16">
        <f>IF(OR(Topraklar!$J$15="Evet",AND(Topraklar!$L$15&lt;&gt;"Evet",Topraklar!$K$15&lt;&gt;Bitkiler!$C$60)),0,MAX(0,1-(Ayarlar!$B$2*ABS(Bitkiler!$D$60-Topraklar!$D$15)+Ayarlar!$B$3*ABS(Bitkiler!$E$60-Topraklar!$E$15)+Ayarlar!$B$4*ABS(Bitkiler!$F$60-Topraklar!$F$15)+Ayarlar!$B$5*ABS(Bitkiler!$G$60-Topraklar!$G$15)+Ayarlar!$B$6*IF(Bitkiler!$H$60=Topraklar!$H$15,0,1))/Ayarlar!$B$7)+IF(Topraklar!$K$15=Bitkiler!$C$60,0.002,IF(Topraklar!$L$15="Evet",0.001,0)))</f>
        <v/>
      </c>
      <c r="P61" s="16">
        <f>IF(OR(Topraklar!$J$16="Evet",AND(Topraklar!$L$16&lt;&gt;"Evet",Topraklar!$K$16&lt;&gt;Bitkiler!$C$60)),0,MAX(0,1-(Ayarlar!$B$2*ABS(Bitkiler!$D$60-Topraklar!$D$16)+Ayarlar!$B$3*ABS(Bitkiler!$E$60-Topraklar!$E$16)+Ayarlar!$B$4*ABS(Bitkiler!$F$60-Topraklar!$F$16)+Ayarlar!$B$5*ABS(Bitkiler!$G$60-Topraklar!$G$16)+Ayarlar!$B$6*IF(Bitkiler!$H$60=Topraklar!$H$16,0,1))/Ayarlar!$B$7)+IF(Topraklar!$K$16=Bitkiler!$C$60,0.002,IF(Topraklar!$L$16="Evet",0.001,0)))</f>
        <v/>
      </c>
      <c r="Q61" s="16">
        <f>IF(OR(Topraklar!$J$17="Evet",AND(Topraklar!$L$17&lt;&gt;"Evet",Topraklar!$K$17&lt;&gt;Bitkiler!$C$60)),0,MAX(0,1-(Ayarlar!$B$2*ABS(Bitkiler!$D$60-Topraklar!$D$17)+Ayarlar!$B$3*ABS(Bitkiler!$E$60-Topraklar!$E$17)+Ayarlar!$B$4*ABS(Bitkiler!$F$60-Topraklar!$F$17)+Ayarlar!$B$5*ABS(Bitkiler!$G$60-Topraklar!$G$17)+Ayarlar!$B$6*IF(Bitkiler!$H$60=Topraklar!$H$17,0,1))/Ayarlar!$B$7)+IF(Topraklar!$K$17=Bitkiler!$C$60,0.002,IF(Topraklar!$L$17="Evet",0.001,0)))</f>
        <v/>
      </c>
      <c r="R61" s="16">
        <f>IF(OR(Topraklar!$J$18="Evet",AND(Topraklar!$L$18&lt;&gt;"Evet",Topraklar!$K$18&lt;&gt;Bitkiler!$C$60)),0,MAX(0,1-(Ayarlar!$B$2*ABS(Bitkiler!$D$60-Topraklar!$D$18)+Ayarlar!$B$3*ABS(Bitkiler!$E$60-Topraklar!$E$18)+Ayarlar!$B$4*ABS(Bitkiler!$F$60-Topraklar!$F$18)+Ayarlar!$B$5*ABS(Bitkiler!$G$60-Topraklar!$G$18)+Ayarlar!$B$6*IF(Bitkiler!$H$60=Topraklar!$H$18,0,1))/Ayarlar!$B$7)+IF(Topraklar!$K$18=Bitkiler!$C$60,0.002,IF(Topraklar!$L$18="Evet",0.001,0)))</f>
        <v/>
      </c>
      <c r="S61" s="16">
        <f>IF(OR(Topraklar!$J$19="Evet",AND(Topraklar!$L$19&lt;&gt;"Evet",Topraklar!$K$19&lt;&gt;Bitkiler!$C$60)),0,MAX(0,1-(Ayarlar!$B$2*ABS(Bitkiler!$D$60-Topraklar!$D$19)+Ayarlar!$B$3*ABS(Bitkiler!$E$60-Topraklar!$E$19)+Ayarlar!$B$4*ABS(Bitkiler!$F$60-Topraklar!$F$19)+Ayarlar!$B$5*ABS(Bitkiler!$G$60-Topraklar!$G$19)+Ayarlar!$B$6*IF(Bitkiler!$H$60=Topraklar!$H$19,0,1))/Ayarlar!$B$7)+IF(Topraklar!$K$19=Bitkiler!$C$60,0.002,IF(Topraklar!$L$19="Evet",0.001,0)))</f>
        <v/>
      </c>
      <c r="T61" s="16">
        <f>IF(OR(Topraklar!$J$20="Evet",AND(Topraklar!$L$20&lt;&gt;"Evet",Topraklar!$K$20&lt;&gt;Bitkiler!$C$60)),0,MAX(0,1-(Ayarlar!$B$2*ABS(Bitkiler!$D$60-Topraklar!$D$20)+Ayarlar!$B$3*ABS(Bitkiler!$E$60-Topraklar!$E$20)+Ayarlar!$B$4*ABS(Bitkiler!$F$60-Topraklar!$F$20)+Ayarlar!$B$5*ABS(Bitkiler!$G$60-Topraklar!$G$20)+Ayarlar!$B$6*IF(Bitkiler!$H$60=Topraklar!$H$20,0,1))/Ayarlar!$B$7)+IF(Topraklar!$K$20=Bitkiler!$C$60,0.002,IF(Topraklar!$L$20="Evet",0.001,0)))</f>
        <v/>
      </c>
      <c r="U61" s="16">
        <f>IF(OR(Topraklar!$J$21="Evet",AND(Topraklar!$L$21&lt;&gt;"Evet",Topraklar!$K$21&lt;&gt;Bitkiler!$C$60)),0,MAX(0,1-(Ayarlar!$B$2*ABS(Bitkiler!$D$60-Topraklar!$D$21)+Ayarlar!$B$3*ABS(Bitkiler!$E$60-Topraklar!$E$21)+Ayarlar!$B$4*ABS(Bitkiler!$F$60-Topraklar!$F$21)+Ayarlar!$B$5*ABS(Bitkiler!$G$60-Topraklar!$G$21)+Ayarlar!$B$6*IF(Bitkiler!$H$60=Topraklar!$H$21,0,1))/Ayarlar!$B$7)+IF(Topraklar!$K$21=Bitkiler!$C$60,0.002,IF(Topraklar!$L$21="Evet",0.001,0)))</f>
        <v/>
      </c>
      <c r="V61" s="16">
        <f>IF(OR(Topraklar!$J$22="Evet",AND(Topraklar!$L$22&lt;&gt;"Evet",Topraklar!$K$22&lt;&gt;Bitkiler!$C$60)),0,MAX(0,1-(Ayarlar!$B$2*ABS(Bitkiler!$D$60-Topraklar!$D$22)+Ayarlar!$B$3*ABS(Bitkiler!$E$60-Topraklar!$E$22)+Ayarlar!$B$4*ABS(Bitkiler!$F$60-Topraklar!$F$22)+Ayarlar!$B$5*ABS(Bitkiler!$G$60-Topraklar!$G$22)+Ayarlar!$B$6*IF(Bitkiler!$H$60=Topraklar!$H$22,0,1))/Ayarlar!$B$7)+IF(Topraklar!$K$22=Bitkiler!$C$60,0.002,IF(Topraklar!$L$22="Evet",0.001,0)))</f>
        <v/>
      </c>
      <c r="W61" s="16">
        <f>IF(OR(Topraklar!$J$23="Evet",AND(Topraklar!$L$23&lt;&gt;"Evet",Topraklar!$K$23&lt;&gt;Bitkiler!$C$60)),0,MAX(0,1-(Ayarlar!$B$2*ABS(Bitkiler!$D$60-Topraklar!$D$23)+Ayarlar!$B$3*ABS(Bitkiler!$E$60-Topraklar!$E$23)+Ayarlar!$B$4*ABS(Bitkiler!$F$60-Topraklar!$F$23)+Ayarlar!$B$5*ABS(Bitkiler!$G$60-Topraklar!$G$23)+Ayarlar!$B$6*IF(Bitkiler!$H$60=Topraklar!$H$23,0,1))/Ayarlar!$B$7)+IF(Topraklar!$K$23=Bitkiler!$C$60,0.002,IF(Topraklar!$L$23="Evet",0.001,0)))</f>
        <v/>
      </c>
      <c r="X61" s="16">
        <f>IF(OR(Topraklar!$J$24="Evet",AND(Topraklar!$L$24&lt;&gt;"Evet",Topraklar!$K$24&lt;&gt;Bitkiler!$C$60)),0,MAX(0,1-(Ayarlar!$B$2*ABS(Bitkiler!$D$60-Topraklar!$D$24)+Ayarlar!$B$3*ABS(Bitkiler!$E$60-Topraklar!$E$24)+Ayarlar!$B$4*ABS(Bitkiler!$F$60-Topraklar!$F$24)+Ayarlar!$B$5*ABS(Bitkiler!$G$60-Topraklar!$G$24)+Ayarlar!$B$6*IF(Bitkiler!$H$60=Topraklar!$H$24,0,1))/Ayarlar!$B$7)+IF(Topraklar!$K$24=Bitkiler!$C$60,0.002,IF(Topraklar!$L$24="Evet",0.001,0)))</f>
        <v/>
      </c>
      <c r="Y61" s="16">
        <f>IF(OR(Topraklar!$J$25="Evet",AND(Topraklar!$L$25&lt;&gt;"Evet",Topraklar!$K$25&lt;&gt;Bitkiler!$C$60)),0,MAX(0,1-(Ayarlar!$B$2*ABS(Bitkiler!$D$60-Topraklar!$D$25)+Ayarlar!$B$3*ABS(Bitkiler!$E$60-Topraklar!$E$25)+Ayarlar!$B$4*ABS(Bitkiler!$F$60-Topraklar!$F$25)+Ayarlar!$B$5*ABS(Bitkiler!$G$60-Topraklar!$G$25)+Ayarlar!$B$6*IF(Bitkiler!$H$60=Topraklar!$H$25,0,1))/Ayarlar!$B$7)+IF(Topraklar!$K$25=Bitkiler!$C$60,0.002,IF(Topraklar!$L$25="Evet",0.001,0)))</f>
        <v/>
      </c>
      <c r="Z61" s="16">
        <f>IF(OR(Topraklar!$J$26="Evet",AND(Topraklar!$L$26&lt;&gt;"Evet",Topraklar!$K$26&lt;&gt;Bitkiler!$C$60)),0,MAX(0,1-(Ayarlar!$B$2*ABS(Bitkiler!$D$60-Topraklar!$D$26)+Ayarlar!$B$3*ABS(Bitkiler!$E$60-Topraklar!$E$26)+Ayarlar!$B$4*ABS(Bitkiler!$F$60-Topraklar!$F$26)+Ayarlar!$B$5*ABS(Bitkiler!$G$60-Topraklar!$G$26)+Ayarlar!$B$6*IF(Bitkiler!$H$60=Topraklar!$H$26,0,1))/Ayarlar!$B$7)+IF(Topraklar!$K$26=Bitkiler!$C$60,0.002,IF(Topraklar!$L$26="Evet",0.001,0)))</f>
        <v/>
      </c>
      <c r="AA61" s="16">
        <f>IF(OR(Topraklar!$J$27="Evet",AND(Topraklar!$L$27&lt;&gt;"Evet",Topraklar!$K$27&lt;&gt;Bitkiler!$C$60)),0,MAX(0,1-(Ayarlar!$B$2*ABS(Bitkiler!$D$60-Topraklar!$D$27)+Ayarlar!$B$3*ABS(Bitkiler!$E$60-Topraklar!$E$27)+Ayarlar!$B$4*ABS(Bitkiler!$F$60-Topraklar!$F$27)+Ayarlar!$B$5*ABS(Bitkiler!$G$60-Topraklar!$G$27)+Ayarlar!$B$6*IF(Bitkiler!$H$60=Topraklar!$H$27,0,1))/Ayarlar!$B$7)+IF(Topraklar!$K$27=Bitkiler!$C$60,0.002,IF(Topraklar!$L$27="Evet",0.001,0)))</f>
        <v/>
      </c>
      <c r="AB61" s="16">
        <f>IF(OR(Topraklar!$J$28="Evet",AND(Topraklar!$L$28&lt;&gt;"Evet",Topraklar!$K$28&lt;&gt;Bitkiler!$C$60)),0,MAX(0,1-(Ayarlar!$B$2*ABS(Bitkiler!$D$60-Topraklar!$D$28)+Ayarlar!$B$3*ABS(Bitkiler!$E$60-Topraklar!$E$28)+Ayarlar!$B$4*ABS(Bitkiler!$F$60-Topraklar!$F$28)+Ayarlar!$B$5*ABS(Bitkiler!$G$60-Topraklar!$G$28)+Ayarlar!$B$6*IF(Bitkiler!$H$60=Topraklar!$H$28,0,1))/Ayarlar!$B$7)+IF(Topraklar!$K$28=Bitkiler!$C$60,0.002,IF(Topraklar!$L$28="Evet",0.001,0)))</f>
        <v/>
      </c>
      <c r="AC61" s="16">
        <f>IF(OR(Topraklar!$J$29="Evet",AND(Topraklar!$L$29&lt;&gt;"Evet",Topraklar!$K$29&lt;&gt;Bitkiler!$C$60)),0,MAX(0,1-(Ayarlar!$B$2*ABS(Bitkiler!$D$60-Topraklar!$D$29)+Ayarlar!$B$3*ABS(Bitkiler!$E$60-Topraklar!$E$29)+Ayarlar!$B$4*ABS(Bitkiler!$F$60-Topraklar!$F$29)+Ayarlar!$B$5*ABS(Bitkiler!$G$60-Topraklar!$G$29)+Ayarlar!$B$6*IF(Bitkiler!$H$60=Topraklar!$H$29,0,1))/Ayarlar!$B$7)+IF(Topraklar!$K$29=Bitkiler!$C$60,0.002,IF(Topraklar!$L$29="Evet",0.001,0)))</f>
        <v/>
      </c>
      <c r="AD61" s="16">
        <f>IF(OR(Topraklar!$J$30="Evet",AND(Topraklar!$L$30&lt;&gt;"Evet",Topraklar!$K$30&lt;&gt;Bitkiler!$C$60)),0,MAX(0,1-(Ayarlar!$B$2*ABS(Bitkiler!$D$60-Topraklar!$D$30)+Ayarlar!$B$3*ABS(Bitkiler!$E$60-Topraklar!$E$30)+Ayarlar!$B$4*ABS(Bitkiler!$F$60-Topraklar!$F$30)+Ayarlar!$B$5*ABS(Bitkiler!$G$60-Topraklar!$G$30)+Ayarlar!$B$6*IF(Bitkiler!$H$60=Topraklar!$H$30,0,1))/Ayarlar!$B$7)+IF(Topraklar!$K$30=Bitkiler!$C$60,0.002,IF(Topraklar!$L$30="Evet",0.001,0)))</f>
        <v/>
      </c>
      <c r="AE61" s="16">
        <f>IF(OR(Topraklar!$J$31="Evet",AND(Topraklar!$L$31&lt;&gt;"Evet",Topraklar!$K$31&lt;&gt;Bitkiler!$C$60)),0,MAX(0,1-(Ayarlar!$B$2*ABS(Bitkiler!$D$60-Topraklar!$D$31)+Ayarlar!$B$3*ABS(Bitkiler!$E$60-Topraklar!$E$31)+Ayarlar!$B$4*ABS(Bitkiler!$F$60-Topraklar!$F$31)+Ayarlar!$B$5*ABS(Bitkiler!$G$60-Topraklar!$G$31)+Ayarlar!$B$6*IF(Bitkiler!$H$60=Topraklar!$H$31,0,1))/Ayarlar!$B$7)+IF(Topraklar!$K$31=Bitkiler!$C$60,0.002,IF(Topraklar!$L$31="Evet",0.001,0)))</f>
        <v/>
      </c>
      <c r="AF61" s="16">
        <f>IF(OR(Topraklar!$J$32="Evet",AND(Topraklar!$L$32&lt;&gt;"Evet",Topraklar!$K$32&lt;&gt;Bitkiler!$C$60)),0,MAX(0,1-(Ayarlar!$B$2*ABS(Bitkiler!$D$60-Topraklar!$D$32)+Ayarlar!$B$3*ABS(Bitkiler!$E$60-Topraklar!$E$32)+Ayarlar!$B$4*ABS(Bitkiler!$F$60-Topraklar!$F$32)+Ayarlar!$B$5*ABS(Bitkiler!$G$60-Topraklar!$G$32)+Ayarlar!$B$6*IF(Bitkiler!$H$60=Topraklar!$H$32,0,1))/Ayarlar!$B$7)+IF(Topraklar!$K$32=Bitkiler!$C$60,0.002,IF(Topraklar!$L$32="Evet",0.001,0)))</f>
        <v/>
      </c>
      <c r="AG61" s="16">
        <f>IF(OR(Topraklar!$J$33="Evet",AND(Topraklar!$L$33&lt;&gt;"Evet",Topraklar!$K$33&lt;&gt;Bitkiler!$C$60)),0,MAX(0,1-(Ayarlar!$B$2*ABS(Bitkiler!$D$60-Topraklar!$D$33)+Ayarlar!$B$3*ABS(Bitkiler!$E$60-Topraklar!$E$33)+Ayarlar!$B$4*ABS(Bitkiler!$F$60-Topraklar!$F$33)+Ayarlar!$B$5*ABS(Bitkiler!$G$60-Topraklar!$G$33)+Ayarlar!$B$6*IF(Bitkiler!$H$60=Topraklar!$H$33,0,1))/Ayarlar!$B$7)+IF(Topraklar!$K$33=Bitkiler!$C$60,0.002,IF(Topraklar!$L$33="Evet",0.001,0)))</f>
        <v/>
      </c>
      <c r="AH61" s="16">
        <f>IF(OR(Topraklar!$J$34="Evet",AND(Topraklar!$L$34&lt;&gt;"Evet",Topraklar!$K$34&lt;&gt;Bitkiler!$C$60)),0,MAX(0,1-(Ayarlar!$B$2*ABS(Bitkiler!$D$60-Topraklar!$D$34)+Ayarlar!$B$3*ABS(Bitkiler!$E$60-Topraklar!$E$34)+Ayarlar!$B$4*ABS(Bitkiler!$F$60-Topraklar!$F$34)+Ayarlar!$B$5*ABS(Bitkiler!$G$60-Topraklar!$G$34)+Ayarlar!$B$6*IF(Bitkiler!$H$60=Topraklar!$H$34,0,1))/Ayarlar!$B$7)+IF(Topraklar!$K$34=Bitkiler!$C$60,0.002,IF(Topraklar!$L$34="Evet",0.001,0)))</f>
        <v/>
      </c>
      <c r="AI61" s="16">
        <f>IF(OR(Topraklar!$J$35="Evet",AND(Topraklar!$L$35&lt;&gt;"Evet",Topraklar!$K$35&lt;&gt;Bitkiler!$C$60)),0,MAX(0,1-(Ayarlar!$B$2*ABS(Bitkiler!$D$60-Topraklar!$D$35)+Ayarlar!$B$3*ABS(Bitkiler!$E$60-Topraklar!$E$35)+Ayarlar!$B$4*ABS(Bitkiler!$F$60-Topraklar!$F$35)+Ayarlar!$B$5*ABS(Bitkiler!$G$60-Topraklar!$G$35)+Ayarlar!$B$6*IF(Bitkiler!$H$60=Topraklar!$H$35,0,1))/Ayarlar!$B$7)+IF(Topraklar!$K$35=Bitkiler!$C$60,0.002,IF(Topraklar!$L$35="Evet",0.001,0)))</f>
        <v/>
      </c>
      <c r="AJ61" s="16">
        <f>IF(OR(Topraklar!$J$36="Evet",AND(Topraklar!$L$36&lt;&gt;"Evet",Topraklar!$K$36&lt;&gt;Bitkiler!$C$60)),0,MAX(0,1-(Ayarlar!$B$2*ABS(Bitkiler!$D$60-Topraklar!$D$36)+Ayarlar!$B$3*ABS(Bitkiler!$E$60-Topraklar!$E$36)+Ayarlar!$B$4*ABS(Bitkiler!$F$60-Topraklar!$F$36)+Ayarlar!$B$5*ABS(Bitkiler!$G$60-Topraklar!$G$36)+Ayarlar!$B$6*IF(Bitkiler!$H$60=Topraklar!$H$36,0,1))/Ayarlar!$B$7)+IF(Topraklar!$K$36=Bitkiler!$C$60,0.002,IF(Topraklar!$L$36="Evet",0.001,0)))</f>
        <v/>
      </c>
      <c r="AK61" s="16">
        <f>IF(OR(Topraklar!$J$37="Evet",AND(Topraklar!$L$37&lt;&gt;"Evet",Topraklar!$K$37&lt;&gt;Bitkiler!$C$60)),0,MAX(0,1-(Ayarlar!$B$2*ABS(Bitkiler!$D$60-Topraklar!$D$37)+Ayarlar!$B$3*ABS(Bitkiler!$E$60-Topraklar!$E$37)+Ayarlar!$B$4*ABS(Bitkiler!$F$60-Topraklar!$F$37)+Ayarlar!$B$5*ABS(Bitkiler!$G$60-Topraklar!$G$37)+Ayarlar!$B$6*IF(Bitkiler!$H$60=Topraklar!$H$37,0,1))/Ayarlar!$B$7)+IF(Topraklar!$K$37=Bitkiler!$C$60,0.002,IF(Topraklar!$L$37="Evet",0.001,0)))</f>
        <v/>
      </c>
      <c r="AL61" s="16">
        <f>IF(OR(Topraklar!$J$38="Evet",AND(Topraklar!$L$38&lt;&gt;"Evet",Topraklar!$K$38&lt;&gt;Bitkiler!$C$60)),0,MAX(0,1-(Ayarlar!$B$2*ABS(Bitkiler!$D$60-Topraklar!$D$38)+Ayarlar!$B$3*ABS(Bitkiler!$E$60-Topraklar!$E$38)+Ayarlar!$B$4*ABS(Bitkiler!$F$60-Topraklar!$F$38)+Ayarlar!$B$5*ABS(Bitkiler!$G$60-Topraklar!$G$38)+Ayarlar!$B$6*IF(Bitkiler!$H$60=Topraklar!$H$38,0,1))/Ayarlar!$B$7)+IF(Topraklar!$K$38=Bitkiler!$C$60,0.002,IF(Topraklar!$L$38="Evet",0.001,0)))</f>
        <v/>
      </c>
      <c r="AM61" s="16">
        <f>IF(OR(Topraklar!$J$39="Evet",AND(Topraklar!$L$39&lt;&gt;"Evet",Topraklar!$K$39&lt;&gt;Bitkiler!$C$60)),0,MAX(0,1-(Ayarlar!$B$2*ABS(Bitkiler!$D$60-Topraklar!$D$39)+Ayarlar!$B$3*ABS(Bitkiler!$E$60-Topraklar!$E$39)+Ayarlar!$B$4*ABS(Bitkiler!$F$60-Topraklar!$F$39)+Ayarlar!$B$5*ABS(Bitkiler!$G$60-Topraklar!$G$39)+Ayarlar!$B$6*IF(Bitkiler!$H$60=Topraklar!$H$39,0,1))/Ayarlar!$B$7)+IF(Topraklar!$K$39=Bitkiler!$C$60,0.002,IF(Topraklar!$L$39="Evet",0.001,0)))</f>
        <v/>
      </c>
      <c r="AN61" s="16">
        <f>IF(OR(Topraklar!$J$40="Evet",AND(Topraklar!$L$40&lt;&gt;"Evet",Topraklar!$K$40&lt;&gt;Bitkiler!$C$60)),0,MAX(0,1-(Ayarlar!$B$2*ABS(Bitkiler!$D$60-Topraklar!$D$40)+Ayarlar!$B$3*ABS(Bitkiler!$E$60-Topraklar!$E$40)+Ayarlar!$B$4*ABS(Bitkiler!$F$60-Topraklar!$F$40)+Ayarlar!$B$5*ABS(Bitkiler!$G$60-Topraklar!$G$40)+Ayarlar!$B$6*IF(Bitkiler!$H$60=Topraklar!$H$40,0,1))/Ayarlar!$B$7)+IF(Topraklar!$K$40=Bitkiler!$C$60,0.002,IF(Topraklar!$L$40="Evet",0.001,0)))</f>
        <v/>
      </c>
      <c r="AO61" s="16">
        <f>IF(OR(Topraklar!$J$41="Evet",AND(Topraklar!$L$41&lt;&gt;"Evet",Topraklar!$K$41&lt;&gt;Bitkiler!$C$60)),0,MAX(0,1-(Ayarlar!$B$2*ABS(Bitkiler!$D$60-Topraklar!$D$41)+Ayarlar!$B$3*ABS(Bitkiler!$E$60-Topraklar!$E$41)+Ayarlar!$B$4*ABS(Bitkiler!$F$60-Topraklar!$F$41)+Ayarlar!$B$5*ABS(Bitkiler!$G$60-Topraklar!$G$41)+Ayarlar!$B$6*IF(Bitkiler!$H$60=Topraklar!$H$41,0,1))/Ayarlar!$B$7)+IF(Topraklar!$K$41=Bitkiler!$C$60,0.002,IF(Topraklar!$L$41="Evet",0.001,0)))</f>
        <v/>
      </c>
      <c r="AP61" s="16">
        <f>IF(OR(Topraklar!$J$42="Evet",AND(Topraklar!$L$42&lt;&gt;"Evet",Topraklar!$K$42&lt;&gt;Bitkiler!$C$60)),0,MAX(0,1-(Ayarlar!$B$2*ABS(Bitkiler!$D$60-Topraklar!$D$42)+Ayarlar!$B$3*ABS(Bitkiler!$E$60-Topraklar!$E$42)+Ayarlar!$B$4*ABS(Bitkiler!$F$60-Topraklar!$F$42)+Ayarlar!$B$5*ABS(Bitkiler!$G$60-Topraklar!$G$42)+Ayarlar!$B$6*IF(Bitkiler!$H$60=Topraklar!$H$42,0,1))/Ayarlar!$B$7)+IF(Topraklar!$K$42=Bitkiler!$C$60,0.002,IF(Topraklar!$L$42="Evet",0.001,0)))</f>
        <v/>
      </c>
      <c r="AQ61" s="16">
        <f>IF(OR(Topraklar!$J$43="Evet",AND(Topraklar!$L$43&lt;&gt;"Evet",Topraklar!$K$43&lt;&gt;Bitkiler!$C$60)),0,MAX(0,1-(Ayarlar!$B$2*ABS(Bitkiler!$D$60-Topraklar!$D$43)+Ayarlar!$B$3*ABS(Bitkiler!$E$60-Topraklar!$E$43)+Ayarlar!$B$4*ABS(Bitkiler!$F$60-Topraklar!$F$43)+Ayarlar!$B$5*ABS(Bitkiler!$G$60-Topraklar!$G$43)+Ayarlar!$B$6*IF(Bitkiler!$H$60=Topraklar!$H$43,0,1))/Ayarlar!$B$7)+IF(Topraklar!$K$43=Bitkiler!$C$60,0.002,IF(Topraklar!$L$43="Evet",0.001,0)))</f>
        <v/>
      </c>
      <c r="AR61" s="16">
        <f>IF(OR(Topraklar!$J$44="Evet",AND(Topraklar!$L$44&lt;&gt;"Evet",Topraklar!$K$44&lt;&gt;Bitkiler!$C$60)),0,MAX(0,1-(Ayarlar!$B$2*ABS(Bitkiler!$D$60-Topraklar!$D$44)+Ayarlar!$B$3*ABS(Bitkiler!$E$60-Topraklar!$E$44)+Ayarlar!$B$4*ABS(Bitkiler!$F$60-Topraklar!$F$44)+Ayarlar!$B$5*ABS(Bitkiler!$G$60-Topraklar!$G$44)+Ayarlar!$B$6*IF(Bitkiler!$H$60=Topraklar!$H$44,0,1))/Ayarlar!$B$7)+IF(Topraklar!$K$44=Bitkiler!$C$60,0.002,IF(Topraklar!$L$44="Evet",0.001,0)))</f>
        <v/>
      </c>
      <c r="AS61" s="16">
        <f>IF(OR(Topraklar!$J$45="Evet",AND(Topraklar!$L$45&lt;&gt;"Evet",Topraklar!$K$45&lt;&gt;Bitkiler!$C$60)),0,MAX(0,1-(Ayarlar!$B$2*ABS(Bitkiler!$D$60-Topraklar!$D$45)+Ayarlar!$B$3*ABS(Bitkiler!$E$60-Topraklar!$E$45)+Ayarlar!$B$4*ABS(Bitkiler!$F$60-Topraklar!$F$45)+Ayarlar!$B$5*ABS(Bitkiler!$G$60-Topraklar!$G$45)+Ayarlar!$B$6*IF(Bitkiler!$H$60=Topraklar!$H$45,0,1))/Ayarlar!$B$7)+IF(Topraklar!$K$45=Bitkiler!$C$60,0.002,IF(Topraklar!$L$45="Evet",0.001,0)))</f>
        <v/>
      </c>
      <c r="AT61" s="16">
        <f>IF(OR(Topraklar!$J$46="Evet",AND(Topraklar!$L$46&lt;&gt;"Evet",Topraklar!$K$46&lt;&gt;Bitkiler!$C$60)),0,MAX(0,1-(Ayarlar!$B$2*ABS(Bitkiler!$D$60-Topraklar!$D$46)+Ayarlar!$B$3*ABS(Bitkiler!$E$60-Topraklar!$E$46)+Ayarlar!$B$4*ABS(Bitkiler!$F$60-Topraklar!$F$46)+Ayarlar!$B$5*ABS(Bitkiler!$G$60-Topraklar!$G$46)+Ayarlar!$B$6*IF(Bitkiler!$H$60=Topraklar!$H$46,0,1))/Ayarlar!$B$7)+IF(Topraklar!$K$46=Bitkiler!$C$60,0.002,IF(Topraklar!$L$46="Evet",0.001,0)))</f>
        <v/>
      </c>
      <c r="AU61" s="16">
        <f>IF(OR(Topraklar!$J$47="Evet",AND(Topraklar!$L$47&lt;&gt;"Evet",Topraklar!$K$47&lt;&gt;Bitkiler!$C$60)),0,MAX(0,1-(Ayarlar!$B$2*ABS(Bitkiler!$D$60-Topraklar!$D$47)+Ayarlar!$B$3*ABS(Bitkiler!$E$60-Topraklar!$E$47)+Ayarlar!$B$4*ABS(Bitkiler!$F$60-Topraklar!$F$47)+Ayarlar!$B$5*ABS(Bitkiler!$G$60-Topraklar!$G$47)+Ayarlar!$B$6*IF(Bitkiler!$H$60=Topraklar!$H$47,0,1))/Ayarlar!$B$7)+IF(Topraklar!$K$47=Bitkiler!$C$60,0.002,IF(Topraklar!$L$47="Evet",0.001,0)))</f>
        <v/>
      </c>
      <c r="AV61" s="16">
        <f>IF(OR(Topraklar!$J$48="Evet",AND(Topraklar!$L$48&lt;&gt;"Evet",Topraklar!$K$48&lt;&gt;Bitkiler!$C$60)),0,MAX(0,1-(Ayarlar!$B$2*ABS(Bitkiler!$D$60-Topraklar!$D$48)+Ayarlar!$B$3*ABS(Bitkiler!$E$60-Topraklar!$E$48)+Ayarlar!$B$4*ABS(Bitkiler!$F$60-Topraklar!$F$48)+Ayarlar!$B$5*ABS(Bitkiler!$G$60-Topraklar!$G$48)+Ayarlar!$B$6*IF(Bitkiler!$H$60=Topraklar!$H$48,0,1))/Ayarlar!$B$7)+IF(Topraklar!$K$48=Bitkiler!$C$60,0.002,IF(Topraklar!$L$48="Evet",0.001,0)))</f>
        <v/>
      </c>
      <c r="AW61" s="16">
        <f>IF(OR(Topraklar!$J$49="Evet",AND(Topraklar!$L$49&lt;&gt;"Evet",Topraklar!$K$49&lt;&gt;Bitkiler!$C$60)),0,MAX(0,1-(Ayarlar!$B$2*ABS(Bitkiler!$D$60-Topraklar!$D$49)+Ayarlar!$B$3*ABS(Bitkiler!$E$60-Topraklar!$E$49)+Ayarlar!$B$4*ABS(Bitkiler!$F$60-Topraklar!$F$49)+Ayarlar!$B$5*ABS(Bitkiler!$G$60-Topraklar!$G$49)+Ayarlar!$B$6*IF(Bitkiler!$H$60=Topraklar!$H$49,0,1))/Ayarlar!$B$7)+IF(Topraklar!$K$49=Bitkiler!$C$60,0.002,IF(Topraklar!$L$49="Evet",0.001,0)))</f>
        <v/>
      </c>
      <c r="AX61" s="16">
        <f>IF(OR(Topraklar!$J$50="Evet",AND(Topraklar!$L$50&lt;&gt;"Evet",Topraklar!$K$50&lt;&gt;Bitkiler!$C$60)),0,MAX(0,1-(Ayarlar!$B$2*ABS(Bitkiler!$D$60-Topraklar!$D$50)+Ayarlar!$B$3*ABS(Bitkiler!$E$60-Topraklar!$E$50)+Ayarlar!$B$4*ABS(Bitkiler!$F$60-Topraklar!$F$50)+Ayarlar!$B$5*ABS(Bitkiler!$G$60-Topraklar!$G$50)+Ayarlar!$B$6*IF(Bitkiler!$H$60=Topraklar!$H$50,0,1))/Ayarlar!$B$7)+IF(Topraklar!$K$50=Bitkiler!$C$60,0.002,IF(Topraklar!$L$50="Evet",0.001,0)))</f>
        <v/>
      </c>
      <c r="AY61" s="16">
        <f>IF(OR(Topraklar!$J$51="Evet",AND(Topraklar!$L$51&lt;&gt;"Evet",Topraklar!$K$51&lt;&gt;Bitkiler!$C$60)),0,MAX(0,1-(Ayarlar!$B$2*ABS(Bitkiler!$D$60-Topraklar!$D$51)+Ayarlar!$B$3*ABS(Bitkiler!$E$60-Topraklar!$E$51)+Ayarlar!$B$4*ABS(Bitkiler!$F$60-Topraklar!$F$51)+Ayarlar!$B$5*ABS(Bitkiler!$G$60-Topraklar!$G$51)+Ayarlar!$B$6*IF(Bitkiler!$H$60=Topraklar!$H$51,0,1))/Ayarlar!$B$7)+IF(Topraklar!$K$51=Bitkiler!$C$60,0.002,IF(Topraklar!$L$51="Evet",0.001,0)))</f>
        <v/>
      </c>
    </row>
    <row r="62">
      <c r="A62" s="15">
        <f>Bitkiler!A61</f>
        <v/>
      </c>
      <c r="B62" s="16">
        <f>IF(OR(Topraklar!$J$2="Evet",AND(Topraklar!$L$2&lt;&gt;"Evet",Topraklar!$K$2&lt;&gt;Bitkiler!$C$61)),0,MAX(0,1-(Ayarlar!$B$2*ABS(Bitkiler!$D$61-Topraklar!$D$2)+Ayarlar!$B$3*ABS(Bitkiler!$E$61-Topraklar!$E$2)+Ayarlar!$B$4*ABS(Bitkiler!$F$61-Topraklar!$F$2)+Ayarlar!$B$5*ABS(Bitkiler!$G$61-Topraklar!$G$2)+Ayarlar!$B$6*IF(Bitkiler!$H$61=Topraklar!$H$2,0,1))/Ayarlar!$B$7)+IF(Topraklar!$K$2=Bitkiler!$C$61,0.002,IF(Topraklar!$L$2="Evet",0.001,0)))</f>
        <v/>
      </c>
      <c r="C62" s="16">
        <f>IF(OR(Topraklar!$J$3="Evet",AND(Topraklar!$L$3&lt;&gt;"Evet",Topraklar!$K$3&lt;&gt;Bitkiler!$C$61)),0,MAX(0,1-(Ayarlar!$B$2*ABS(Bitkiler!$D$61-Topraklar!$D$3)+Ayarlar!$B$3*ABS(Bitkiler!$E$61-Topraklar!$E$3)+Ayarlar!$B$4*ABS(Bitkiler!$F$61-Topraklar!$F$3)+Ayarlar!$B$5*ABS(Bitkiler!$G$61-Topraklar!$G$3)+Ayarlar!$B$6*IF(Bitkiler!$H$61=Topraklar!$H$3,0,1))/Ayarlar!$B$7)+IF(Topraklar!$K$3=Bitkiler!$C$61,0.002,IF(Topraklar!$L$3="Evet",0.001,0)))</f>
        <v/>
      </c>
      <c r="D62" s="16">
        <f>IF(OR(Topraklar!$J$4="Evet",AND(Topraklar!$L$4&lt;&gt;"Evet",Topraklar!$K$4&lt;&gt;Bitkiler!$C$61)),0,MAX(0,1-(Ayarlar!$B$2*ABS(Bitkiler!$D$61-Topraklar!$D$4)+Ayarlar!$B$3*ABS(Bitkiler!$E$61-Topraklar!$E$4)+Ayarlar!$B$4*ABS(Bitkiler!$F$61-Topraklar!$F$4)+Ayarlar!$B$5*ABS(Bitkiler!$G$61-Topraklar!$G$4)+Ayarlar!$B$6*IF(Bitkiler!$H$61=Topraklar!$H$4,0,1))/Ayarlar!$B$7)+IF(Topraklar!$K$4=Bitkiler!$C$61,0.002,IF(Topraklar!$L$4="Evet",0.001,0)))</f>
        <v/>
      </c>
      <c r="E62" s="16">
        <f>IF(OR(Topraklar!$J$5="Evet",AND(Topraklar!$L$5&lt;&gt;"Evet",Topraklar!$K$5&lt;&gt;Bitkiler!$C$61)),0,MAX(0,1-(Ayarlar!$B$2*ABS(Bitkiler!$D$61-Topraklar!$D$5)+Ayarlar!$B$3*ABS(Bitkiler!$E$61-Topraklar!$E$5)+Ayarlar!$B$4*ABS(Bitkiler!$F$61-Topraklar!$F$5)+Ayarlar!$B$5*ABS(Bitkiler!$G$61-Topraklar!$G$5)+Ayarlar!$B$6*IF(Bitkiler!$H$61=Topraklar!$H$5,0,1))/Ayarlar!$B$7)+IF(Topraklar!$K$5=Bitkiler!$C$61,0.002,IF(Topraklar!$L$5="Evet",0.001,0)))</f>
        <v/>
      </c>
      <c r="F62" s="16">
        <f>IF(OR(Topraklar!$J$6="Evet",AND(Topraklar!$L$6&lt;&gt;"Evet",Topraklar!$K$6&lt;&gt;Bitkiler!$C$61)),0,MAX(0,1-(Ayarlar!$B$2*ABS(Bitkiler!$D$61-Topraklar!$D$6)+Ayarlar!$B$3*ABS(Bitkiler!$E$61-Topraklar!$E$6)+Ayarlar!$B$4*ABS(Bitkiler!$F$61-Topraklar!$F$6)+Ayarlar!$B$5*ABS(Bitkiler!$G$61-Topraklar!$G$6)+Ayarlar!$B$6*IF(Bitkiler!$H$61=Topraklar!$H$6,0,1))/Ayarlar!$B$7)+IF(Topraklar!$K$6=Bitkiler!$C$61,0.002,IF(Topraklar!$L$6="Evet",0.001,0)))</f>
        <v/>
      </c>
      <c r="G62" s="16">
        <f>IF(OR(Topraklar!$J$7="Evet",AND(Topraklar!$L$7&lt;&gt;"Evet",Topraklar!$K$7&lt;&gt;Bitkiler!$C$61)),0,MAX(0,1-(Ayarlar!$B$2*ABS(Bitkiler!$D$61-Topraklar!$D$7)+Ayarlar!$B$3*ABS(Bitkiler!$E$61-Topraklar!$E$7)+Ayarlar!$B$4*ABS(Bitkiler!$F$61-Topraklar!$F$7)+Ayarlar!$B$5*ABS(Bitkiler!$G$61-Topraklar!$G$7)+Ayarlar!$B$6*IF(Bitkiler!$H$61=Topraklar!$H$7,0,1))/Ayarlar!$B$7)+IF(Topraklar!$K$7=Bitkiler!$C$61,0.002,IF(Topraklar!$L$7="Evet",0.001,0)))</f>
        <v/>
      </c>
      <c r="H62" s="16">
        <f>IF(OR(Topraklar!$J$8="Evet",AND(Topraklar!$L$8&lt;&gt;"Evet",Topraklar!$K$8&lt;&gt;Bitkiler!$C$61)),0,MAX(0,1-(Ayarlar!$B$2*ABS(Bitkiler!$D$61-Topraklar!$D$8)+Ayarlar!$B$3*ABS(Bitkiler!$E$61-Topraklar!$E$8)+Ayarlar!$B$4*ABS(Bitkiler!$F$61-Topraklar!$F$8)+Ayarlar!$B$5*ABS(Bitkiler!$G$61-Topraklar!$G$8)+Ayarlar!$B$6*IF(Bitkiler!$H$61=Topraklar!$H$8,0,1))/Ayarlar!$B$7)+IF(Topraklar!$K$8=Bitkiler!$C$61,0.002,IF(Topraklar!$L$8="Evet",0.001,0)))</f>
        <v/>
      </c>
      <c r="I62" s="16">
        <f>IF(OR(Topraklar!$J$9="Evet",AND(Topraklar!$L$9&lt;&gt;"Evet",Topraklar!$K$9&lt;&gt;Bitkiler!$C$61)),0,MAX(0,1-(Ayarlar!$B$2*ABS(Bitkiler!$D$61-Topraklar!$D$9)+Ayarlar!$B$3*ABS(Bitkiler!$E$61-Topraklar!$E$9)+Ayarlar!$B$4*ABS(Bitkiler!$F$61-Topraklar!$F$9)+Ayarlar!$B$5*ABS(Bitkiler!$G$61-Topraklar!$G$9)+Ayarlar!$B$6*IF(Bitkiler!$H$61=Topraklar!$H$9,0,1))/Ayarlar!$B$7)+IF(Topraklar!$K$9=Bitkiler!$C$61,0.002,IF(Topraklar!$L$9="Evet",0.001,0)))</f>
        <v/>
      </c>
      <c r="J62" s="16">
        <f>IF(OR(Topraklar!$J$10="Evet",AND(Topraklar!$L$10&lt;&gt;"Evet",Topraklar!$K$10&lt;&gt;Bitkiler!$C$61)),0,MAX(0,1-(Ayarlar!$B$2*ABS(Bitkiler!$D$61-Topraklar!$D$10)+Ayarlar!$B$3*ABS(Bitkiler!$E$61-Topraklar!$E$10)+Ayarlar!$B$4*ABS(Bitkiler!$F$61-Topraklar!$F$10)+Ayarlar!$B$5*ABS(Bitkiler!$G$61-Topraklar!$G$10)+Ayarlar!$B$6*IF(Bitkiler!$H$61=Topraklar!$H$10,0,1))/Ayarlar!$B$7)+IF(Topraklar!$K$10=Bitkiler!$C$61,0.002,IF(Topraklar!$L$10="Evet",0.001,0)))</f>
        <v/>
      </c>
      <c r="K62" s="16">
        <f>IF(OR(Topraklar!$J$11="Evet",AND(Topraklar!$L$11&lt;&gt;"Evet",Topraklar!$K$11&lt;&gt;Bitkiler!$C$61)),0,MAX(0,1-(Ayarlar!$B$2*ABS(Bitkiler!$D$61-Topraklar!$D$11)+Ayarlar!$B$3*ABS(Bitkiler!$E$61-Topraklar!$E$11)+Ayarlar!$B$4*ABS(Bitkiler!$F$61-Topraklar!$F$11)+Ayarlar!$B$5*ABS(Bitkiler!$G$61-Topraklar!$G$11)+Ayarlar!$B$6*IF(Bitkiler!$H$61=Topraklar!$H$11,0,1))/Ayarlar!$B$7)+IF(Topraklar!$K$11=Bitkiler!$C$61,0.002,IF(Topraklar!$L$11="Evet",0.001,0)))</f>
        <v/>
      </c>
      <c r="L62" s="16">
        <f>IF(OR(Topraklar!$J$12="Evet",AND(Topraklar!$L$12&lt;&gt;"Evet",Topraklar!$K$12&lt;&gt;Bitkiler!$C$61)),0,MAX(0,1-(Ayarlar!$B$2*ABS(Bitkiler!$D$61-Topraklar!$D$12)+Ayarlar!$B$3*ABS(Bitkiler!$E$61-Topraklar!$E$12)+Ayarlar!$B$4*ABS(Bitkiler!$F$61-Topraklar!$F$12)+Ayarlar!$B$5*ABS(Bitkiler!$G$61-Topraklar!$G$12)+Ayarlar!$B$6*IF(Bitkiler!$H$61=Topraklar!$H$12,0,1))/Ayarlar!$B$7)+IF(Topraklar!$K$12=Bitkiler!$C$61,0.002,IF(Topraklar!$L$12="Evet",0.001,0)))</f>
        <v/>
      </c>
      <c r="M62" s="16">
        <f>IF(OR(Topraklar!$J$13="Evet",AND(Topraklar!$L$13&lt;&gt;"Evet",Topraklar!$K$13&lt;&gt;Bitkiler!$C$61)),0,MAX(0,1-(Ayarlar!$B$2*ABS(Bitkiler!$D$61-Topraklar!$D$13)+Ayarlar!$B$3*ABS(Bitkiler!$E$61-Topraklar!$E$13)+Ayarlar!$B$4*ABS(Bitkiler!$F$61-Topraklar!$F$13)+Ayarlar!$B$5*ABS(Bitkiler!$G$61-Topraklar!$G$13)+Ayarlar!$B$6*IF(Bitkiler!$H$61=Topraklar!$H$13,0,1))/Ayarlar!$B$7)+IF(Topraklar!$K$13=Bitkiler!$C$61,0.002,IF(Topraklar!$L$13="Evet",0.001,0)))</f>
        <v/>
      </c>
      <c r="N62" s="16">
        <f>IF(OR(Topraklar!$J$14="Evet",AND(Topraklar!$L$14&lt;&gt;"Evet",Topraklar!$K$14&lt;&gt;Bitkiler!$C$61)),0,MAX(0,1-(Ayarlar!$B$2*ABS(Bitkiler!$D$61-Topraklar!$D$14)+Ayarlar!$B$3*ABS(Bitkiler!$E$61-Topraklar!$E$14)+Ayarlar!$B$4*ABS(Bitkiler!$F$61-Topraklar!$F$14)+Ayarlar!$B$5*ABS(Bitkiler!$G$61-Topraklar!$G$14)+Ayarlar!$B$6*IF(Bitkiler!$H$61=Topraklar!$H$14,0,1))/Ayarlar!$B$7)+IF(Topraklar!$K$14=Bitkiler!$C$61,0.002,IF(Topraklar!$L$14="Evet",0.001,0)))</f>
        <v/>
      </c>
      <c r="O62" s="16">
        <f>IF(OR(Topraklar!$J$15="Evet",AND(Topraklar!$L$15&lt;&gt;"Evet",Topraklar!$K$15&lt;&gt;Bitkiler!$C$61)),0,MAX(0,1-(Ayarlar!$B$2*ABS(Bitkiler!$D$61-Topraklar!$D$15)+Ayarlar!$B$3*ABS(Bitkiler!$E$61-Topraklar!$E$15)+Ayarlar!$B$4*ABS(Bitkiler!$F$61-Topraklar!$F$15)+Ayarlar!$B$5*ABS(Bitkiler!$G$61-Topraklar!$G$15)+Ayarlar!$B$6*IF(Bitkiler!$H$61=Topraklar!$H$15,0,1))/Ayarlar!$B$7)+IF(Topraklar!$K$15=Bitkiler!$C$61,0.002,IF(Topraklar!$L$15="Evet",0.001,0)))</f>
        <v/>
      </c>
      <c r="P62" s="16">
        <f>IF(OR(Topraklar!$J$16="Evet",AND(Topraklar!$L$16&lt;&gt;"Evet",Topraklar!$K$16&lt;&gt;Bitkiler!$C$61)),0,MAX(0,1-(Ayarlar!$B$2*ABS(Bitkiler!$D$61-Topraklar!$D$16)+Ayarlar!$B$3*ABS(Bitkiler!$E$61-Topraklar!$E$16)+Ayarlar!$B$4*ABS(Bitkiler!$F$61-Topraklar!$F$16)+Ayarlar!$B$5*ABS(Bitkiler!$G$61-Topraklar!$G$16)+Ayarlar!$B$6*IF(Bitkiler!$H$61=Topraklar!$H$16,0,1))/Ayarlar!$B$7)+IF(Topraklar!$K$16=Bitkiler!$C$61,0.002,IF(Topraklar!$L$16="Evet",0.001,0)))</f>
        <v/>
      </c>
      <c r="Q62" s="16">
        <f>IF(OR(Topraklar!$J$17="Evet",AND(Topraklar!$L$17&lt;&gt;"Evet",Topraklar!$K$17&lt;&gt;Bitkiler!$C$61)),0,MAX(0,1-(Ayarlar!$B$2*ABS(Bitkiler!$D$61-Topraklar!$D$17)+Ayarlar!$B$3*ABS(Bitkiler!$E$61-Topraklar!$E$17)+Ayarlar!$B$4*ABS(Bitkiler!$F$61-Topraklar!$F$17)+Ayarlar!$B$5*ABS(Bitkiler!$G$61-Topraklar!$G$17)+Ayarlar!$B$6*IF(Bitkiler!$H$61=Topraklar!$H$17,0,1))/Ayarlar!$B$7)+IF(Topraklar!$K$17=Bitkiler!$C$61,0.002,IF(Topraklar!$L$17="Evet",0.001,0)))</f>
        <v/>
      </c>
      <c r="R62" s="16">
        <f>IF(OR(Topraklar!$J$18="Evet",AND(Topraklar!$L$18&lt;&gt;"Evet",Topraklar!$K$18&lt;&gt;Bitkiler!$C$61)),0,MAX(0,1-(Ayarlar!$B$2*ABS(Bitkiler!$D$61-Topraklar!$D$18)+Ayarlar!$B$3*ABS(Bitkiler!$E$61-Topraklar!$E$18)+Ayarlar!$B$4*ABS(Bitkiler!$F$61-Topraklar!$F$18)+Ayarlar!$B$5*ABS(Bitkiler!$G$61-Topraklar!$G$18)+Ayarlar!$B$6*IF(Bitkiler!$H$61=Topraklar!$H$18,0,1))/Ayarlar!$B$7)+IF(Topraklar!$K$18=Bitkiler!$C$61,0.002,IF(Topraklar!$L$18="Evet",0.001,0)))</f>
        <v/>
      </c>
      <c r="S62" s="16">
        <f>IF(OR(Topraklar!$J$19="Evet",AND(Topraklar!$L$19&lt;&gt;"Evet",Topraklar!$K$19&lt;&gt;Bitkiler!$C$61)),0,MAX(0,1-(Ayarlar!$B$2*ABS(Bitkiler!$D$61-Topraklar!$D$19)+Ayarlar!$B$3*ABS(Bitkiler!$E$61-Topraklar!$E$19)+Ayarlar!$B$4*ABS(Bitkiler!$F$61-Topraklar!$F$19)+Ayarlar!$B$5*ABS(Bitkiler!$G$61-Topraklar!$G$19)+Ayarlar!$B$6*IF(Bitkiler!$H$61=Topraklar!$H$19,0,1))/Ayarlar!$B$7)+IF(Topraklar!$K$19=Bitkiler!$C$61,0.002,IF(Topraklar!$L$19="Evet",0.001,0)))</f>
        <v/>
      </c>
      <c r="T62" s="16">
        <f>IF(OR(Topraklar!$J$20="Evet",AND(Topraklar!$L$20&lt;&gt;"Evet",Topraklar!$K$20&lt;&gt;Bitkiler!$C$61)),0,MAX(0,1-(Ayarlar!$B$2*ABS(Bitkiler!$D$61-Topraklar!$D$20)+Ayarlar!$B$3*ABS(Bitkiler!$E$61-Topraklar!$E$20)+Ayarlar!$B$4*ABS(Bitkiler!$F$61-Topraklar!$F$20)+Ayarlar!$B$5*ABS(Bitkiler!$G$61-Topraklar!$G$20)+Ayarlar!$B$6*IF(Bitkiler!$H$61=Topraklar!$H$20,0,1))/Ayarlar!$B$7)+IF(Topraklar!$K$20=Bitkiler!$C$61,0.002,IF(Topraklar!$L$20="Evet",0.001,0)))</f>
        <v/>
      </c>
      <c r="U62" s="16">
        <f>IF(OR(Topraklar!$J$21="Evet",AND(Topraklar!$L$21&lt;&gt;"Evet",Topraklar!$K$21&lt;&gt;Bitkiler!$C$61)),0,MAX(0,1-(Ayarlar!$B$2*ABS(Bitkiler!$D$61-Topraklar!$D$21)+Ayarlar!$B$3*ABS(Bitkiler!$E$61-Topraklar!$E$21)+Ayarlar!$B$4*ABS(Bitkiler!$F$61-Topraklar!$F$21)+Ayarlar!$B$5*ABS(Bitkiler!$G$61-Topraklar!$G$21)+Ayarlar!$B$6*IF(Bitkiler!$H$61=Topraklar!$H$21,0,1))/Ayarlar!$B$7)+IF(Topraklar!$K$21=Bitkiler!$C$61,0.002,IF(Topraklar!$L$21="Evet",0.001,0)))</f>
        <v/>
      </c>
      <c r="V62" s="16">
        <f>IF(OR(Topraklar!$J$22="Evet",AND(Topraklar!$L$22&lt;&gt;"Evet",Topraklar!$K$22&lt;&gt;Bitkiler!$C$61)),0,MAX(0,1-(Ayarlar!$B$2*ABS(Bitkiler!$D$61-Topraklar!$D$22)+Ayarlar!$B$3*ABS(Bitkiler!$E$61-Topraklar!$E$22)+Ayarlar!$B$4*ABS(Bitkiler!$F$61-Topraklar!$F$22)+Ayarlar!$B$5*ABS(Bitkiler!$G$61-Topraklar!$G$22)+Ayarlar!$B$6*IF(Bitkiler!$H$61=Topraklar!$H$22,0,1))/Ayarlar!$B$7)+IF(Topraklar!$K$22=Bitkiler!$C$61,0.002,IF(Topraklar!$L$22="Evet",0.001,0)))</f>
        <v/>
      </c>
      <c r="W62" s="16">
        <f>IF(OR(Topraklar!$J$23="Evet",AND(Topraklar!$L$23&lt;&gt;"Evet",Topraklar!$K$23&lt;&gt;Bitkiler!$C$61)),0,MAX(0,1-(Ayarlar!$B$2*ABS(Bitkiler!$D$61-Topraklar!$D$23)+Ayarlar!$B$3*ABS(Bitkiler!$E$61-Topraklar!$E$23)+Ayarlar!$B$4*ABS(Bitkiler!$F$61-Topraklar!$F$23)+Ayarlar!$B$5*ABS(Bitkiler!$G$61-Topraklar!$G$23)+Ayarlar!$B$6*IF(Bitkiler!$H$61=Topraklar!$H$23,0,1))/Ayarlar!$B$7)+IF(Topraklar!$K$23=Bitkiler!$C$61,0.002,IF(Topraklar!$L$23="Evet",0.001,0)))</f>
        <v/>
      </c>
      <c r="X62" s="16">
        <f>IF(OR(Topraklar!$J$24="Evet",AND(Topraklar!$L$24&lt;&gt;"Evet",Topraklar!$K$24&lt;&gt;Bitkiler!$C$61)),0,MAX(0,1-(Ayarlar!$B$2*ABS(Bitkiler!$D$61-Topraklar!$D$24)+Ayarlar!$B$3*ABS(Bitkiler!$E$61-Topraklar!$E$24)+Ayarlar!$B$4*ABS(Bitkiler!$F$61-Topraklar!$F$24)+Ayarlar!$B$5*ABS(Bitkiler!$G$61-Topraklar!$G$24)+Ayarlar!$B$6*IF(Bitkiler!$H$61=Topraklar!$H$24,0,1))/Ayarlar!$B$7)+IF(Topraklar!$K$24=Bitkiler!$C$61,0.002,IF(Topraklar!$L$24="Evet",0.001,0)))</f>
        <v/>
      </c>
      <c r="Y62" s="16">
        <f>IF(OR(Topraklar!$J$25="Evet",AND(Topraklar!$L$25&lt;&gt;"Evet",Topraklar!$K$25&lt;&gt;Bitkiler!$C$61)),0,MAX(0,1-(Ayarlar!$B$2*ABS(Bitkiler!$D$61-Topraklar!$D$25)+Ayarlar!$B$3*ABS(Bitkiler!$E$61-Topraklar!$E$25)+Ayarlar!$B$4*ABS(Bitkiler!$F$61-Topraklar!$F$25)+Ayarlar!$B$5*ABS(Bitkiler!$G$61-Topraklar!$G$25)+Ayarlar!$B$6*IF(Bitkiler!$H$61=Topraklar!$H$25,0,1))/Ayarlar!$B$7)+IF(Topraklar!$K$25=Bitkiler!$C$61,0.002,IF(Topraklar!$L$25="Evet",0.001,0)))</f>
        <v/>
      </c>
      <c r="Z62" s="16">
        <f>IF(OR(Topraklar!$J$26="Evet",AND(Topraklar!$L$26&lt;&gt;"Evet",Topraklar!$K$26&lt;&gt;Bitkiler!$C$61)),0,MAX(0,1-(Ayarlar!$B$2*ABS(Bitkiler!$D$61-Topraklar!$D$26)+Ayarlar!$B$3*ABS(Bitkiler!$E$61-Topraklar!$E$26)+Ayarlar!$B$4*ABS(Bitkiler!$F$61-Topraklar!$F$26)+Ayarlar!$B$5*ABS(Bitkiler!$G$61-Topraklar!$G$26)+Ayarlar!$B$6*IF(Bitkiler!$H$61=Topraklar!$H$26,0,1))/Ayarlar!$B$7)+IF(Topraklar!$K$26=Bitkiler!$C$61,0.002,IF(Topraklar!$L$26="Evet",0.001,0)))</f>
        <v/>
      </c>
      <c r="AA62" s="16">
        <f>IF(OR(Topraklar!$J$27="Evet",AND(Topraklar!$L$27&lt;&gt;"Evet",Topraklar!$K$27&lt;&gt;Bitkiler!$C$61)),0,MAX(0,1-(Ayarlar!$B$2*ABS(Bitkiler!$D$61-Topraklar!$D$27)+Ayarlar!$B$3*ABS(Bitkiler!$E$61-Topraklar!$E$27)+Ayarlar!$B$4*ABS(Bitkiler!$F$61-Topraklar!$F$27)+Ayarlar!$B$5*ABS(Bitkiler!$G$61-Topraklar!$G$27)+Ayarlar!$B$6*IF(Bitkiler!$H$61=Topraklar!$H$27,0,1))/Ayarlar!$B$7)+IF(Topraklar!$K$27=Bitkiler!$C$61,0.002,IF(Topraklar!$L$27="Evet",0.001,0)))</f>
        <v/>
      </c>
      <c r="AB62" s="16">
        <f>IF(OR(Topraklar!$J$28="Evet",AND(Topraklar!$L$28&lt;&gt;"Evet",Topraklar!$K$28&lt;&gt;Bitkiler!$C$61)),0,MAX(0,1-(Ayarlar!$B$2*ABS(Bitkiler!$D$61-Topraklar!$D$28)+Ayarlar!$B$3*ABS(Bitkiler!$E$61-Topraklar!$E$28)+Ayarlar!$B$4*ABS(Bitkiler!$F$61-Topraklar!$F$28)+Ayarlar!$B$5*ABS(Bitkiler!$G$61-Topraklar!$G$28)+Ayarlar!$B$6*IF(Bitkiler!$H$61=Topraklar!$H$28,0,1))/Ayarlar!$B$7)+IF(Topraklar!$K$28=Bitkiler!$C$61,0.002,IF(Topraklar!$L$28="Evet",0.001,0)))</f>
        <v/>
      </c>
      <c r="AC62" s="16">
        <f>IF(OR(Topraklar!$J$29="Evet",AND(Topraklar!$L$29&lt;&gt;"Evet",Topraklar!$K$29&lt;&gt;Bitkiler!$C$61)),0,MAX(0,1-(Ayarlar!$B$2*ABS(Bitkiler!$D$61-Topraklar!$D$29)+Ayarlar!$B$3*ABS(Bitkiler!$E$61-Topraklar!$E$29)+Ayarlar!$B$4*ABS(Bitkiler!$F$61-Topraklar!$F$29)+Ayarlar!$B$5*ABS(Bitkiler!$G$61-Topraklar!$G$29)+Ayarlar!$B$6*IF(Bitkiler!$H$61=Topraklar!$H$29,0,1))/Ayarlar!$B$7)+IF(Topraklar!$K$29=Bitkiler!$C$61,0.002,IF(Topraklar!$L$29="Evet",0.001,0)))</f>
        <v/>
      </c>
      <c r="AD62" s="16">
        <f>IF(OR(Topraklar!$J$30="Evet",AND(Topraklar!$L$30&lt;&gt;"Evet",Topraklar!$K$30&lt;&gt;Bitkiler!$C$61)),0,MAX(0,1-(Ayarlar!$B$2*ABS(Bitkiler!$D$61-Topraklar!$D$30)+Ayarlar!$B$3*ABS(Bitkiler!$E$61-Topraklar!$E$30)+Ayarlar!$B$4*ABS(Bitkiler!$F$61-Topraklar!$F$30)+Ayarlar!$B$5*ABS(Bitkiler!$G$61-Topraklar!$G$30)+Ayarlar!$B$6*IF(Bitkiler!$H$61=Topraklar!$H$30,0,1))/Ayarlar!$B$7)+IF(Topraklar!$K$30=Bitkiler!$C$61,0.002,IF(Topraklar!$L$30="Evet",0.001,0)))</f>
        <v/>
      </c>
      <c r="AE62" s="16">
        <f>IF(OR(Topraklar!$J$31="Evet",AND(Topraklar!$L$31&lt;&gt;"Evet",Topraklar!$K$31&lt;&gt;Bitkiler!$C$61)),0,MAX(0,1-(Ayarlar!$B$2*ABS(Bitkiler!$D$61-Topraklar!$D$31)+Ayarlar!$B$3*ABS(Bitkiler!$E$61-Topraklar!$E$31)+Ayarlar!$B$4*ABS(Bitkiler!$F$61-Topraklar!$F$31)+Ayarlar!$B$5*ABS(Bitkiler!$G$61-Topraklar!$G$31)+Ayarlar!$B$6*IF(Bitkiler!$H$61=Topraklar!$H$31,0,1))/Ayarlar!$B$7)+IF(Topraklar!$K$31=Bitkiler!$C$61,0.002,IF(Topraklar!$L$31="Evet",0.001,0)))</f>
        <v/>
      </c>
      <c r="AF62" s="16">
        <f>IF(OR(Topraklar!$J$32="Evet",AND(Topraklar!$L$32&lt;&gt;"Evet",Topraklar!$K$32&lt;&gt;Bitkiler!$C$61)),0,MAX(0,1-(Ayarlar!$B$2*ABS(Bitkiler!$D$61-Topraklar!$D$32)+Ayarlar!$B$3*ABS(Bitkiler!$E$61-Topraklar!$E$32)+Ayarlar!$B$4*ABS(Bitkiler!$F$61-Topraklar!$F$32)+Ayarlar!$B$5*ABS(Bitkiler!$G$61-Topraklar!$G$32)+Ayarlar!$B$6*IF(Bitkiler!$H$61=Topraklar!$H$32,0,1))/Ayarlar!$B$7)+IF(Topraklar!$K$32=Bitkiler!$C$61,0.002,IF(Topraklar!$L$32="Evet",0.001,0)))</f>
        <v/>
      </c>
      <c r="AG62" s="16">
        <f>IF(OR(Topraklar!$J$33="Evet",AND(Topraklar!$L$33&lt;&gt;"Evet",Topraklar!$K$33&lt;&gt;Bitkiler!$C$61)),0,MAX(0,1-(Ayarlar!$B$2*ABS(Bitkiler!$D$61-Topraklar!$D$33)+Ayarlar!$B$3*ABS(Bitkiler!$E$61-Topraklar!$E$33)+Ayarlar!$B$4*ABS(Bitkiler!$F$61-Topraklar!$F$33)+Ayarlar!$B$5*ABS(Bitkiler!$G$61-Topraklar!$G$33)+Ayarlar!$B$6*IF(Bitkiler!$H$61=Topraklar!$H$33,0,1))/Ayarlar!$B$7)+IF(Topraklar!$K$33=Bitkiler!$C$61,0.002,IF(Topraklar!$L$33="Evet",0.001,0)))</f>
        <v/>
      </c>
      <c r="AH62" s="16">
        <f>IF(OR(Topraklar!$J$34="Evet",AND(Topraklar!$L$34&lt;&gt;"Evet",Topraklar!$K$34&lt;&gt;Bitkiler!$C$61)),0,MAX(0,1-(Ayarlar!$B$2*ABS(Bitkiler!$D$61-Topraklar!$D$34)+Ayarlar!$B$3*ABS(Bitkiler!$E$61-Topraklar!$E$34)+Ayarlar!$B$4*ABS(Bitkiler!$F$61-Topraklar!$F$34)+Ayarlar!$B$5*ABS(Bitkiler!$G$61-Topraklar!$G$34)+Ayarlar!$B$6*IF(Bitkiler!$H$61=Topraklar!$H$34,0,1))/Ayarlar!$B$7)+IF(Topraklar!$K$34=Bitkiler!$C$61,0.002,IF(Topraklar!$L$34="Evet",0.001,0)))</f>
        <v/>
      </c>
      <c r="AI62" s="16">
        <f>IF(OR(Topraklar!$J$35="Evet",AND(Topraklar!$L$35&lt;&gt;"Evet",Topraklar!$K$35&lt;&gt;Bitkiler!$C$61)),0,MAX(0,1-(Ayarlar!$B$2*ABS(Bitkiler!$D$61-Topraklar!$D$35)+Ayarlar!$B$3*ABS(Bitkiler!$E$61-Topraklar!$E$35)+Ayarlar!$B$4*ABS(Bitkiler!$F$61-Topraklar!$F$35)+Ayarlar!$B$5*ABS(Bitkiler!$G$61-Topraklar!$G$35)+Ayarlar!$B$6*IF(Bitkiler!$H$61=Topraklar!$H$35,0,1))/Ayarlar!$B$7)+IF(Topraklar!$K$35=Bitkiler!$C$61,0.002,IF(Topraklar!$L$35="Evet",0.001,0)))</f>
        <v/>
      </c>
      <c r="AJ62" s="16">
        <f>IF(OR(Topraklar!$J$36="Evet",AND(Topraklar!$L$36&lt;&gt;"Evet",Topraklar!$K$36&lt;&gt;Bitkiler!$C$61)),0,MAX(0,1-(Ayarlar!$B$2*ABS(Bitkiler!$D$61-Topraklar!$D$36)+Ayarlar!$B$3*ABS(Bitkiler!$E$61-Topraklar!$E$36)+Ayarlar!$B$4*ABS(Bitkiler!$F$61-Topraklar!$F$36)+Ayarlar!$B$5*ABS(Bitkiler!$G$61-Topraklar!$G$36)+Ayarlar!$B$6*IF(Bitkiler!$H$61=Topraklar!$H$36,0,1))/Ayarlar!$B$7)+IF(Topraklar!$K$36=Bitkiler!$C$61,0.002,IF(Topraklar!$L$36="Evet",0.001,0)))</f>
        <v/>
      </c>
      <c r="AK62" s="16">
        <f>IF(OR(Topraklar!$J$37="Evet",AND(Topraklar!$L$37&lt;&gt;"Evet",Topraklar!$K$37&lt;&gt;Bitkiler!$C$61)),0,MAX(0,1-(Ayarlar!$B$2*ABS(Bitkiler!$D$61-Topraklar!$D$37)+Ayarlar!$B$3*ABS(Bitkiler!$E$61-Topraklar!$E$37)+Ayarlar!$B$4*ABS(Bitkiler!$F$61-Topraklar!$F$37)+Ayarlar!$B$5*ABS(Bitkiler!$G$61-Topraklar!$G$37)+Ayarlar!$B$6*IF(Bitkiler!$H$61=Topraklar!$H$37,0,1))/Ayarlar!$B$7)+IF(Topraklar!$K$37=Bitkiler!$C$61,0.002,IF(Topraklar!$L$37="Evet",0.001,0)))</f>
        <v/>
      </c>
      <c r="AL62" s="16">
        <f>IF(OR(Topraklar!$J$38="Evet",AND(Topraklar!$L$38&lt;&gt;"Evet",Topraklar!$K$38&lt;&gt;Bitkiler!$C$61)),0,MAX(0,1-(Ayarlar!$B$2*ABS(Bitkiler!$D$61-Topraklar!$D$38)+Ayarlar!$B$3*ABS(Bitkiler!$E$61-Topraklar!$E$38)+Ayarlar!$B$4*ABS(Bitkiler!$F$61-Topraklar!$F$38)+Ayarlar!$B$5*ABS(Bitkiler!$G$61-Topraklar!$G$38)+Ayarlar!$B$6*IF(Bitkiler!$H$61=Topraklar!$H$38,0,1))/Ayarlar!$B$7)+IF(Topraklar!$K$38=Bitkiler!$C$61,0.002,IF(Topraklar!$L$38="Evet",0.001,0)))</f>
        <v/>
      </c>
      <c r="AM62" s="16">
        <f>IF(OR(Topraklar!$J$39="Evet",AND(Topraklar!$L$39&lt;&gt;"Evet",Topraklar!$K$39&lt;&gt;Bitkiler!$C$61)),0,MAX(0,1-(Ayarlar!$B$2*ABS(Bitkiler!$D$61-Topraklar!$D$39)+Ayarlar!$B$3*ABS(Bitkiler!$E$61-Topraklar!$E$39)+Ayarlar!$B$4*ABS(Bitkiler!$F$61-Topraklar!$F$39)+Ayarlar!$B$5*ABS(Bitkiler!$G$61-Topraklar!$G$39)+Ayarlar!$B$6*IF(Bitkiler!$H$61=Topraklar!$H$39,0,1))/Ayarlar!$B$7)+IF(Topraklar!$K$39=Bitkiler!$C$61,0.002,IF(Topraklar!$L$39="Evet",0.001,0)))</f>
        <v/>
      </c>
      <c r="AN62" s="16">
        <f>IF(OR(Topraklar!$J$40="Evet",AND(Topraklar!$L$40&lt;&gt;"Evet",Topraklar!$K$40&lt;&gt;Bitkiler!$C$61)),0,MAX(0,1-(Ayarlar!$B$2*ABS(Bitkiler!$D$61-Topraklar!$D$40)+Ayarlar!$B$3*ABS(Bitkiler!$E$61-Topraklar!$E$40)+Ayarlar!$B$4*ABS(Bitkiler!$F$61-Topraklar!$F$40)+Ayarlar!$B$5*ABS(Bitkiler!$G$61-Topraklar!$G$40)+Ayarlar!$B$6*IF(Bitkiler!$H$61=Topraklar!$H$40,0,1))/Ayarlar!$B$7)+IF(Topraklar!$K$40=Bitkiler!$C$61,0.002,IF(Topraklar!$L$40="Evet",0.001,0)))</f>
        <v/>
      </c>
      <c r="AO62" s="16">
        <f>IF(OR(Topraklar!$J$41="Evet",AND(Topraklar!$L$41&lt;&gt;"Evet",Topraklar!$K$41&lt;&gt;Bitkiler!$C$61)),0,MAX(0,1-(Ayarlar!$B$2*ABS(Bitkiler!$D$61-Topraklar!$D$41)+Ayarlar!$B$3*ABS(Bitkiler!$E$61-Topraklar!$E$41)+Ayarlar!$B$4*ABS(Bitkiler!$F$61-Topraklar!$F$41)+Ayarlar!$B$5*ABS(Bitkiler!$G$61-Topraklar!$G$41)+Ayarlar!$B$6*IF(Bitkiler!$H$61=Topraklar!$H$41,0,1))/Ayarlar!$B$7)+IF(Topraklar!$K$41=Bitkiler!$C$61,0.002,IF(Topraklar!$L$41="Evet",0.001,0)))</f>
        <v/>
      </c>
      <c r="AP62" s="16">
        <f>IF(OR(Topraklar!$J$42="Evet",AND(Topraklar!$L$42&lt;&gt;"Evet",Topraklar!$K$42&lt;&gt;Bitkiler!$C$61)),0,MAX(0,1-(Ayarlar!$B$2*ABS(Bitkiler!$D$61-Topraklar!$D$42)+Ayarlar!$B$3*ABS(Bitkiler!$E$61-Topraklar!$E$42)+Ayarlar!$B$4*ABS(Bitkiler!$F$61-Topraklar!$F$42)+Ayarlar!$B$5*ABS(Bitkiler!$G$61-Topraklar!$G$42)+Ayarlar!$B$6*IF(Bitkiler!$H$61=Topraklar!$H$42,0,1))/Ayarlar!$B$7)+IF(Topraklar!$K$42=Bitkiler!$C$61,0.002,IF(Topraklar!$L$42="Evet",0.001,0)))</f>
        <v/>
      </c>
      <c r="AQ62" s="16">
        <f>IF(OR(Topraklar!$J$43="Evet",AND(Topraklar!$L$43&lt;&gt;"Evet",Topraklar!$K$43&lt;&gt;Bitkiler!$C$61)),0,MAX(0,1-(Ayarlar!$B$2*ABS(Bitkiler!$D$61-Topraklar!$D$43)+Ayarlar!$B$3*ABS(Bitkiler!$E$61-Topraklar!$E$43)+Ayarlar!$B$4*ABS(Bitkiler!$F$61-Topraklar!$F$43)+Ayarlar!$B$5*ABS(Bitkiler!$G$61-Topraklar!$G$43)+Ayarlar!$B$6*IF(Bitkiler!$H$61=Topraklar!$H$43,0,1))/Ayarlar!$B$7)+IF(Topraklar!$K$43=Bitkiler!$C$61,0.002,IF(Topraklar!$L$43="Evet",0.001,0)))</f>
        <v/>
      </c>
      <c r="AR62" s="16">
        <f>IF(OR(Topraklar!$J$44="Evet",AND(Topraklar!$L$44&lt;&gt;"Evet",Topraklar!$K$44&lt;&gt;Bitkiler!$C$61)),0,MAX(0,1-(Ayarlar!$B$2*ABS(Bitkiler!$D$61-Topraklar!$D$44)+Ayarlar!$B$3*ABS(Bitkiler!$E$61-Topraklar!$E$44)+Ayarlar!$B$4*ABS(Bitkiler!$F$61-Topraklar!$F$44)+Ayarlar!$B$5*ABS(Bitkiler!$G$61-Topraklar!$G$44)+Ayarlar!$B$6*IF(Bitkiler!$H$61=Topraklar!$H$44,0,1))/Ayarlar!$B$7)+IF(Topraklar!$K$44=Bitkiler!$C$61,0.002,IF(Topraklar!$L$44="Evet",0.001,0)))</f>
        <v/>
      </c>
      <c r="AS62" s="16">
        <f>IF(OR(Topraklar!$J$45="Evet",AND(Topraklar!$L$45&lt;&gt;"Evet",Topraklar!$K$45&lt;&gt;Bitkiler!$C$61)),0,MAX(0,1-(Ayarlar!$B$2*ABS(Bitkiler!$D$61-Topraklar!$D$45)+Ayarlar!$B$3*ABS(Bitkiler!$E$61-Topraklar!$E$45)+Ayarlar!$B$4*ABS(Bitkiler!$F$61-Topraklar!$F$45)+Ayarlar!$B$5*ABS(Bitkiler!$G$61-Topraklar!$G$45)+Ayarlar!$B$6*IF(Bitkiler!$H$61=Topraklar!$H$45,0,1))/Ayarlar!$B$7)+IF(Topraklar!$K$45=Bitkiler!$C$61,0.002,IF(Topraklar!$L$45="Evet",0.001,0)))</f>
        <v/>
      </c>
      <c r="AT62" s="16">
        <f>IF(OR(Topraklar!$J$46="Evet",AND(Topraklar!$L$46&lt;&gt;"Evet",Topraklar!$K$46&lt;&gt;Bitkiler!$C$61)),0,MAX(0,1-(Ayarlar!$B$2*ABS(Bitkiler!$D$61-Topraklar!$D$46)+Ayarlar!$B$3*ABS(Bitkiler!$E$61-Topraklar!$E$46)+Ayarlar!$B$4*ABS(Bitkiler!$F$61-Topraklar!$F$46)+Ayarlar!$B$5*ABS(Bitkiler!$G$61-Topraklar!$G$46)+Ayarlar!$B$6*IF(Bitkiler!$H$61=Topraklar!$H$46,0,1))/Ayarlar!$B$7)+IF(Topraklar!$K$46=Bitkiler!$C$61,0.002,IF(Topraklar!$L$46="Evet",0.001,0)))</f>
        <v/>
      </c>
      <c r="AU62" s="16">
        <f>IF(OR(Topraklar!$J$47="Evet",AND(Topraklar!$L$47&lt;&gt;"Evet",Topraklar!$K$47&lt;&gt;Bitkiler!$C$61)),0,MAX(0,1-(Ayarlar!$B$2*ABS(Bitkiler!$D$61-Topraklar!$D$47)+Ayarlar!$B$3*ABS(Bitkiler!$E$61-Topraklar!$E$47)+Ayarlar!$B$4*ABS(Bitkiler!$F$61-Topraklar!$F$47)+Ayarlar!$B$5*ABS(Bitkiler!$G$61-Topraklar!$G$47)+Ayarlar!$B$6*IF(Bitkiler!$H$61=Topraklar!$H$47,0,1))/Ayarlar!$B$7)+IF(Topraklar!$K$47=Bitkiler!$C$61,0.002,IF(Topraklar!$L$47="Evet",0.001,0)))</f>
        <v/>
      </c>
      <c r="AV62" s="16">
        <f>IF(OR(Topraklar!$J$48="Evet",AND(Topraklar!$L$48&lt;&gt;"Evet",Topraklar!$K$48&lt;&gt;Bitkiler!$C$61)),0,MAX(0,1-(Ayarlar!$B$2*ABS(Bitkiler!$D$61-Topraklar!$D$48)+Ayarlar!$B$3*ABS(Bitkiler!$E$61-Topraklar!$E$48)+Ayarlar!$B$4*ABS(Bitkiler!$F$61-Topraklar!$F$48)+Ayarlar!$B$5*ABS(Bitkiler!$G$61-Topraklar!$G$48)+Ayarlar!$B$6*IF(Bitkiler!$H$61=Topraklar!$H$48,0,1))/Ayarlar!$B$7)+IF(Topraklar!$K$48=Bitkiler!$C$61,0.002,IF(Topraklar!$L$48="Evet",0.001,0)))</f>
        <v/>
      </c>
      <c r="AW62" s="16">
        <f>IF(OR(Topraklar!$J$49="Evet",AND(Topraklar!$L$49&lt;&gt;"Evet",Topraklar!$K$49&lt;&gt;Bitkiler!$C$61)),0,MAX(0,1-(Ayarlar!$B$2*ABS(Bitkiler!$D$61-Topraklar!$D$49)+Ayarlar!$B$3*ABS(Bitkiler!$E$61-Topraklar!$E$49)+Ayarlar!$B$4*ABS(Bitkiler!$F$61-Topraklar!$F$49)+Ayarlar!$B$5*ABS(Bitkiler!$G$61-Topraklar!$G$49)+Ayarlar!$B$6*IF(Bitkiler!$H$61=Topraklar!$H$49,0,1))/Ayarlar!$B$7)+IF(Topraklar!$K$49=Bitkiler!$C$61,0.002,IF(Topraklar!$L$49="Evet",0.001,0)))</f>
        <v/>
      </c>
      <c r="AX62" s="16">
        <f>IF(OR(Topraklar!$J$50="Evet",AND(Topraklar!$L$50&lt;&gt;"Evet",Topraklar!$K$50&lt;&gt;Bitkiler!$C$61)),0,MAX(0,1-(Ayarlar!$B$2*ABS(Bitkiler!$D$61-Topraklar!$D$50)+Ayarlar!$B$3*ABS(Bitkiler!$E$61-Topraklar!$E$50)+Ayarlar!$B$4*ABS(Bitkiler!$F$61-Topraklar!$F$50)+Ayarlar!$B$5*ABS(Bitkiler!$G$61-Topraklar!$G$50)+Ayarlar!$B$6*IF(Bitkiler!$H$61=Topraklar!$H$50,0,1))/Ayarlar!$B$7)+IF(Topraklar!$K$50=Bitkiler!$C$61,0.002,IF(Topraklar!$L$50="Evet",0.001,0)))</f>
        <v/>
      </c>
      <c r="AY62" s="16">
        <f>IF(OR(Topraklar!$J$51="Evet",AND(Topraklar!$L$51&lt;&gt;"Evet",Topraklar!$K$51&lt;&gt;Bitkiler!$C$61)),0,MAX(0,1-(Ayarlar!$B$2*ABS(Bitkiler!$D$61-Topraklar!$D$51)+Ayarlar!$B$3*ABS(Bitkiler!$E$61-Topraklar!$E$51)+Ayarlar!$B$4*ABS(Bitkiler!$F$61-Topraklar!$F$51)+Ayarlar!$B$5*ABS(Bitkiler!$G$61-Topraklar!$G$51)+Ayarlar!$B$6*IF(Bitkiler!$H$61=Topraklar!$H$51,0,1))/Ayarlar!$B$7)+IF(Topraklar!$K$51=Bitkiler!$C$61,0.002,IF(Topraklar!$L$51="Evet",0.001,0)))</f>
        <v/>
      </c>
    </row>
    <row r="63">
      <c r="A63" s="15">
        <f>Bitkiler!A62</f>
        <v/>
      </c>
      <c r="B63" s="16">
        <f>IF(OR(Topraklar!$J$2="Evet",AND(Topraklar!$L$2&lt;&gt;"Evet",Topraklar!$K$2&lt;&gt;Bitkiler!$C$62)),0,MAX(0,1-(Ayarlar!$B$2*ABS(Bitkiler!$D$62-Topraklar!$D$2)+Ayarlar!$B$3*ABS(Bitkiler!$E$62-Topraklar!$E$2)+Ayarlar!$B$4*ABS(Bitkiler!$F$62-Topraklar!$F$2)+Ayarlar!$B$5*ABS(Bitkiler!$G$62-Topraklar!$G$2)+Ayarlar!$B$6*IF(Bitkiler!$H$62=Topraklar!$H$2,0,1))/Ayarlar!$B$7)+IF(Topraklar!$K$2=Bitkiler!$C$62,0.002,IF(Topraklar!$L$2="Evet",0.001,0)))</f>
        <v/>
      </c>
      <c r="C63" s="16">
        <f>IF(OR(Topraklar!$J$3="Evet",AND(Topraklar!$L$3&lt;&gt;"Evet",Topraklar!$K$3&lt;&gt;Bitkiler!$C$62)),0,MAX(0,1-(Ayarlar!$B$2*ABS(Bitkiler!$D$62-Topraklar!$D$3)+Ayarlar!$B$3*ABS(Bitkiler!$E$62-Topraklar!$E$3)+Ayarlar!$B$4*ABS(Bitkiler!$F$62-Topraklar!$F$3)+Ayarlar!$B$5*ABS(Bitkiler!$G$62-Topraklar!$G$3)+Ayarlar!$B$6*IF(Bitkiler!$H$62=Topraklar!$H$3,0,1))/Ayarlar!$B$7)+IF(Topraklar!$K$3=Bitkiler!$C$62,0.002,IF(Topraklar!$L$3="Evet",0.001,0)))</f>
        <v/>
      </c>
      <c r="D63" s="16">
        <f>IF(OR(Topraklar!$J$4="Evet",AND(Topraklar!$L$4&lt;&gt;"Evet",Topraklar!$K$4&lt;&gt;Bitkiler!$C$62)),0,MAX(0,1-(Ayarlar!$B$2*ABS(Bitkiler!$D$62-Topraklar!$D$4)+Ayarlar!$B$3*ABS(Bitkiler!$E$62-Topraklar!$E$4)+Ayarlar!$B$4*ABS(Bitkiler!$F$62-Topraklar!$F$4)+Ayarlar!$B$5*ABS(Bitkiler!$G$62-Topraklar!$G$4)+Ayarlar!$B$6*IF(Bitkiler!$H$62=Topraklar!$H$4,0,1))/Ayarlar!$B$7)+IF(Topraklar!$K$4=Bitkiler!$C$62,0.002,IF(Topraklar!$L$4="Evet",0.001,0)))</f>
        <v/>
      </c>
      <c r="E63" s="16">
        <f>IF(OR(Topraklar!$J$5="Evet",AND(Topraklar!$L$5&lt;&gt;"Evet",Topraklar!$K$5&lt;&gt;Bitkiler!$C$62)),0,MAX(0,1-(Ayarlar!$B$2*ABS(Bitkiler!$D$62-Topraklar!$D$5)+Ayarlar!$B$3*ABS(Bitkiler!$E$62-Topraklar!$E$5)+Ayarlar!$B$4*ABS(Bitkiler!$F$62-Topraklar!$F$5)+Ayarlar!$B$5*ABS(Bitkiler!$G$62-Topraklar!$G$5)+Ayarlar!$B$6*IF(Bitkiler!$H$62=Topraklar!$H$5,0,1))/Ayarlar!$B$7)+IF(Topraklar!$K$5=Bitkiler!$C$62,0.002,IF(Topraklar!$L$5="Evet",0.001,0)))</f>
        <v/>
      </c>
      <c r="F63" s="16">
        <f>IF(OR(Topraklar!$J$6="Evet",AND(Topraklar!$L$6&lt;&gt;"Evet",Topraklar!$K$6&lt;&gt;Bitkiler!$C$62)),0,MAX(0,1-(Ayarlar!$B$2*ABS(Bitkiler!$D$62-Topraklar!$D$6)+Ayarlar!$B$3*ABS(Bitkiler!$E$62-Topraklar!$E$6)+Ayarlar!$B$4*ABS(Bitkiler!$F$62-Topraklar!$F$6)+Ayarlar!$B$5*ABS(Bitkiler!$G$62-Topraklar!$G$6)+Ayarlar!$B$6*IF(Bitkiler!$H$62=Topraklar!$H$6,0,1))/Ayarlar!$B$7)+IF(Topraklar!$K$6=Bitkiler!$C$62,0.002,IF(Topraklar!$L$6="Evet",0.001,0)))</f>
        <v/>
      </c>
      <c r="G63" s="16">
        <f>IF(OR(Topraklar!$J$7="Evet",AND(Topraklar!$L$7&lt;&gt;"Evet",Topraklar!$K$7&lt;&gt;Bitkiler!$C$62)),0,MAX(0,1-(Ayarlar!$B$2*ABS(Bitkiler!$D$62-Topraklar!$D$7)+Ayarlar!$B$3*ABS(Bitkiler!$E$62-Topraklar!$E$7)+Ayarlar!$B$4*ABS(Bitkiler!$F$62-Topraklar!$F$7)+Ayarlar!$B$5*ABS(Bitkiler!$G$62-Topraklar!$G$7)+Ayarlar!$B$6*IF(Bitkiler!$H$62=Topraklar!$H$7,0,1))/Ayarlar!$B$7)+IF(Topraklar!$K$7=Bitkiler!$C$62,0.002,IF(Topraklar!$L$7="Evet",0.001,0)))</f>
        <v/>
      </c>
      <c r="H63" s="16">
        <f>IF(OR(Topraklar!$J$8="Evet",AND(Topraklar!$L$8&lt;&gt;"Evet",Topraklar!$K$8&lt;&gt;Bitkiler!$C$62)),0,MAX(0,1-(Ayarlar!$B$2*ABS(Bitkiler!$D$62-Topraklar!$D$8)+Ayarlar!$B$3*ABS(Bitkiler!$E$62-Topraklar!$E$8)+Ayarlar!$B$4*ABS(Bitkiler!$F$62-Topraklar!$F$8)+Ayarlar!$B$5*ABS(Bitkiler!$G$62-Topraklar!$G$8)+Ayarlar!$B$6*IF(Bitkiler!$H$62=Topraklar!$H$8,0,1))/Ayarlar!$B$7)+IF(Topraklar!$K$8=Bitkiler!$C$62,0.002,IF(Topraklar!$L$8="Evet",0.001,0)))</f>
        <v/>
      </c>
      <c r="I63" s="16">
        <f>IF(OR(Topraklar!$J$9="Evet",AND(Topraklar!$L$9&lt;&gt;"Evet",Topraklar!$K$9&lt;&gt;Bitkiler!$C$62)),0,MAX(0,1-(Ayarlar!$B$2*ABS(Bitkiler!$D$62-Topraklar!$D$9)+Ayarlar!$B$3*ABS(Bitkiler!$E$62-Topraklar!$E$9)+Ayarlar!$B$4*ABS(Bitkiler!$F$62-Topraklar!$F$9)+Ayarlar!$B$5*ABS(Bitkiler!$G$62-Topraklar!$G$9)+Ayarlar!$B$6*IF(Bitkiler!$H$62=Topraklar!$H$9,0,1))/Ayarlar!$B$7)+IF(Topraklar!$K$9=Bitkiler!$C$62,0.002,IF(Topraklar!$L$9="Evet",0.001,0)))</f>
        <v/>
      </c>
      <c r="J63" s="16">
        <f>IF(OR(Topraklar!$J$10="Evet",AND(Topraklar!$L$10&lt;&gt;"Evet",Topraklar!$K$10&lt;&gt;Bitkiler!$C$62)),0,MAX(0,1-(Ayarlar!$B$2*ABS(Bitkiler!$D$62-Topraklar!$D$10)+Ayarlar!$B$3*ABS(Bitkiler!$E$62-Topraklar!$E$10)+Ayarlar!$B$4*ABS(Bitkiler!$F$62-Topraklar!$F$10)+Ayarlar!$B$5*ABS(Bitkiler!$G$62-Topraklar!$G$10)+Ayarlar!$B$6*IF(Bitkiler!$H$62=Topraklar!$H$10,0,1))/Ayarlar!$B$7)+IF(Topraklar!$K$10=Bitkiler!$C$62,0.002,IF(Topraklar!$L$10="Evet",0.001,0)))</f>
        <v/>
      </c>
      <c r="K63" s="16">
        <f>IF(OR(Topraklar!$J$11="Evet",AND(Topraklar!$L$11&lt;&gt;"Evet",Topraklar!$K$11&lt;&gt;Bitkiler!$C$62)),0,MAX(0,1-(Ayarlar!$B$2*ABS(Bitkiler!$D$62-Topraklar!$D$11)+Ayarlar!$B$3*ABS(Bitkiler!$E$62-Topraklar!$E$11)+Ayarlar!$B$4*ABS(Bitkiler!$F$62-Topraklar!$F$11)+Ayarlar!$B$5*ABS(Bitkiler!$G$62-Topraklar!$G$11)+Ayarlar!$B$6*IF(Bitkiler!$H$62=Topraklar!$H$11,0,1))/Ayarlar!$B$7)+IF(Topraklar!$K$11=Bitkiler!$C$62,0.002,IF(Topraklar!$L$11="Evet",0.001,0)))</f>
        <v/>
      </c>
      <c r="L63" s="16">
        <f>IF(OR(Topraklar!$J$12="Evet",AND(Topraklar!$L$12&lt;&gt;"Evet",Topraklar!$K$12&lt;&gt;Bitkiler!$C$62)),0,MAX(0,1-(Ayarlar!$B$2*ABS(Bitkiler!$D$62-Topraklar!$D$12)+Ayarlar!$B$3*ABS(Bitkiler!$E$62-Topraklar!$E$12)+Ayarlar!$B$4*ABS(Bitkiler!$F$62-Topraklar!$F$12)+Ayarlar!$B$5*ABS(Bitkiler!$G$62-Topraklar!$G$12)+Ayarlar!$B$6*IF(Bitkiler!$H$62=Topraklar!$H$12,0,1))/Ayarlar!$B$7)+IF(Topraklar!$K$12=Bitkiler!$C$62,0.002,IF(Topraklar!$L$12="Evet",0.001,0)))</f>
        <v/>
      </c>
      <c r="M63" s="16">
        <f>IF(OR(Topraklar!$J$13="Evet",AND(Topraklar!$L$13&lt;&gt;"Evet",Topraklar!$K$13&lt;&gt;Bitkiler!$C$62)),0,MAX(0,1-(Ayarlar!$B$2*ABS(Bitkiler!$D$62-Topraklar!$D$13)+Ayarlar!$B$3*ABS(Bitkiler!$E$62-Topraklar!$E$13)+Ayarlar!$B$4*ABS(Bitkiler!$F$62-Topraklar!$F$13)+Ayarlar!$B$5*ABS(Bitkiler!$G$62-Topraklar!$G$13)+Ayarlar!$B$6*IF(Bitkiler!$H$62=Topraklar!$H$13,0,1))/Ayarlar!$B$7)+IF(Topraklar!$K$13=Bitkiler!$C$62,0.002,IF(Topraklar!$L$13="Evet",0.001,0)))</f>
        <v/>
      </c>
      <c r="N63" s="16">
        <f>IF(OR(Topraklar!$J$14="Evet",AND(Topraklar!$L$14&lt;&gt;"Evet",Topraklar!$K$14&lt;&gt;Bitkiler!$C$62)),0,MAX(0,1-(Ayarlar!$B$2*ABS(Bitkiler!$D$62-Topraklar!$D$14)+Ayarlar!$B$3*ABS(Bitkiler!$E$62-Topraklar!$E$14)+Ayarlar!$B$4*ABS(Bitkiler!$F$62-Topraklar!$F$14)+Ayarlar!$B$5*ABS(Bitkiler!$G$62-Topraklar!$G$14)+Ayarlar!$B$6*IF(Bitkiler!$H$62=Topraklar!$H$14,0,1))/Ayarlar!$B$7)+IF(Topraklar!$K$14=Bitkiler!$C$62,0.002,IF(Topraklar!$L$14="Evet",0.001,0)))</f>
        <v/>
      </c>
      <c r="O63" s="16">
        <f>IF(OR(Topraklar!$J$15="Evet",AND(Topraklar!$L$15&lt;&gt;"Evet",Topraklar!$K$15&lt;&gt;Bitkiler!$C$62)),0,MAX(0,1-(Ayarlar!$B$2*ABS(Bitkiler!$D$62-Topraklar!$D$15)+Ayarlar!$B$3*ABS(Bitkiler!$E$62-Topraklar!$E$15)+Ayarlar!$B$4*ABS(Bitkiler!$F$62-Topraklar!$F$15)+Ayarlar!$B$5*ABS(Bitkiler!$G$62-Topraklar!$G$15)+Ayarlar!$B$6*IF(Bitkiler!$H$62=Topraklar!$H$15,0,1))/Ayarlar!$B$7)+IF(Topraklar!$K$15=Bitkiler!$C$62,0.002,IF(Topraklar!$L$15="Evet",0.001,0)))</f>
        <v/>
      </c>
      <c r="P63" s="16">
        <f>IF(OR(Topraklar!$J$16="Evet",AND(Topraklar!$L$16&lt;&gt;"Evet",Topraklar!$K$16&lt;&gt;Bitkiler!$C$62)),0,MAX(0,1-(Ayarlar!$B$2*ABS(Bitkiler!$D$62-Topraklar!$D$16)+Ayarlar!$B$3*ABS(Bitkiler!$E$62-Topraklar!$E$16)+Ayarlar!$B$4*ABS(Bitkiler!$F$62-Topraklar!$F$16)+Ayarlar!$B$5*ABS(Bitkiler!$G$62-Topraklar!$G$16)+Ayarlar!$B$6*IF(Bitkiler!$H$62=Topraklar!$H$16,0,1))/Ayarlar!$B$7)+IF(Topraklar!$K$16=Bitkiler!$C$62,0.002,IF(Topraklar!$L$16="Evet",0.001,0)))</f>
        <v/>
      </c>
      <c r="Q63" s="16">
        <f>IF(OR(Topraklar!$J$17="Evet",AND(Topraklar!$L$17&lt;&gt;"Evet",Topraklar!$K$17&lt;&gt;Bitkiler!$C$62)),0,MAX(0,1-(Ayarlar!$B$2*ABS(Bitkiler!$D$62-Topraklar!$D$17)+Ayarlar!$B$3*ABS(Bitkiler!$E$62-Topraklar!$E$17)+Ayarlar!$B$4*ABS(Bitkiler!$F$62-Topraklar!$F$17)+Ayarlar!$B$5*ABS(Bitkiler!$G$62-Topraklar!$G$17)+Ayarlar!$B$6*IF(Bitkiler!$H$62=Topraklar!$H$17,0,1))/Ayarlar!$B$7)+IF(Topraklar!$K$17=Bitkiler!$C$62,0.002,IF(Topraklar!$L$17="Evet",0.001,0)))</f>
        <v/>
      </c>
      <c r="R63" s="16">
        <f>IF(OR(Topraklar!$J$18="Evet",AND(Topraklar!$L$18&lt;&gt;"Evet",Topraklar!$K$18&lt;&gt;Bitkiler!$C$62)),0,MAX(0,1-(Ayarlar!$B$2*ABS(Bitkiler!$D$62-Topraklar!$D$18)+Ayarlar!$B$3*ABS(Bitkiler!$E$62-Topraklar!$E$18)+Ayarlar!$B$4*ABS(Bitkiler!$F$62-Topraklar!$F$18)+Ayarlar!$B$5*ABS(Bitkiler!$G$62-Topraklar!$G$18)+Ayarlar!$B$6*IF(Bitkiler!$H$62=Topraklar!$H$18,0,1))/Ayarlar!$B$7)+IF(Topraklar!$K$18=Bitkiler!$C$62,0.002,IF(Topraklar!$L$18="Evet",0.001,0)))</f>
        <v/>
      </c>
      <c r="S63" s="16">
        <f>IF(OR(Topraklar!$J$19="Evet",AND(Topraklar!$L$19&lt;&gt;"Evet",Topraklar!$K$19&lt;&gt;Bitkiler!$C$62)),0,MAX(0,1-(Ayarlar!$B$2*ABS(Bitkiler!$D$62-Topraklar!$D$19)+Ayarlar!$B$3*ABS(Bitkiler!$E$62-Topraklar!$E$19)+Ayarlar!$B$4*ABS(Bitkiler!$F$62-Topraklar!$F$19)+Ayarlar!$B$5*ABS(Bitkiler!$G$62-Topraklar!$G$19)+Ayarlar!$B$6*IF(Bitkiler!$H$62=Topraklar!$H$19,0,1))/Ayarlar!$B$7)+IF(Topraklar!$K$19=Bitkiler!$C$62,0.002,IF(Topraklar!$L$19="Evet",0.001,0)))</f>
        <v/>
      </c>
      <c r="T63" s="16">
        <f>IF(OR(Topraklar!$J$20="Evet",AND(Topraklar!$L$20&lt;&gt;"Evet",Topraklar!$K$20&lt;&gt;Bitkiler!$C$62)),0,MAX(0,1-(Ayarlar!$B$2*ABS(Bitkiler!$D$62-Topraklar!$D$20)+Ayarlar!$B$3*ABS(Bitkiler!$E$62-Topraklar!$E$20)+Ayarlar!$B$4*ABS(Bitkiler!$F$62-Topraklar!$F$20)+Ayarlar!$B$5*ABS(Bitkiler!$G$62-Topraklar!$G$20)+Ayarlar!$B$6*IF(Bitkiler!$H$62=Topraklar!$H$20,0,1))/Ayarlar!$B$7)+IF(Topraklar!$K$20=Bitkiler!$C$62,0.002,IF(Topraklar!$L$20="Evet",0.001,0)))</f>
        <v/>
      </c>
      <c r="U63" s="16">
        <f>IF(OR(Topraklar!$J$21="Evet",AND(Topraklar!$L$21&lt;&gt;"Evet",Topraklar!$K$21&lt;&gt;Bitkiler!$C$62)),0,MAX(0,1-(Ayarlar!$B$2*ABS(Bitkiler!$D$62-Topraklar!$D$21)+Ayarlar!$B$3*ABS(Bitkiler!$E$62-Topraklar!$E$21)+Ayarlar!$B$4*ABS(Bitkiler!$F$62-Topraklar!$F$21)+Ayarlar!$B$5*ABS(Bitkiler!$G$62-Topraklar!$G$21)+Ayarlar!$B$6*IF(Bitkiler!$H$62=Topraklar!$H$21,0,1))/Ayarlar!$B$7)+IF(Topraklar!$K$21=Bitkiler!$C$62,0.002,IF(Topraklar!$L$21="Evet",0.001,0)))</f>
        <v/>
      </c>
      <c r="V63" s="16">
        <f>IF(OR(Topraklar!$J$22="Evet",AND(Topraklar!$L$22&lt;&gt;"Evet",Topraklar!$K$22&lt;&gt;Bitkiler!$C$62)),0,MAX(0,1-(Ayarlar!$B$2*ABS(Bitkiler!$D$62-Topraklar!$D$22)+Ayarlar!$B$3*ABS(Bitkiler!$E$62-Topraklar!$E$22)+Ayarlar!$B$4*ABS(Bitkiler!$F$62-Topraklar!$F$22)+Ayarlar!$B$5*ABS(Bitkiler!$G$62-Topraklar!$G$22)+Ayarlar!$B$6*IF(Bitkiler!$H$62=Topraklar!$H$22,0,1))/Ayarlar!$B$7)+IF(Topraklar!$K$22=Bitkiler!$C$62,0.002,IF(Topraklar!$L$22="Evet",0.001,0)))</f>
        <v/>
      </c>
      <c r="W63" s="16">
        <f>IF(OR(Topraklar!$J$23="Evet",AND(Topraklar!$L$23&lt;&gt;"Evet",Topraklar!$K$23&lt;&gt;Bitkiler!$C$62)),0,MAX(0,1-(Ayarlar!$B$2*ABS(Bitkiler!$D$62-Topraklar!$D$23)+Ayarlar!$B$3*ABS(Bitkiler!$E$62-Topraklar!$E$23)+Ayarlar!$B$4*ABS(Bitkiler!$F$62-Topraklar!$F$23)+Ayarlar!$B$5*ABS(Bitkiler!$G$62-Topraklar!$G$23)+Ayarlar!$B$6*IF(Bitkiler!$H$62=Topraklar!$H$23,0,1))/Ayarlar!$B$7)+IF(Topraklar!$K$23=Bitkiler!$C$62,0.002,IF(Topraklar!$L$23="Evet",0.001,0)))</f>
        <v/>
      </c>
      <c r="X63" s="16">
        <f>IF(OR(Topraklar!$J$24="Evet",AND(Topraklar!$L$24&lt;&gt;"Evet",Topraklar!$K$24&lt;&gt;Bitkiler!$C$62)),0,MAX(0,1-(Ayarlar!$B$2*ABS(Bitkiler!$D$62-Topraklar!$D$24)+Ayarlar!$B$3*ABS(Bitkiler!$E$62-Topraklar!$E$24)+Ayarlar!$B$4*ABS(Bitkiler!$F$62-Topraklar!$F$24)+Ayarlar!$B$5*ABS(Bitkiler!$G$62-Topraklar!$G$24)+Ayarlar!$B$6*IF(Bitkiler!$H$62=Topraklar!$H$24,0,1))/Ayarlar!$B$7)+IF(Topraklar!$K$24=Bitkiler!$C$62,0.002,IF(Topraklar!$L$24="Evet",0.001,0)))</f>
        <v/>
      </c>
      <c r="Y63" s="16">
        <f>IF(OR(Topraklar!$J$25="Evet",AND(Topraklar!$L$25&lt;&gt;"Evet",Topraklar!$K$25&lt;&gt;Bitkiler!$C$62)),0,MAX(0,1-(Ayarlar!$B$2*ABS(Bitkiler!$D$62-Topraklar!$D$25)+Ayarlar!$B$3*ABS(Bitkiler!$E$62-Topraklar!$E$25)+Ayarlar!$B$4*ABS(Bitkiler!$F$62-Topraklar!$F$25)+Ayarlar!$B$5*ABS(Bitkiler!$G$62-Topraklar!$G$25)+Ayarlar!$B$6*IF(Bitkiler!$H$62=Topraklar!$H$25,0,1))/Ayarlar!$B$7)+IF(Topraklar!$K$25=Bitkiler!$C$62,0.002,IF(Topraklar!$L$25="Evet",0.001,0)))</f>
        <v/>
      </c>
      <c r="Z63" s="16">
        <f>IF(OR(Topraklar!$J$26="Evet",AND(Topraklar!$L$26&lt;&gt;"Evet",Topraklar!$K$26&lt;&gt;Bitkiler!$C$62)),0,MAX(0,1-(Ayarlar!$B$2*ABS(Bitkiler!$D$62-Topraklar!$D$26)+Ayarlar!$B$3*ABS(Bitkiler!$E$62-Topraklar!$E$26)+Ayarlar!$B$4*ABS(Bitkiler!$F$62-Topraklar!$F$26)+Ayarlar!$B$5*ABS(Bitkiler!$G$62-Topraklar!$G$26)+Ayarlar!$B$6*IF(Bitkiler!$H$62=Topraklar!$H$26,0,1))/Ayarlar!$B$7)+IF(Topraklar!$K$26=Bitkiler!$C$62,0.002,IF(Topraklar!$L$26="Evet",0.001,0)))</f>
        <v/>
      </c>
      <c r="AA63" s="16">
        <f>IF(OR(Topraklar!$J$27="Evet",AND(Topraklar!$L$27&lt;&gt;"Evet",Topraklar!$K$27&lt;&gt;Bitkiler!$C$62)),0,MAX(0,1-(Ayarlar!$B$2*ABS(Bitkiler!$D$62-Topraklar!$D$27)+Ayarlar!$B$3*ABS(Bitkiler!$E$62-Topraklar!$E$27)+Ayarlar!$B$4*ABS(Bitkiler!$F$62-Topraklar!$F$27)+Ayarlar!$B$5*ABS(Bitkiler!$G$62-Topraklar!$G$27)+Ayarlar!$B$6*IF(Bitkiler!$H$62=Topraklar!$H$27,0,1))/Ayarlar!$B$7)+IF(Topraklar!$K$27=Bitkiler!$C$62,0.002,IF(Topraklar!$L$27="Evet",0.001,0)))</f>
        <v/>
      </c>
      <c r="AB63" s="16">
        <f>IF(OR(Topraklar!$J$28="Evet",AND(Topraklar!$L$28&lt;&gt;"Evet",Topraklar!$K$28&lt;&gt;Bitkiler!$C$62)),0,MAX(0,1-(Ayarlar!$B$2*ABS(Bitkiler!$D$62-Topraklar!$D$28)+Ayarlar!$B$3*ABS(Bitkiler!$E$62-Topraklar!$E$28)+Ayarlar!$B$4*ABS(Bitkiler!$F$62-Topraklar!$F$28)+Ayarlar!$B$5*ABS(Bitkiler!$G$62-Topraklar!$G$28)+Ayarlar!$B$6*IF(Bitkiler!$H$62=Topraklar!$H$28,0,1))/Ayarlar!$B$7)+IF(Topraklar!$K$28=Bitkiler!$C$62,0.002,IF(Topraklar!$L$28="Evet",0.001,0)))</f>
        <v/>
      </c>
      <c r="AC63" s="16">
        <f>IF(OR(Topraklar!$J$29="Evet",AND(Topraklar!$L$29&lt;&gt;"Evet",Topraklar!$K$29&lt;&gt;Bitkiler!$C$62)),0,MAX(0,1-(Ayarlar!$B$2*ABS(Bitkiler!$D$62-Topraklar!$D$29)+Ayarlar!$B$3*ABS(Bitkiler!$E$62-Topraklar!$E$29)+Ayarlar!$B$4*ABS(Bitkiler!$F$62-Topraklar!$F$29)+Ayarlar!$B$5*ABS(Bitkiler!$G$62-Topraklar!$G$29)+Ayarlar!$B$6*IF(Bitkiler!$H$62=Topraklar!$H$29,0,1))/Ayarlar!$B$7)+IF(Topraklar!$K$29=Bitkiler!$C$62,0.002,IF(Topraklar!$L$29="Evet",0.001,0)))</f>
        <v/>
      </c>
      <c r="AD63" s="16">
        <f>IF(OR(Topraklar!$J$30="Evet",AND(Topraklar!$L$30&lt;&gt;"Evet",Topraklar!$K$30&lt;&gt;Bitkiler!$C$62)),0,MAX(0,1-(Ayarlar!$B$2*ABS(Bitkiler!$D$62-Topraklar!$D$30)+Ayarlar!$B$3*ABS(Bitkiler!$E$62-Topraklar!$E$30)+Ayarlar!$B$4*ABS(Bitkiler!$F$62-Topraklar!$F$30)+Ayarlar!$B$5*ABS(Bitkiler!$G$62-Topraklar!$G$30)+Ayarlar!$B$6*IF(Bitkiler!$H$62=Topraklar!$H$30,0,1))/Ayarlar!$B$7)+IF(Topraklar!$K$30=Bitkiler!$C$62,0.002,IF(Topraklar!$L$30="Evet",0.001,0)))</f>
        <v/>
      </c>
      <c r="AE63" s="16">
        <f>IF(OR(Topraklar!$J$31="Evet",AND(Topraklar!$L$31&lt;&gt;"Evet",Topraklar!$K$31&lt;&gt;Bitkiler!$C$62)),0,MAX(0,1-(Ayarlar!$B$2*ABS(Bitkiler!$D$62-Topraklar!$D$31)+Ayarlar!$B$3*ABS(Bitkiler!$E$62-Topraklar!$E$31)+Ayarlar!$B$4*ABS(Bitkiler!$F$62-Topraklar!$F$31)+Ayarlar!$B$5*ABS(Bitkiler!$G$62-Topraklar!$G$31)+Ayarlar!$B$6*IF(Bitkiler!$H$62=Topraklar!$H$31,0,1))/Ayarlar!$B$7)+IF(Topraklar!$K$31=Bitkiler!$C$62,0.002,IF(Topraklar!$L$31="Evet",0.001,0)))</f>
        <v/>
      </c>
      <c r="AF63" s="16">
        <f>IF(OR(Topraklar!$J$32="Evet",AND(Topraklar!$L$32&lt;&gt;"Evet",Topraklar!$K$32&lt;&gt;Bitkiler!$C$62)),0,MAX(0,1-(Ayarlar!$B$2*ABS(Bitkiler!$D$62-Topraklar!$D$32)+Ayarlar!$B$3*ABS(Bitkiler!$E$62-Topraklar!$E$32)+Ayarlar!$B$4*ABS(Bitkiler!$F$62-Topraklar!$F$32)+Ayarlar!$B$5*ABS(Bitkiler!$G$62-Topraklar!$G$32)+Ayarlar!$B$6*IF(Bitkiler!$H$62=Topraklar!$H$32,0,1))/Ayarlar!$B$7)+IF(Topraklar!$K$32=Bitkiler!$C$62,0.002,IF(Topraklar!$L$32="Evet",0.001,0)))</f>
        <v/>
      </c>
      <c r="AG63" s="16">
        <f>IF(OR(Topraklar!$J$33="Evet",AND(Topraklar!$L$33&lt;&gt;"Evet",Topraklar!$K$33&lt;&gt;Bitkiler!$C$62)),0,MAX(0,1-(Ayarlar!$B$2*ABS(Bitkiler!$D$62-Topraklar!$D$33)+Ayarlar!$B$3*ABS(Bitkiler!$E$62-Topraklar!$E$33)+Ayarlar!$B$4*ABS(Bitkiler!$F$62-Topraklar!$F$33)+Ayarlar!$B$5*ABS(Bitkiler!$G$62-Topraklar!$G$33)+Ayarlar!$B$6*IF(Bitkiler!$H$62=Topraklar!$H$33,0,1))/Ayarlar!$B$7)+IF(Topraklar!$K$33=Bitkiler!$C$62,0.002,IF(Topraklar!$L$33="Evet",0.001,0)))</f>
        <v/>
      </c>
      <c r="AH63" s="16">
        <f>IF(OR(Topraklar!$J$34="Evet",AND(Topraklar!$L$34&lt;&gt;"Evet",Topraklar!$K$34&lt;&gt;Bitkiler!$C$62)),0,MAX(0,1-(Ayarlar!$B$2*ABS(Bitkiler!$D$62-Topraklar!$D$34)+Ayarlar!$B$3*ABS(Bitkiler!$E$62-Topraklar!$E$34)+Ayarlar!$B$4*ABS(Bitkiler!$F$62-Topraklar!$F$34)+Ayarlar!$B$5*ABS(Bitkiler!$G$62-Topraklar!$G$34)+Ayarlar!$B$6*IF(Bitkiler!$H$62=Topraklar!$H$34,0,1))/Ayarlar!$B$7)+IF(Topraklar!$K$34=Bitkiler!$C$62,0.002,IF(Topraklar!$L$34="Evet",0.001,0)))</f>
        <v/>
      </c>
      <c r="AI63" s="16">
        <f>IF(OR(Topraklar!$J$35="Evet",AND(Topraklar!$L$35&lt;&gt;"Evet",Topraklar!$K$35&lt;&gt;Bitkiler!$C$62)),0,MAX(0,1-(Ayarlar!$B$2*ABS(Bitkiler!$D$62-Topraklar!$D$35)+Ayarlar!$B$3*ABS(Bitkiler!$E$62-Topraklar!$E$35)+Ayarlar!$B$4*ABS(Bitkiler!$F$62-Topraklar!$F$35)+Ayarlar!$B$5*ABS(Bitkiler!$G$62-Topraklar!$G$35)+Ayarlar!$B$6*IF(Bitkiler!$H$62=Topraklar!$H$35,0,1))/Ayarlar!$B$7)+IF(Topraklar!$K$35=Bitkiler!$C$62,0.002,IF(Topraklar!$L$35="Evet",0.001,0)))</f>
        <v/>
      </c>
      <c r="AJ63" s="16">
        <f>IF(OR(Topraklar!$J$36="Evet",AND(Topraklar!$L$36&lt;&gt;"Evet",Topraklar!$K$36&lt;&gt;Bitkiler!$C$62)),0,MAX(0,1-(Ayarlar!$B$2*ABS(Bitkiler!$D$62-Topraklar!$D$36)+Ayarlar!$B$3*ABS(Bitkiler!$E$62-Topraklar!$E$36)+Ayarlar!$B$4*ABS(Bitkiler!$F$62-Topraklar!$F$36)+Ayarlar!$B$5*ABS(Bitkiler!$G$62-Topraklar!$G$36)+Ayarlar!$B$6*IF(Bitkiler!$H$62=Topraklar!$H$36,0,1))/Ayarlar!$B$7)+IF(Topraklar!$K$36=Bitkiler!$C$62,0.002,IF(Topraklar!$L$36="Evet",0.001,0)))</f>
        <v/>
      </c>
      <c r="AK63" s="16">
        <f>IF(OR(Topraklar!$J$37="Evet",AND(Topraklar!$L$37&lt;&gt;"Evet",Topraklar!$K$37&lt;&gt;Bitkiler!$C$62)),0,MAX(0,1-(Ayarlar!$B$2*ABS(Bitkiler!$D$62-Topraklar!$D$37)+Ayarlar!$B$3*ABS(Bitkiler!$E$62-Topraklar!$E$37)+Ayarlar!$B$4*ABS(Bitkiler!$F$62-Topraklar!$F$37)+Ayarlar!$B$5*ABS(Bitkiler!$G$62-Topraklar!$G$37)+Ayarlar!$B$6*IF(Bitkiler!$H$62=Topraklar!$H$37,0,1))/Ayarlar!$B$7)+IF(Topraklar!$K$37=Bitkiler!$C$62,0.002,IF(Topraklar!$L$37="Evet",0.001,0)))</f>
        <v/>
      </c>
      <c r="AL63" s="16">
        <f>IF(OR(Topraklar!$J$38="Evet",AND(Topraklar!$L$38&lt;&gt;"Evet",Topraklar!$K$38&lt;&gt;Bitkiler!$C$62)),0,MAX(0,1-(Ayarlar!$B$2*ABS(Bitkiler!$D$62-Topraklar!$D$38)+Ayarlar!$B$3*ABS(Bitkiler!$E$62-Topraklar!$E$38)+Ayarlar!$B$4*ABS(Bitkiler!$F$62-Topraklar!$F$38)+Ayarlar!$B$5*ABS(Bitkiler!$G$62-Topraklar!$G$38)+Ayarlar!$B$6*IF(Bitkiler!$H$62=Topraklar!$H$38,0,1))/Ayarlar!$B$7)+IF(Topraklar!$K$38=Bitkiler!$C$62,0.002,IF(Topraklar!$L$38="Evet",0.001,0)))</f>
        <v/>
      </c>
      <c r="AM63" s="16">
        <f>IF(OR(Topraklar!$J$39="Evet",AND(Topraklar!$L$39&lt;&gt;"Evet",Topraklar!$K$39&lt;&gt;Bitkiler!$C$62)),0,MAX(0,1-(Ayarlar!$B$2*ABS(Bitkiler!$D$62-Topraklar!$D$39)+Ayarlar!$B$3*ABS(Bitkiler!$E$62-Topraklar!$E$39)+Ayarlar!$B$4*ABS(Bitkiler!$F$62-Topraklar!$F$39)+Ayarlar!$B$5*ABS(Bitkiler!$G$62-Topraklar!$G$39)+Ayarlar!$B$6*IF(Bitkiler!$H$62=Topraklar!$H$39,0,1))/Ayarlar!$B$7)+IF(Topraklar!$K$39=Bitkiler!$C$62,0.002,IF(Topraklar!$L$39="Evet",0.001,0)))</f>
        <v/>
      </c>
      <c r="AN63" s="16">
        <f>IF(OR(Topraklar!$J$40="Evet",AND(Topraklar!$L$40&lt;&gt;"Evet",Topraklar!$K$40&lt;&gt;Bitkiler!$C$62)),0,MAX(0,1-(Ayarlar!$B$2*ABS(Bitkiler!$D$62-Topraklar!$D$40)+Ayarlar!$B$3*ABS(Bitkiler!$E$62-Topraklar!$E$40)+Ayarlar!$B$4*ABS(Bitkiler!$F$62-Topraklar!$F$40)+Ayarlar!$B$5*ABS(Bitkiler!$G$62-Topraklar!$G$40)+Ayarlar!$B$6*IF(Bitkiler!$H$62=Topraklar!$H$40,0,1))/Ayarlar!$B$7)+IF(Topraklar!$K$40=Bitkiler!$C$62,0.002,IF(Topraklar!$L$40="Evet",0.001,0)))</f>
        <v/>
      </c>
      <c r="AO63" s="16">
        <f>IF(OR(Topraklar!$J$41="Evet",AND(Topraklar!$L$41&lt;&gt;"Evet",Topraklar!$K$41&lt;&gt;Bitkiler!$C$62)),0,MAX(0,1-(Ayarlar!$B$2*ABS(Bitkiler!$D$62-Topraklar!$D$41)+Ayarlar!$B$3*ABS(Bitkiler!$E$62-Topraklar!$E$41)+Ayarlar!$B$4*ABS(Bitkiler!$F$62-Topraklar!$F$41)+Ayarlar!$B$5*ABS(Bitkiler!$G$62-Topraklar!$G$41)+Ayarlar!$B$6*IF(Bitkiler!$H$62=Topraklar!$H$41,0,1))/Ayarlar!$B$7)+IF(Topraklar!$K$41=Bitkiler!$C$62,0.002,IF(Topraklar!$L$41="Evet",0.001,0)))</f>
        <v/>
      </c>
      <c r="AP63" s="16">
        <f>IF(OR(Topraklar!$J$42="Evet",AND(Topraklar!$L$42&lt;&gt;"Evet",Topraklar!$K$42&lt;&gt;Bitkiler!$C$62)),0,MAX(0,1-(Ayarlar!$B$2*ABS(Bitkiler!$D$62-Topraklar!$D$42)+Ayarlar!$B$3*ABS(Bitkiler!$E$62-Topraklar!$E$42)+Ayarlar!$B$4*ABS(Bitkiler!$F$62-Topraklar!$F$42)+Ayarlar!$B$5*ABS(Bitkiler!$G$62-Topraklar!$G$42)+Ayarlar!$B$6*IF(Bitkiler!$H$62=Topraklar!$H$42,0,1))/Ayarlar!$B$7)+IF(Topraklar!$K$42=Bitkiler!$C$62,0.002,IF(Topraklar!$L$42="Evet",0.001,0)))</f>
        <v/>
      </c>
      <c r="AQ63" s="16">
        <f>IF(OR(Topraklar!$J$43="Evet",AND(Topraklar!$L$43&lt;&gt;"Evet",Topraklar!$K$43&lt;&gt;Bitkiler!$C$62)),0,MAX(0,1-(Ayarlar!$B$2*ABS(Bitkiler!$D$62-Topraklar!$D$43)+Ayarlar!$B$3*ABS(Bitkiler!$E$62-Topraklar!$E$43)+Ayarlar!$B$4*ABS(Bitkiler!$F$62-Topraklar!$F$43)+Ayarlar!$B$5*ABS(Bitkiler!$G$62-Topraklar!$G$43)+Ayarlar!$B$6*IF(Bitkiler!$H$62=Topraklar!$H$43,0,1))/Ayarlar!$B$7)+IF(Topraklar!$K$43=Bitkiler!$C$62,0.002,IF(Topraklar!$L$43="Evet",0.001,0)))</f>
        <v/>
      </c>
      <c r="AR63" s="16">
        <f>IF(OR(Topraklar!$J$44="Evet",AND(Topraklar!$L$44&lt;&gt;"Evet",Topraklar!$K$44&lt;&gt;Bitkiler!$C$62)),0,MAX(0,1-(Ayarlar!$B$2*ABS(Bitkiler!$D$62-Topraklar!$D$44)+Ayarlar!$B$3*ABS(Bitkiler!$E$62-Topraklar!$E$44)+Ayarlar!$B$4*ABS(Bitkiler!$F$62-Topraklar!$F$44)+Ayarlar!$B$5*ABS(Bitkiler!$G$62-Topraklar!$G$44)+Ayarlar!$B$6*IF(Bitkiler!$H$62=Topraklar!$H$44,0,1))/Ayarlar!$B$7)+IF(Topraklar!$K$44=Bitkiler!$C$62,0.002,IF(Topraklar!$L$44="Evet",0.001,0)))</f>
        <v/>
      </c>
      <c r="AS63" s="16">
        <f>IF(OR(Topraklar!$J$45="Evet",AND(Topraklar!$L$45&lt;&gt;"Evet",Topraklar!$K$45&lt;&gt;Bitkiler!$C$62)),0,MAX(0,1-(Ayarlar!$B$2*ABS(Bitkiler!$D$62-Topraklar!$D$45)+Ayarlar!$B$3*ABS(Bitkiler!$E$62-Topraklar!$E$45)+Ayarlar!$B$4*ABS(Bitkiler!$F$62-Topraklar!$F$45)+Ayarlar!$B$5*ABS(Bitkiler!$G$62-Topraklar!$G$45)+Ayarlar!$B$6*IF(Bitkiler!$H$62=Topraklar!$H$45,0,1))/Ayarlar!$B$7)+IF(Topraklar!$K$45=Bitkiler!$C$62,0.002,IF(Topraklar!$L$45="Evet",0.001,0)))</f>
        <v/>
      </c>
      <c r="AT63" s="16">
        <f>IF(OR(Topraklar!$J$46="Evet",AND(Topraklar!$L$46&lt;&gt;"Evet",Topraklar!$K$46&lt;&gt;Bitkiler!$C$62)),0,MAX(0,1-(Ayarlar!$B$2*ABS(Bitkiler!$D$62-Topraklar!$D$46)+Ayarlar!$B$3*ABS(Bitkiler!$E$62-Topraklar!$E$46)+Ayarlar!$B$4*ABS(Bitkiler!$F$62-Topraklar!$F$46)+Ayarlar!$B$5*ABS(Bitkiler!$G$62-Topraklar!$G$46)+Ayarlar!$B$6*IF(Bitkiler!$H$62=Topraklar!$H$46,0,1))/Ayarlar!$B$7)+IF(Topraklar!$K$46=Bitkiler!$C$62,0.002,IF(Topraklar!$L$46="Evet",0.001,0)))</f>
        <v/>
      </c>
      <c r="AU63" s="16">
        <f>IF(OR(Topraklar!$J$47="Evet",AND(Topraklar!$L$47&lt;&gt;"Evet",Topraklar!$K$47&lt;&gt;Bitkiler!$C$62)),0,MAX(0,1-(Ayarlar!$B$2*ABS(Bitkiler!$D$62-Topraklar!$D$47)+Ayarlar!$B$3*ABS(Bitkiler!$E$62-Topraklar!$E$47)+Ayarlar!$B$4*ABS(Bitkiler!$F$62-Topraklar!$F$47)+Ayarlar!$B$5*ABS(Bitkiler!$G$62-Topraklar!$G$47)+Ayarlar!$B$6*IF(Bitkiler!$H$62=Topraklar!$H$47,0,1))/Ayarlar!$B$7)+IF(Topraklar!$K$47=Bitkiler!$C$62,0.002,IF(Topraklar!$L$47="Evet",0.001,0)))</f>
        <v/>
      </c>
      <c r="AV63" s="16">
        <f>IF(OR(Topraklar!$J$48="Evet",AND(Topraklar!$L$48&lt;&gt;"Evet",Topraklar!$K$48&lt;&gt;Bitkiler!$C$62)),0,MAX(0,1-(Ayarlar!$B$2*ABS(Bitkiler!$D$62-Topraklar!$D$48)+Ayarlar!$B$3*ABS(Bitkiler!$E$62-Topraklar!$E$48)+Ayarlar!$B$4*ABS(Bitkiler!$F$62-Topraklar!$F$48)+Ayarlar!$B$5*ABS(Bitkiler!$G$62-Topraklar!$G$48)+Ayarlar!$B$6*IF(Bitkiler!$H$62=Topraklar!$H$48,0,1))/Ayarlar!$B$7)+IF(Topraklar!$K$48=Bitkiler!$C$62,0.002,IF(Topraklar!$L$48="Evet",0.001,0)))</f>
        <v/>
      </c>
      <c r="AW63" s="16">
        <f>IF(OR(Topraklar!$J$49="Evet",AND(Topraklar!$L$49&lt;&gt;"Evet",Topraklar!$K$49&lt;&gt;Bitkiler!$C$62)),0,MAX(0,1-(Ayarlar!$B$2*ABS(Bitkiler!$D$62-Topraklar!$D$49)+Ayarlar!$B$3*ABS(Bitkiler!$E$62-Topraklar!$E$49)+Ayarlar!$B$4*ABS(Bitkiler!$F$62-Topraklar!$F$49)+Ayarlar!$B$5*ABS(Bitkiler!$G$62-Topraklar!$G$49)+Ayarlar!$B$6*IF(Bitkiler!$H$62=Topraklar!$H$49,0,1))/Ayarlar!$B$7)+IF(Topraklar!$K$49=Bitkiler!$C$62,0.002,IF(Topraklar!$L$49="Evet",0.001,0)))</f>
        <v/>
      </c>
      <c r="AX63" s="16">
        <f>IF(OR(Topraklar!$J$50="Evet",AND(Topraklar!$L$50&lt;&gt;"Evet",Topraklar!$K$50&lt;&gt;Bitkiler!$C$62)),0,MAX(0,1-(Ayarlar!$B$2*ABS(Bitkiler!$D$62-Topraklar!$D$50)+Ayarlar!$B$3*ABS(Bitkiler!$E$62-Topraklar!$E$50)+Ayarlar!$B$4*ABS(Bitkiler!$F$62-Topraklar!$F$50)+Ayarlar!$B$5*ABS(Bitkiler!$G$62-Topraklar!$G$50)+Ayarlar!$B$6*IF(Bitkiler!$H$62=Topraklar!$H$50,0,1))/Ayarlar!$B$7)+IF(Topraklar!$K$50=Bitkiler!$C$62,0.002,IF(Topraklar!$L$50="Evet",0.001,0)))</f>
        <v/>
      </c>
      <c r="AY63" s="16">
        <f>IF(OR(Topraklar!$J$51="Evet",AND(Topraklar!$L$51&lt;&gt;"Evet",Topraklar!$K$51&lt;&gt;Bitkiler!$C$62)),0,MAX(0,1-(Ayarlar!$B$2*ABS(Bitkiler!$D$62-Topraklar!$D$51)+Ayarlar!$B$3*ABS(Bitkiler!$E$62-Topraklar!$E$51)+Ayarlar!$B$4*ABS(Bitkiler!$F$62-Topraklar!$F$51)+Ayarlar!$B$5*ABS(Bitkiler!$G$62-Topraklar!$G$51)+Ayarlar!$B$6*IF(Bitkiler!$H$62=Topraklar!$H$51,0,1))/Ayarlar!$B$7)+IF(Topraklar!$K$51=Bitkiler!$C$62,0.002,IF(Topraklar!$L$51="Evet",0.001,0)))</f>
        <v/>
      </c>
    </row>
    <row r="64">
      <c r="A64" s="15">
        <f>Bitkiler!A63</f>
        <v/>
      </c>
      <c r="B64" s="16">
        <f>IF(OR(Topraklar!$J$2="Evet",AND(Topraklar!$L$2&lt;&gt;"Evet",Topraklar!$K$2&lt;&gt;Bitkiler!$C$63)),0,MAX(0,1-(Ayarlar!$B$2*ABS(Bitkiler!$D$63-Topraklar!$D$2)+Ayarlar!$B$3*ABS(Bitkiler!$E$63-Topraklar!$E$2)+Ayarlar!$B$4*ABS(Bitkiler!$F$63-Topraklar!$F$2)+Ayarlar!$B$5*ABS(Bitkiler!$G$63-Topraklar!$G$2)+Ayarlar!$B$6*IF(Bitkiler!$H$63=Topraklar!$H$2,0,1))/Ayarlar!$B$7)+IF(Topraklar!$K$2=Bitkiler!$C$63,0.002,IF(Topraklar!$L$2="Evet",0.001,0)))</f>
        <v/>
      </c>
      <c r="C64" s="16">
        <f>IF(OR(Topraklar!$J$3="Evet",AND(Topraklar!$L$3&lt;&gt;"Evet",Topraklar!$K$3&lt;&gt;Bitkiler!$C$63)),0,MAX(0,1-(Ayarlar!$B$2*ABS(Bitkiler!$D$63-Topraklar!$D$3)+Ayarlar!$B$3*ABS(Bitkiler!$E$63-Topraklar!$E$3)+Ayarlar!$B$4*ABS(Bitkiler!$F$63-Topraklar!$F$3)+Ayarlar!$B$5*ABS(Bitkiler!$G$63-Topraklar!$G$3)+Ayarlar!$B$6*IF(Bitkiler!$H$63=Topraklar!$H$3,0,1))/Ayarlar!$B$7)+IF(Topraklar!$K$3=Bitkiler!$C$63,0.002,IF(Topraklar!$L$3="Evet",0.001,0)))</f>
        <v/>
      </c>
      <c r="D64" s="16">
        <f>IF(OR(Topraklar!$J$4="Evet",AND(Topraklar!$L$4&lt;&gt;"Evet",Topraklar!$K$4&lt;&gt;Bitkiler!$C$63)),0,MAX(0,1-(Ayarlar!$B$2*ABS(Bitkiler!$D$63-Topraklar!$D$4)+Ayarlar!$B$3*ABS(Bitkiler!$E$63-Topraklar!$E$4)+Ayarlar!$B$4*ABS(Bitkiler!$F$63-Topraklar!$F$4)+Ayarlar!$B$5*ABS(Bitkiler!$G$63-Topraklar!$G$4)+Ayarlar!$B$6*IF(Bitkiler!$H$63=Topraklar!$H$4,0,1))/Ayarlar!$B$7)+IF(Topraklar!$K$4=Bitkiler!$C$63,0.002,IF(Topraklar!$L$4="Evet",0.001,0)))</f>
        <v/>
      </c>
      <c r="E64" s="16">
        <f>IF(OR(Topraklar!$J$5="Evet",AND(Topraklar!$L$5&lt;&gt;"Evet",Topraklar!$K$5&lt;&gt;Bitkiler!$C$63)),0,MAX(0,1-(Ayarlar!$B$2*ABS(Bitkiler!$D$63-Topraklar!$D$5)+Ayarlar!$B$3*ABS(Bitkiler!$E$63-Topraklar!$E$5)+Ayarlar!$B$4*ABS(Bitkiler!$F$63-Topraklar!$F$5)+Ayarlar!$B$5*ABS(Bitkiler!$G$63-Topraklar!$G$5)+Ayarlar!$B$6*IF(Bitkiler!$H$63=Topraklar!$H$5,0,1))/Ayarlar!$B$7)+IF(Topraklar!$K$5=Bitkiler!$C$63,0.002,IF(Topraklar!$L$5="Evet",0.001,0)))</f>
        <v/>
      </c>
      <c r="F64" s="16">
        <f>IF(OR(Topraklar!$J$6="Evet",AND(Topraklar!$L$6&lt;&gt;"Evet",Topraklar!$K$6&lt;&gt;Bitkiler!$C$63)),0,MAX(0,1-(Ayarlar!$B$2*ABS(Bitkiler!$D$63-Topraklar!$D$6)+Ayarlar!$B$3*ABS(Bitkiler!$E$63-Topraklar!$E$6)+Ayarlar!$B$4*ABS(Bitkiler!$F$63-Topraklar!$F$6)+Ayarlar!$B$5*ABS(Bitkiler!$G$63-Topraklar!$G$6)+Ayarlar!$B$6*IF(Bitkiler!$H$63=Topraklar!$H$6,0,1))/Ayarlar!$B$7)+IF(Topraklar!$K$6=Bitkiler!$C$63,0.002,IF(Topraklar!$L$6="Evet",0.001,0)))</f>
        <v/>
      </c>
      <c r="G64" s="16">
        <f>IF(OR(Topraklar!$J$7="Evet",AND(Topraklar!$L$7&lt;&gt;"Evet",Topraklar!$K$7&lt;&gt;Bitkiler!$C$63)),0,MAX(0,1-(Ayarlar!$B$2*ABS(Bitkiler!$D$63-Topraklar!$D$7)+Ayarlar!$B$3*ABS(Bitkiler!$E$63-Topraklar!$E$7)+Ayarlar!$B$4*ABS(Bitkiler!$F$63-Topraklar!$F$7)+Ayarlar!$B$5*ABS(Bitkiler!$G$63-Topraklar!$G$7)+Ayarlar!$B$6*IF(Bitkiler!$H$63=Topraklar!$H$7,0,1))/Ayarlar!$B$7)+IF(Topraklar!$K$7=Bitkiler!$C$63,0.002,IF(Topraklar!$L$7="Evet",0.001,0)))</f>
        <v/>
      </c>
      <c r="H64" s="16">
        <f>IF(OR(Topraklar!$J$8="Evet",AND(Topraklar!$L$8&lt;&gt;"Evet",Topraklar!$K$8&lt;&gt;Bitkiler!$C$63)),0,MAX(0,1-(Ayarlar!$B$2*ABS(Bitkiler!$D$63-Topraklar!$D$8)+Ayarlar!$B$3*ABS(Bitkiler!$E$63-Topraklar!$E$8)+Ayarlar!$B$4*ABS(Bitkiler!$F$63-Topraklar!$F$8)+Ayarlar!$B$5*ABS(Bitkiler!$G$63-Topraklar!$G$8)+Ayarlar!$B$6*IF(Bitkiler!$H$63=Topraklar!$H$8,0,1))/Ayarlar!$B$7)+IF(Topraklar!$K$8=Bitkiler!$C$63,0.002,IF(Topraklar!$L$8="Evet",0.001,0)))</f>
        <v/>
      </c>
      <c r="I64" s="16">
        <f>IF(OR(Topraklar!$J$9="Evet",AND(Topraklar!$L$9&lt;&gt;"Evet",Topraklar!$K$9&lt;&gt;Bitkiler!$C$63)),0,MAX(0,1-(Ayarlar!$B$2*ABS(Bitkiler!$D$63-Topraklar!$D$9)+Ayarlar!$B$3*ABS(Bitkiler!$E$63-Topraklar!$E$9)+Ayarlar!$B$4*ABS(Bitkiler!$F$63-Topraklar!$F$9)+Ayarlar!$B$5*ABS(Bitkiler!$G$63-Topraklar!$G$9)+Ayarlar!$B$6*IF(Bitkiler!$H$63=Topraklar!$H$9,0,1))/Ayarlar!$B$7)+IF(Topraklar!$K$9=Bitkiler!$C$63,0.002,IF(Topraklar!$L$9="Evet",0.001,0)))</f>
        <v/>
      </c>
      <c r="J64" s="16">
        <f>IF(OR(Topraklar!$J$10="Evet",AND(Topraklar!$L$10&lt;&gt;"Evet",Topraklar!$K$10&lt;&gt;Bitkiler!$C$63)),0,MAX(0,1-(Ayarlar!$B$2*ABS(Bitkiler!$D$63-Topraklar!$D$10)+Ayarlar!$B$3*ABS(Bitkiler!$E$63-Topraklar!$E$10)+Ayarlar!$B$4*ABS(Bitkiler!$F$63-Topraklar!$F$10)+Ayarlar!$B$5*ABS(Bitkiler!$G$63-Topraklar!$G$10)+Ayarlar!$B$6*IF(Bitkiler!$H$63=Topraklar!$H$10,0,1))/Ayarlar!$B$7)+IF(Topraklar!$K$10=Bitkiler!$C$63,0.002,IF(Topraklar!$L$10="Evet",0.001,0)))</f>
        <v/>
      </c>
      <c r="K64" s="16">
        <f>IF(OR(Topraklar!$J$11="Evet",AND(Topraklar!$L$11&lt;&gt;"Evet",Topraklar!$K$11&lt;&gt;Bitkiler!$C$63)),0,MAX(0,1-(Ayarlar!$B$2*ABS(Bitkiler!$D$63-Topraklar!$D$11)+Ayarlar!$B$3*ABS(Bitkiler!$E$63-Topraklar!$E$11)+Ayarlar!$B$4*ABS(Bitkiler!$F$63-Topraklar!$F$11)+Ayarlar!$B$5*ABS(Bitkiler!$G$63-Topraklar!$G$11)+Ayarlar!$B$6*IF(Bitkiler!$H$63=Topraklar!$H$11,0,1))/Ayarlar!$B$7)+IF(Topraklar!$K$11=Bitkiler!$C$63,0.002,IF(Topraklar!$L$11="Evet",0.001,0)))</f>
        <v/>
      </c>
      <c r="L64" s="16">
        <f>IF(OR(Topraklar!$J$12="Evet",AND(Topraklar!$L$12&lt;&gt;"Evet",Topraklar!$K$12&lt;&gt;Bitkiler!$C$63)),0,MAX(0,1-(Ayarlar!$B$2*ABS(Bitkiler!$D$63-Topraklar!$D$12)+Ayarlar!$B$3*ABS(Bitkiler!$E$63-Topraklar!$E$12)+Ayarlar!$B$4*ABS(Bitkiler!$F$63-Topraklar!$F$12)+Ayarlar!$B$5*ABS(Bitkiler!$G$63-Topraklar!$G$12)+Ayarlar!$B$6*IF(Bitkiler!$H$63=Topraklar!$H$12,0,1))/Ayarlar!$B$7)+IF(Topraklar!$K$12=Bitkiler!$C$63,0.002,IF(Topraklar!$L$12="Evet",0.001,0)))</f>
        <v/>
      </c>
      <c r="M64" s="16">
        <f>IF(OR(Topraklar!$J$13="Evet",AND(Topraklar!$L$13&lt;&gt;"Evet",Topraklar!$K$13&lt;&gt;Bitkiler!$C$63)),0,MAX(0,1-(Ayarlar!$B$2*ABS(Bitkiler!$D$63-Topraklar!$D$13)+Ayarlar!$B$3*ABS(Bitkiler!$E$63-Topraklar!$E$13)+Ayarlar!$B$4*ABS(Bitkiler!$F$63-Topraklar!$F$13)+Ayarlar!$B$5*ABS(Bitkiler!$G$63-Topraklar!$G$13)+Ayarlar!$B$6*IF(Bitkiler!$H$63=Topraklar!$H$13,0,1))/Ayarlar!$B$7)+IF(Topraklar!$K$13=Bitkiler!$C$63,0.002,IF(Topraklar!$L$13="Evet",0.001,0)))</f>
        <v/>
      </c>
      <c r="N64" s="16">
        <f>IF(OR(Topraklar!$J$14="Evet",AND(Topraklar!$L$14&lt;&gt;"Evet",Topraklar!$K$14&lt;&gt;Bitkiler!$C$63)),0,MAX(0,1-(Ayarlar!$B$2*ABS(Bitkiler!$D$63-Topraklar!$D$14)+Ayarlar!$B$3*ABS(Bitkiler!$E$63-Topraklar!$E$14)+Ayarlar!$B$4*ABS(Bitkiler!$F$63-Topraklar!$F$14)+Ayarlar!$B$5*ABS(Bitkiler!$G$63-Topraklar!$G$14)+Ayarlar!$B$6*IF(Bitkiler!$H$63=Topraklar!$H$14,0,1))/Ayarlar!$B$7)+IF(Topraklar!$K$14=Bitkiler!$C$63,0.002,IF(Topraklar!$L$14="Evet",0.001,0)))</f>
        <v/>
      </c>
      <c r="O64" s="16">
        <f>IF(OR(Topraklar!$J$15="Evet",AND(Topraklar!$L$15&lt;&gt;"Evet",Topraklar!$K$15&lt;&gt;Bitkiler!$C$63)),0,MAX(0,1-(Ayarlar!$B$2*ABS(Bitkiler!$D$63-Topraklar!$D$15)+Ayarlar!$B$3*ABS(Bitkiler!$E$63-Topraklar!$E$15)+Ayarlar!$B$4*ABS(Bitkiler!$F$63-Topraklar!$F$15)+Ayarlar!$B$5*ABS(Bitkiler!$G$63-Topraklar!$G$15)+Ayarlar!$B$6*IF(Bitkiler!$H$63=Topraklar!$H$15,0,1))/Ayarlar!$B$7)+IF(Topraklar!$K$15=Bitkiler!$C$63,0.002,IF(Topraklar!$L$15="Evet",0.001,0)))</f>
        <v/>
      </c>
      <c r="P64" s="16">
        <f>IF(OR(Topraklar!$J$16="Evet",AND(Topraklar!$L$16&lt;&gt;"Evet",Topraklar!$K$16&lt;&gt;Bitkiler!$C$63)),0,MAX(0,1-(Ayarlar!$B$2*ABS(Bitkiler!$D$63-Topraklar!$D$16)+Ayarlar!$B$3*ABS(Bitkiler!$E$63-Topraklar!$E$16)+Ayarlar!$B$4*ABS(Bitkiler!$F$63-Topraklar!$F$16)+Ayarlar!$B$5*ABS(Bitkiler!$G$63-Topraklar!$G$16)+Ayarlar!$B$6*IF(Bitkiler!$H$63=Topraklar!$H$16,0,1))/Ayarlar!$B$7)+IF(Topraklar!$K$16=Bitkiler!$C$63,0.002,IF(Topraklar!$L$16="Evet",0.001,0)))</f>
        <v/>
      </c>
      <c r="Q64" s="16">
        <f>IF(OR(Topraklar!$J$17="Evet",AND(Topraklar!$L$17&lt;&gt;"Evet",Topraklar!$K$17&lt;&gt;Bitkiler!$C$63)),0,MAX(0,1-(Ayarlar!$B$2*ABS(Bitkiler!$D$63-Topraklar!$D$17)+Ayarlar!$B$3*ABS(Bitkiler!$E$63-Topraklar!$E$17)+Ayarlar!$B$4*ABS(Bitkiler!$F$63-Topraklar!$F$17)+Ayarlar!$B$5*ABS(Bitkiler!$G$63-Topraklar!$G$17)+Ayarlar!$B$6*IF(Bitkiler!$H$63=Topraklar!$H$17,0,1))/Ayarlar!$B$7)+IF(Topraklar!$K$17=Bitkiler!$C$63,0.002,IF(Topraklar!$L$17="Evet",0.001,0)))</f>
        <v/>
      </c>
      <c r="R64" s="16">
        <f>IF(OR(Topraklar!$J$18="Evet",AND(Topraklar!$L$18&lt;&gt;"Evet",Topraklar!$K$18&lt;&gt;Bitkiler!$C$63)),0,MAX(0,1-(Ayarlar!$B$2*ABS(Bitkiler!$D$63-Topraklar!$D$18)+Ayarlar!$B$3*ABS(Bitkiler!$E$63-Topraklar!$E$18)+Ayarlar!$B$4*ABS(Bitkiler!$F$63-Topraklar!$F$18)+Ayarlar!$B$5*ABS(Bitkiler!$G$63-Topraklar!$G$18)+Ayarlar!$B$6*IF(Bitkiler!$H$63=Topraklar!$H$18,0,1))/Ayarlar!$B$7)+IF(Topraklar!$K$18=Bitkiler!$C$63,0.002,IF(Topraklar!$L$18="Evet",0.001,0)))</f>
        <v/>
      </c>
      <c r="S64" s="16">
        <f>IF(OR(Topraklar!$J$19="Evet",AND(Topraklar!$L$19&lt;&gt;"Evet",Topraklar!$K$19&lt;&gt;Bitkiler!$C$63)),0,MAX(0,1-(Ayarlar!$B$2*ABS(Bitkiler!$D$63-Topraklar!$D$19)+Ayarlar!$B$3*ABS(Bitkiler!$E$63-Topraklar!$E$19)+Ayarlar!$B$4*ABS(Bitkiler!$F$63-Topraklar!$F$19)+Ayarlar!$B$5*ABS(Bitkiler!$G$63-Topraklar!$G$19)+Ayarlar!$B$6*IF(Bitkiler!$H$63=Topraklar!$H$19,0,1))/Ayarlar!$B$7)+IF(Topraklar!$K$19=Bitkiler!$C$63,0.002,IF(Topraklar!$L$19="Evet",0.001,0)))</f>
        <v/>
      </c>
      <c r="T64" s="16">
        <f>IF(OR(Topraklar!$J$20="Evet",AND(Topraklar!$L$20&lt;&gt;"Evet",Topraklar!$K$20&lt;&gt;Bitkiler!$C$63)),0,MAX(0,1-(Ayarlar!$B$2*ABS(Bitkiler!$D$63-Topraklar!$D$20)+Ayarlar!$B$3*ABS(Bitkiler!$E$63-Topraklar!$E$20)+Ayarlar!$B$4*ABS(Bitkiler!$F$63-Topraklar!$F$20)+Ayarlar!$B$5*ABS(Bitkiler!$G$63-Topraklar!$G$20)+Ayarlar!$B$6*IF(Bitkiler!$H$63=Topraklar!$H$20,0,1))/Ayarlar!$B$7)+IF(Topraklar!$K$20=Bitkiler!$C$63,0.002,IF(Topraklar!$L$20="Evet",0.001,0)))</f>
        <v/>
      </c>
      <c r="U64" s="16">
        <f>IF(OR(Topraklar!$J$21="Evet",AND(Topraklar!$L$21&lt;&gt;"Evet",Topraklar!$K$21&lt;&gt;Bitkiler!$C$63)),0,MAX(0,1-(Ayarlar!$B$2*ABS(Bitkiler!$D$63-Topraklar!$D$21)+Ayarlar!$B$3*ABS(Bitkiler!$E$63-Topraklar!$E$21)+Ayarlar!$B$4*ABS(Bitkiler!$F$63-Topraklar!$F$21)+Ayarlar!$B$5*ABS(Bitkiler!$G$63-Topraklar!$G$21)+Ayarlar!$B$6*IF(Bitkiler!$H$63=Topraklar!$H$21,0,1))/Ayarlar!$B$7)+IF(Topraklar!$K$21=Bitkiler!$C$63,0.002,IF(Topraklar!$L$21="Evet",0.001,0)))</f>
        <v/>
      </c>
      <c r="V64" s="16">
        <f>IF(OR(Topraklar!$J$22="Evet",AND(Topraklar!$L$22&lt;&gt;"Evet",Topraklar!$K$22&lt;&gt;Bitkiler!$C$63)),0,MAX(0,1-(Ayarlar!$B$2*ABS(Bitkiler!$D$63-Topraklar!$D$22)+Ayarlar!$B$3*ABS(Bitkiler!$E$63-Topraklar!$E$22)+Ayarlar!$B$4*ABS(Bitkiler!$F$63-Topraklar!$F$22)+Ayarlar!$B$5*ABS(Bitkiler!$G$63-Topraklar!$G$22)+Ayarlar!$B$6*IF(Bitkiler!$H$63=Topraklar!$H$22,0,1))/Ayarlar!$B$7)+IF(Topraklar!$K$22=Bitkiler!$C$63,0.002,IF(Topraklar!$L$22="Evet",0.001,0)))</f>
        <v/>
      </c>
      <c r="W64" s="16">
        <f>IF(OR(Topraklar!$J$23="Evet",AND(Topraklar!$L$23&lt;&gt;"Evet",Topraklar!$K$23&lt;&gt;Bitkiler!$C$63)),0,MAX(0,1-(Ayarlar!$B$2*ABS(Bitkiler!$D$63-Topraklar!$D$23)+Ayarlar!$B$3*ABS(Bitkiler!$E$63-Topraklar!$E$23)+Ayarlar!$B$4*ABS(Bitkiler!$F$63-Topraklar!$F$23)+Ayarlar!$B$5*ABS(Bitkiler!$G$63-Topraklar!$G$23)+Ayarlar!$B$6*IF(Bitkiler!$H$63=Topraklar!$H$23,0,1))/Ayarlar!$B$7)+IF(Topraklar!$K$23=Bitkiler!$C$63,0.002,IF(Topraklar!$L$23="Evet",0.001,0)))</f>
        <v/>
      </c>
      <c r="X64" s="16">
        <f>IF(OR(Topraklar!$J$24="Evet",AND(Topraklar!$L$24&lt;&gt;"Evet",Topraklar!$K$24&lt;&gt;Bitkiler!$C$63)),0,MAX(0,1-(Ayarlar!$B$2*ABS(Bitkiler!$D$63-Topraklar!$D$24)+Ayarlar!$B$3*ABS(Bitkiler!$E$63-Topraklar!$E$24)+Ayarlar!$B$4*ABS(Bitkiler!$F$63-Topraklar!$F$24)+Ayarlar!$B$5*ABS(Bitkiler!$G$63-Topraklar!$G$24)+Ayarlar!$B$6*IF(Bitkiler!$H$63=Topraklar!$H$24,0,1))/Ayarlar!$B$7)+IF(Topraklar!$K$24=Bitkiler!$C$63,0.002,IF(Topraklar!$L$24="Evet",0.001,0)))</f>
        <v/>
      </c>
      <c r="Y64" s="16">
        <f>IF(OR(Topraklar!$J$25="Evet",AND(Topraklar!$L$25&lt;&gt;"Evet",Topraklar!$K$25&lt;&gt;Bitkiler!$C$63)),0,MAX(0,1-(Ayarlar!$B$2*ABS(Bitkiler!$D$63-Topraklar!$D$25)+Ayarlar!$B$3*ABS(Bitkiler!$E$63-Topraklar!$E$25)+Ayarlar!$B$4*ABS(Bitkiler!$F$63-Topraklar!$F$25)+Ayarlar!$B$5*ABS(Bitkiler!$G$63-Topraklar!$G$25)+Ayarlar!$B$6*IF(Bitkiler!$H$63=Topraklar!$H$25,0,1))/Ayarlar!$B$7)+IF(Topraklar!$K$25=Bitkiler!$C$63,0.002,IF(Topraklar!$L$25="Evet",0.001,0)))</f>
        <v/>
      </c>
      <c r="Z64" s="16">
        <f>IF(OR(Topraklar!$J$26="Evet",AND(Topraklar!$L$26&lt;&gt;"Evet",Topraklar!$K$26&lt;&gt;Bitkiler!$C$63)),0,MAX(0,1-(Ayarlar!$B$2*ABS(Bitkiler!$D$63-Topraklar!$D$26)+Ayarlar!$B$3*ABS(Bitkiler!$E$63-Topraklar!$E$26)+Ayarlar!$B$4*ABS(Bitkiler!$F$63-Topraklar!$F$26)+Ayarlar!$B$5*ABS(Bitkiler!$G$63-Topraklar!$G$26)+Ayarlar!$B$6*IF(Bitkiler!$H$63=Topraklar!$H$26,0,1))/Ayarlar!$B$7)+IF(Topraklar!$K$26=Bitkiler!$C$63,0.002,IF(Topraklar!$L$26="Evet",0.001,0)))</f>
        <v/>
      </c>
      <c r="AA64" s="16">
        <f>IF(OR(Topraklar!$J$27="Evet",AND(Topraklar!$L$27&lt;&gt;"Evet",Topraklar!$K$27&lt;&gt;Bitkiler!$C$63)),0,MAX(0,1-(Ayarlar!$B$2*ABS(Bitkiler!$D$63-Topraklar!$D$27)+Ayarlar!$B$3*ABS(Bitkiler!$E$63-Topraklar!$E$27)+Ayarlar!$B$4*ABS(Bitkiler!$F$63-Topraklar!$F$27)+Ayarlar!$B$5*ABS(Bitkiler!$G$63-Topraklar!$G$27)+Ayarlar!$B$6*IF(Bitkiler!$H$63=Topraklar!$H$27,0,1))/Ayarlar!$B$7)+IF(Topraklar!$K$27=Bitkiler!$C$63,0.002,IF(Topraklar!$L$27="Evet",0.001,0)))</f>
        <v/>
      </c>
      <c r="AB64" s="16">
        <f>IF(OR(Topraklar!$J$28="Evet",AND(Topraklar!$L$28&lt;&gt;"Evet",Topraklar!$K$28&lt;&gt;Bitkiler!$C$63)),0,MAX(0,1-(Ayarlar!$B$2*ABS(Bitkiler!$D$63-Topraklar!$D$28)+Ayarlar!$B$3*ABS(Bitkiler!$E$63-Topraklar!$E$28)+Ayarlar!$B$4*ABS(Bitkiler!$F$63-Topraklar!$F$28)+Ayarlar!$B$5*ABS(Bitkiler!$G$63-Topraklar!$G$28)+Ayarlar!$B$6*IF(Bitkiler!$H$63=Topraklar!$H$28,0,1))/Ayarlar!$B$7)+IF(Topraklar!$K$28=Bitkiler!$C$63,0.002,IF(Topraklar!$L$28="Evet",0.001,0)))</f>
        <v/>
      </c>
      <c r="AC64" s="16">
        <f>IF(OR(Topraklar!$J$29="Evet",AND(Topraklar!$L$29&lt;&gt;"Evet",Topraklar!$K$29&lt;&gt;Bitkiler!$C$63)),0,MAX(0,1-(Ayarlar!$B$2*ABS(Bitkiler!$D$63-Topraklar!$D$29)+Ayarlar!$B$3*ABS(Bitkiler!$E$63-Topraklar!$E$29)+Ayarlar!$B$4*ABS(Bitkiler!$F$63-Topraklar!$F$29)+Ayarlar!$B$5*ABS(Bitkiler!$G$63-Topraklar!$G$29)+Ayarlar!$B$6*IF(Bitkiler!$H$63=Topraklar!$H$29,0,1))/Ayarlar!$B$7)+IF(Topraklar!$K$29=Bitkiler!$C$63,0.002,IF(Topraklar!$L$29="Evet",0.001,0)))</f>
        <v/>
      </c>
      <c r="AD64" s="16">
        <f>IF(OR(Topraklar!$J$30="Evet",AND(Topraklar!$L$30&lt;&gt;"Evet",Topraklar!$K$30&lt;&gt;Bitkiler!$C$63)),0,MAX(0,1-(Ayarlar!$B$2*ABS(Bitkiler!$D$63-Topraklar!$D$30)+Ayarlar!$B$3*ABS(Bitkiler!$E$63-Topraklar!$E$30)+Ayarlar!$B$4*ABS(Bitkiler!$F$63-Topraklar!$F$30)+Ayarlar!$B$5*ABS(Bitkiler!$G$63-Topraklar!$G$30)+Ayarlar!$B$6*IF(Bitkiler!$H$63=Topraklar!$H$30,0,1))/Ayarlar!$B$7)+IF(Topraklar!$K$30=Bitkiler!$C$63,0.002,IF(Topraklar!$L$30="Evet",0.001,0)))</f>
        <v/>
      </c>
      <c r="AE64" s="16">
        <f>IF(OR(Topraklar!$J$31="Evet",AND(Topraklar!$L$31&lt;&gt;"Evet",Topraklar!$K$31&lt;&gt;Bitkiler!$C$63)),0,MAX(0,1-(Ayarlar!$B$2*ABS(Bitkiler!$D$63-Topraklar!$D$31)+Ayarlar!$B$3*ABS(Bitkiler!$E$63-Topraklar!$E$31)+Ayarlar!$B$4*ABS(Bitkiler!$F$63-Topraklar!$F$31)+Ayarlar!$B$5*ABS(Bitkiler!$G$63-Topraklar!$G$31)+Ayarlar!$B$6*IF(Bitkiler!$H$63=Topraklar!$H$31,0,1))/Ayarlar!$B$7)+IF(Topraklar!$K$31=Bitkiler!$C$63,0.002,IF(Topraklar!$L$31="Evet",0.001,0)))</f>
        <v/>
      </c>
      <c r="AF64" s="16">
        <f>IF(OR(Topraklar!$J$32="Evet",AND(Topraklar!$L$32&lt;&gt;"Evet",Topraklar!$K$32&lt;&gt;Bitkiler!$C$63)),0,MAX(0,1-(Ayarlar!$B$2*ABS(Bitkiler!$D$63-Topraklar!$D$32)+Ayarlar!$B$3*ABS(Bitkiler!$E$63-Topraklar!$E$32)+Ayarlar!$B$4*ABS(Bitkiler!$F$63-Topraklar!$F$32)+Ayarlar!$B$5*ABS(Bitkiler!$G$63-Topraklar!$G$32)+Ayarlar!$B$6*IF(Bitkiler!$H$63=Topraklar!$H$32,0,1))/Ayarlar!$B$7)+IF(Topraklar!$K$32=Bitkiler!$C$63,0.002,IF(Topraklar!$L$32="Evet",0.001,0)))</f>
        <v/>
      </c>
      <c r="AG64" s="16">
        <f>IF(OR(Topraklar!$J$33="Evet",AND(Topraklar!$L$33&lt;&gt;"Evet",Topraklar!$K$33&lt;&gt;Bitkiler!$C$63)),0,MAX(0,1-(Ayarlar!$B$2*ABS(Bitkiler!$D$63-Topraklar!$D$33)+Ayarlar!$B$3*ABS(Bitkiler!$E$63-Topraklar!$E$33)+Ayarlar!$B$4*ABS(Bitkiler!$F$63-Topraklar!$F$33)+Ayarlar!$B$5*ABS(Bitkiler!$G$63-Topraklar!$G$33)+Ayarlar!$B$6*IF(Bitkiler!$H$63=Topraklar!$H$33,0,1))/Ayarlar!$B$7)+IF(Topraklar!$K$33=Bitkiler!$C$63,0.002,IF(Topraklar!$L$33="Evet",0.001,0)))</f>
        <v/>
      </c>
      <c r="AH64" s="16">
        <f>IF(OR(Topraklar!$J$34="Evet",AND(Topraklar!$L$34&lt;&gt;"Evet",Topraklar!$K$34&lt;&gt;Bitkiler!$C$63)),0,MAX(0,1-(Ayarlar!$B$2*ABS(Bitkiler!$D$63-Topraklar!$D$34)+Ayarlar!$B$3*ABS(Bitkiler!$E$63-Topraklar!$E$34)+Ayarlar!$B$4*ABS(Bitkiler!$F$63-Topraklar!$F$34)+Ayarlar!$B$5*ABS(Bitkiler!$G$63-Topraklar!$G$34)+Ayarlar!$B$6*IF(Bitkiler!$H$63=Topraklar!$H$34,0,1))/Ayarlar!$B$7)+IF(Topraklar!$K$34=Bitkiler!$C$63,0.002,IF(Topraklar!$L$34="Evet",0.001,0)))</f>
        <v/>
      </c>
      <c r="AI64" s="16">
        <f>IF(OR(Topraklar!$J$35="Evet",AND(Topraklar!$L$35&lt;&gt;"Evet",Topraklar!$K$35&lt;&gt;Bitkiler!$C$63)),0,MAX(0,1-(Ayarlar!$B$2*ABS(Bitkiler!$D$63-Topraklar!$D$35)+Ayarlar!$B$3*ABS(Bitkiler!$E$63-Topraklar!$E$35)+Ayarlar!$B$4*ABS(Bitkiler!$F$63-Topraklar!$F$35)+Ayarlar!$B$5*ABS(Bitkiler!$G$63-Topraklar!$G$35)+Ayarlar!$B$6*IF(Bitkiler!$H$63=Topraklar!$H$35,0,1))/Ayarlar!$B$7)+IF(Topraklar!$K$35=Bitkiler!$C$63,0.002,IF(Topraklar!$L$35="Evet",0.001,0)))</f>
        <v/>
      </c>
      <c r="AJ64" s="16">
        <f>IF(OR(Topraklar!$J$36="Evet",AND(Topraklar!$L$36&lt;&gt;"Evet",Topraklar!$K$36&lt;&gt;Bitkiler!$C$63)),0,MAX(0,1-(Ayarlar!$B$2*ABS(Bitkiler!$D$63-Topraklar!$D$36)+Ayarlar!$B$3*ABS(Bitkiler!$E$63-Topraklar!$E$36)+Ayarlar!$B$4*ABS(Bitkiler!$F$63-Topraklar!$F$36)+Ayarlar!$B$5*ABS(Bitkiler!$G$63-Topraklar!$G$36)+Ayarlar!$B$6*IF(Bitkiler!$H$63=Topraklar!$H$36,0,1))/Ayarlar!$B$7)+IF(Topraklar!$K$36=Bitkiler!$C$63,0.002,IF(Topraklar!$L$36="Evet",0.001,0)))</f>
        <v/>
      </c>
      <c r="AK64" s="16">
        <f>IF(OR(Topraklar!$J$37="Evet",AND(Topraklar!$L$37&lt;&gt;"Evet",Topraklar!$K$37&lt;&gt;Bitkiler!$C$63)),0,MAX(0,1-(Ayarlar!$B$2*ABS(Bitkiler!$D$63-Topraklar!$D$37)+Ayarlar!$B$3*ABS(Bitkiler!$E$63-Topraklar!$E$37)+Ayarlar!$B$4*ABS(Bitkiler!$F$63-Topraklar!$F$37)+Ayarlar!$B$5*ABS(Bitkiler!$G$63-Topraklar!$G$37)+Ayarlar!$B$6*IF(Bitkiler!$H$63=Topraklar!$H$37,0,1))/Ayarlar!$B$7)+IF(Topraklar!$K$37=Bitkiler!$C$63,0.002,IF(Topraklar!$L$37="Evet",0.001,0)))</f>
        <v/>
      </c>
      <c r="AL64" s="16">
        <f>IF(OR(Topraklar!$J$38="Evet",AND(Topraklar!$L$38&lt;&gt;"Evet",Topraklar!$K$38&lt;&gt;Bitkiler!$C$63)),0,MAX(0,1-(Ayarlar!$B$2*ABS(Bitkiler!$D$63-Topraklar!$D$38)+Ayarlar!$B$3*ABS(Bitkiler!$E$63-Topraklar!$E$38)+Ayarlar!$B$4*ABS(Bitkiler!$F$63-Topraklar!$F$38)+Ayarlar!$B$5*ABS(Bitkiler!$G$63-Topraklar!$G$38)+Ayarlar!$B$6*IF(Bitkiler!$H$63=Topraklar!$H$38,0,1))/Ayarlar!$B$7)+IF(Topraklar!$K$38=Bitkiler!$C$63,0.002,IF(Topraklar!$L$38="Evet",0.001,0)))</f>
        <v/>
      </c>
      <c r="AM64" s="16">
        <f>IF(OR(Topraklar!$J$39="Evet",AND(Topraklar!$L$39&lt;&gt;"Evet",Topraklar!$K$39&lt;&gt;Bitkiler!$C$63)),0,MAX(0,1-(Ayarlar!$B$2*ABS(Bitkiler!$D$63-Topraklar!$D$39)+Ayarlar!$B$3*ABS(Bitkiler!$E$63-Topraklar!$E$39)+Ayarlar!$B$4*ABS(Bitkiler!$F$63-Topraklar!$F$39)+Ayarlar!$B$5*ABS(Bitkiler!$G$63-Topraklar!$G$39)+Ayarlar!$B$6*IF(Bitkiler!$H$63=Topraklar!$H$39,0,1))/Ayarlar!$B$7)+IF(Topraklar!$K$39=Bitkiler!$C$63,0.002,IF(Topraklar!$L$39="Evet",0.001,0)))</f>
        <v/>
      </c>
      <c r="AN64" s="16">
        <f>IF(OR(Topraklar!$J$40="Evet",AND(Topraklar!$L$40&lt;&gt;"Evet",Topraklar!$K$40&lt;&gt;Bitkiler!$C$63)),0,MAX(0,1-(Ayarlar!$B$2*ABS(Bitkiler!$D$63-Topraklar!$D$40)+Ayarlar!$B$3*ABS(Bitkiler!$E$63-Topraklar!$E$40)+Ayarlar!$B$4*ABS(Bitkiler!$F$63-Topraklar!$F$40)+Ayarlar!$B$5*ABS(Bitkiler!$G$63-Topraklar!$G$40)+Ayarlar!$B$6*IF(Bitkiler!$H$63=Topraklar!$H$40,0,1))/Ayarlar!$B$7)+IF(Topraklar!$K$40=Bitkiler!$C$63,0.002,IF(Topraklar!$L$40="Evet",0.001,0)))</f>
        <v/>
      </c>
      <c r="AO64" s="16">
        <f>IF(OR(Topraklar!$J$41="Evet",AND(Topraklar!$L$41&lt;&gt;"Evet",Topraklar!$K$41&lt;&gt;Bitkiler!$C$63)),0,MAX(0,1-(Ayarlar!$B$2*ABS(Bitkiler!$D$63-Topraklar!$D$41)+Ayarlar!$B$3*ABS(Bitkiler!$E$63-Topraklar!$E$41)+Ayarlar!$B$4*ABS(Bitkiler!$F$63-Topraklar!$F$41)+Ayarlar!$B$5*ABS(Bitkiler!$G$63-Topraklar!$G$41)+Ayarlar!$B$6*IF(Bitkiler!$H$63=Topraklar!$H$41,0,1))/Ayarlar!$B$7)+IF(Topraklar!$K$41=Bitkiler!$C$63,0.002,IF(Topraklar!$L$41="Evet",0.001,0)))</f>
        <v/>
      </c>
      <c r="AP64" s="16">
        <f>IF(OR(Topraklar!$J$42="Evet",AND(Topraklar!$L$42&lt;&gt;"Evet",Topraklar!$K$42&lt;&gt;Bitkiler!$C$63)),0,MAX(0,1-(Ayarlar!$B$2*ABS(Bitkiler!$D$63-Topraklar!$D$42)+Ayarlar!$B$3*ABS(Bitkiler!$E$63-Topraklar!$E$42)+Ayarlar!$B$4*ABS(Bitkiler!$F$63-Topraklar!$F$42)+Ayarlar!$B$5*ABS(Bitkiler!$G$63-Topraklar!$G$42)+Ayarlar!$B$6*IF(Bitkiler!$H$63=Topraklar!$H$42,0,1))/Ayarlar!$B$7)+IF(Topraklar!$K$42=Bitkiler!$C$63,0.002,IF(Topraklar!$L$42="Evet",0.001,0)))</f>
        <v/>
      </c>
      <c r="AQ64" s="16">
        <f>IF(OR(Topraklar!$J$43="Evet",AND(Topraklar!$L$43&lt;&gt;"Evet",Topraklar!$K$43&lt;&gt;Bitkiler!$C$63)),0,MAX(0,1-(Ayarlar!$B$2*ABS(Bitkiler!$D$63-Topraklar!$D$43)+Ayarlar!$B$3*ABS(Bitkiler!$E$63-Topraklar!$E$43)+Ayarlar!$B$4*ABS(Bitkiler!$F$63-Topraklar!$F$43)+Ayarlar!$B$5*ABS(Bitkiler!$G$63-Topraklar!$G$43)+Ayarlar!$B$6*IF(Bitkiler!$H$63=Topraklar!$H$43,0,1))/Ayarlar!$B$7)+IF(Topraklar!$K$43=Bitkiler!$C$63,0.002,IF(Topraklar!$L$43="Evet",0.001,0)))</f>
        <v/>
      </c>
      <c r="AR64" s="16">
        <f>IF(OR(Topraklar!$J$44="Evet",AND(Topraklar!$L$44&lt;&gt;"Evet",Topraklar!$K$44&lt;&gt;Bitkiler!$C$63)),0,MAX(0,1-(Ayarlar!$B$2*ABS(Bitkiler!$D$63-Topraklar!$D$44)+Ayarlar!$B$3*ABS(Bitkiler!$E$63-Topraklar!$E$44)+Ayarlar!$B$4*ABS(Bitkiler!$F$63-Topraklar!$F$44)+Ayarlar!$B$5*ABS(Bitkiler!$G$63-Topraklar!$G$44)+Ayarlar!$B$6*IF(Bitkiler!$H$63=Topraklar!$H$44,0,1))/Ayarlar!$B$7)+IF(Topraklar!$K$44=Bitkiler!$C$63,0.002,IF(Topraklar!$L$44="Evet",0.001,0)))</f>
        <v/>
      </c>
      <c r="AS64" s="16">
        <f>IF(OR(Topraklar!$J$45="Evet",AND(Topraklar!$L$45&lt;&gt;"Evet",Topraklar!$K$45&lt;&gt;Bitkiler!$C$63)),0,MAX(0,1-(Ayarlar!$B$2*ABS(Bitkiler!$D$63-Topraklar!$D$45)+Ayarlar!$B$3*ABS(Bitkiler!$E$63-Topraklar!$E$45)+Ayarlar!$B$4*ABS(Bitkiler!$F$63-Topraklar!$F$45)+Ayarlar!$B$5*ABS(Bitkiler!$G$63-Topraklar!$G$45)+Ayarlar!$B$6*IF(Bitkiler!$H$63=Topraklar!$H$45,0,1))/Ayarlar!$B$7)+IF(Topraklar!$K$45=Bitkiler!$C$63,0.002,IF(Topraklar!$L$45="Evet",0.001,0)))</f>
        <v/>
      </c>
      <c r="AT64" s="16">
        <f>IF(OR(Topraklar!$J$46="Evet",AND(Topraklar!$L$46&lt;&gt;"Evet",Topraklar!$K$46&lt;&gt;Bitkiler!$C$63)),0,MAX(0,1-(Ayarlar!$B$2*ABS(Bitkiler!$D$63-Topraklar!$D$46)+Ayarlar!$B$3*ABS(Bitkiler!$E$63-Topraklar!$E$46)+Ayarlar!$B$4*ABS(Bitkiler!$F$63-Topraklar!$F$46)+Ayarlar!$B$5*ABS(Bitkiler!$G$63-Topraklar!$G$46)+Ayarlar!$B$6*IF(Bitkiler!$H$63=Topraklar!$H$46,0,1))/Ayarlar!$B$7)+IF(Topraklar!$K$46=Bitkiler!$C$63,0.002,IF(Topraklar!$L$46="Evet",0.001,0)))</f>
        <v/>
      </c>
      <c r="AU64" s="16">
        <f>IF(OR(Topraklar!$J$47="Evet",AND(Topraklar!$L$47&lt;&gt;"Evet",Topraklar!$K$47&lt;&gt;Bitkiler!$C$63)),0,MAX(0,1-(Ayarlar!$B$2*ABS(Bitkiler!$D$63-Topraklar!$D$47)+Ayarlar!$B$3*ABS(Bitkiler!$E$63-Topraklar!$E$47)+Ayarlar!$B$4*ABS(Bitkiler!$F$63-Topraklar!$F$47)+Ayarlar!$B$5*ABS(Bitkiler!$G$63-Topraklar!$G$47)+Ayarlar!$B$6*IF(Bitkiler!$H$63=Topraklar!$H$47,0,1))/Ayarlar!$B$7)+IF(Topraklar!$K$47=Bitkiler!$C$63,0.002,IF(Topraklar!$L$47="Evet",0.001,0)))</f>
        <v/>
      </c>
      <c r="AV64" s="16">
        <f>IF(OR(Topraklar!$J$48="Evet",AND(Topraklar!$L$48&lt;&gt;"Evet",Topraklar!$K$48&lt;&gt;Bitkiler!$C$63)),0,MAX(0,1-(Ayarlar!$B$2*ABS(Bitkiler!$D$63-Topraklar!$D$48)+Ayarlar!$B$3*ABS(Bitkiler!$E$63-Topraklar!$E$48)+Ayarlar!$B$4*ABS(Bitkiler!$F$63-Topraklar!$F$48)+Ayarlar!$B$5*ABS(Bitkiler!$G$63-Topraklar!$G$48)+Ayarlar!$B$6*IF(Bitkiler!$H$63=Topraklar!$H$48,0,1))/Ayarlar!$B$7)+IF(Topraklar!$K$48=Bitkiler!$C$63,0.002,IF(Topraklar!$L$48="Evet",0.001,0)))</f>
        <v/>
      </c>
      <c r="AW64" s="16">
        <f>IF(OR(Topraklar!$J$49="Evet",AND(Topraklar!$L$49&lt;&gt;"Evet",Topraklar!$K$49&lt;&gt;Bitkiler!$C$63)),0,MAX(0,1-(Ayarlar!$B$2*ABS(Bitkiler!$D$63-Topraklar!$D$49)+Ayarlar!$B$3*ABS(Bitkiler!$E$63-Topraklar!$E$49)+Ayarlar!$B$4*ABS(Bitkiler!$F$63-Topraklar!$F$49)+Ayarlar!$B$5*ABS(Bitkiler!$G$63-Topraklar!$G$49)+Ayarlar!$B$6*IF(Bitkiler!$H$63=Topraklar!$H$49,0,1))/Ayarlar!$B$7)+IF(Topraklar!$K$49=Bitkiler!$C$63,0.002,IF(Topraklar!$L$49="Evet",0.001,0)))</f>
        <v/>
      </c>
      <c r="AX64" s="16">
        <f>IF(OR(Topraklar!$J$50="Evet",AND(Topraklar!$L$50&lt;&gt;"Evet",Topraklar!$K$50&lt;&gt;Bitkiler!$C$63)),0,MAX(0,1-(Ayarlar!$B$2*ABS(Bitkiler!$D$63-Topraklar!$D$50)+Ayarlar!$B$3*ABS(Bitkiler!$E$63-Topraklar!$E$50)+Ayarlar!$B$4*ABS(Bitkiler!$F$63-Topraklar!$F$50)+Ayarlar!$B$5*ABS(Bitkiler!$G$63-Topraklar!$G$50)+Ayarlar!$B$6*IF(Bitkiler!$H$63=Topraklar!$H$50,0,1))/Ayarlar!$B$7)+IF(Topraklar!$K$50=Bitkiler!$C$63,0.002,IF(Topraklar!$L$50="Evet",0.001,0)))</f>
        <v/>
      </c>
      <c r="AY64" s="16">
        <f>IF(OR(Topraklar!$J$51="Evet",AND(Topraklar!$L$51&lt;&gt;"Evet",Topraklar!$K$51&lt;&gt;Bitkiler!$C$63)),0,MAX(0,1-(Ayarlar!$B$2*ABS(Bitkiler!$D$63-Topraklar!$D$51)+Ayarlar!$B$3*ABS(Bitkiler!$E$63-Topraklar!$E$51)+Ayarlar!$B$4*ABS(Bitkiler!$F$63-Topraklar!$F$51)+Ayarlar!$B$5*ABS(Bitkiler!$G$63-Topraklar!$G$51)+Ayarlar!$B$6*IF(Bitkiler!$H$63=Topraklar!$H$51,0,1))/Ayarlar!$B$7)+IF(Topraklar!$K$51=Bitkiler!$C$63,0.002,IF(Topraklar!$L$51="Evet",0.001,0)))</f>
        <v/>
      </c>
    </row>
    <row r="65">
      <c r="A65" s="15">
        <f>Bitkiler!A64</f>
        <v/>
      </c>
      <c r="B65" s="16">
        <f>IF(OR(Topraklar!$J$2="Evet",AND(Topraklar!$L$2&lt;&gt;"Evet",Topraklar!$K$2&lt;&gt;Bitkiler!$C$64)),0,MAX(0,1-(Ayarlar!$B$2*ABS(Bitkiler!$D$64-Topraklar!$D$2)+Ayarlar!$B$3*ABS(Bitkiler!$E$64-Topraklar!$E$2)+Ayarlar!$B$4*ABS(Bitkiler!$F$64-Topraklar!$F$2)+Ayarlar!$B$5*ABS(Bitkiler!$G$64-Topraklar!$G$2)+Ayarlar!$B$6*IF(Bitkiler!$H$64=Topraklar!$H$2,0,1))/Ayarlar!$B$7)+IF(Topraklar!$K$2=Bitkiler!$C$64,0.002,IF(Topraklar!$L$2="Evet",0.001,0)))</f>
        <v/>
      </c>
      <c r="C65" s="16">
        <f>IF(OR(Topraklar!$J$3="Evet",AND(Topraklar!$L$3&lt;&gt;"Evet",Topraklar!$K$3&lt;&gt;Bitkiler!$C$64)),0,MAX(0,1-(Ayarlar!$B$2*ABS(Bitkiler!$D$64-Topraklar!$D$3)+Ayarlar!$B$3*ABS(Bitkiler!$E$64-Topraklar!$E$3)+Ayarlar!$B$4*ABS(Bitkiler!$F$64-Topraklar!$F$3)+Ayarlar!$B$5*ABS(Bitkiler!$G$64-Topraklar!$G$3)+Ayarlar!$B$6*IF(Bitkiler!$H$64=Topraklar!$H$3,0,1))/Ayarlar!$B$7)+IF(Topraklar!$K$3=Bitkiler!$C$64,0.002,IF(Topraklar!$L$3="Evet",0.001,0)))</f>
        <v/>
      </c>
      <c r="D65" s="16">
        <f>IF(OR(Topraklar!$J$4="Evet",AND(Topraklar!$L$4&lt;&gt;"Evet",Topraklar!$K$4&lt;&gt;Bitkiler!$C$64)),0,MAX(0,1-(Ayarlar!$B$2*ABS(Bitkiler!$D$64-Topraklar!$D$4)+Ayarlar!$B$3*ABS(Bitkiler!$E$64-Topraklar!$E$4)+Ayarlar!$B$4*ABS(Bitkiler!$F$64-Topraklar!$F$4)+Ayarlar!$B$5*ABS(Bitkiler!$G$64-Topraklar!$G$4)+Ayarlar!$B$6*IF(Bitkiler!$H$64=Topraklar!$H$4,0,1))/Ayarlar!$B$7)+IF(Topraklar!$K$4=Bitkiler!$C$64,0.002,IF(Topraklar!$L$4="Evet",0.001,0)))</f>
        <v/>
      </c>
      <c r="E65" s="16">
        <f>IF(OR(Topraklar!$J$5="Evet",AND(Topraklar!$L$5&lt;&gt;"Evet",Topraklar!$K$5&lt;&gt;Bitkiler!$C$64)),0,MAX(0,1-(Ayarlar!$B$2*ABS(Bitkiler!$D$64-Topraklar!$D$5)+Ayarlar!$B$3*ABS(Bitkiler!$E$64-Topraklar!$E$5)+Ayarlar!$B$4*ABS(Bitkiler!$F$64-Topraklar!$F$5)+Ayarlar!$B$5*ABS(Bitkiler!$G$64-Topraklar!$G$5)+Ayarlar!$B$6*IF(Bitkiler!$H$64=Topraklar!$H$5,0,1))/Ayarlar!$B$7)+IF(Topraklar!$K$5=Bitkiler!$C$64,0.002,IF(Topraklar!$L$5="Evet",0.001,0)))</f>
        <v/>
      </c>
      <c r="F65" s="16">
        <f>IF(OR(Topraklar!$J$6="Evet",AND(Topraklar!$L$6&lt;&gt;"Evet",Topraklar!$K$6&lt;&gt;Bitkiler!$C$64)),0,MAX(0,1-(Ayarlar!$B$2*ABS(Bitkiler!$D$64-Topraklar!$D$6)+Ayarlar!$B$3*ABS(Bitkiler!$E$64-Topraklar!$E$6)+Ayarlar!$B$4*ABS(Bitkiler!$F$64-Topraklar!$F$6)+Ayarlar!$B$5*ABS(Bitkiler!$G$64-Topraklar!$G$6)+Ayarlar!$B$6*IF(Bitkiler!$H$64=Topraklar!$H$6,0,1))/Ayarlar!$B$7)+IF(Topraklar!$K$6=Bitkiler!$C$64,0.002,IF(Topraklar!$L$6="Evet",0.001,0)))</f>
        <v/>
      </c>
      <c r="G65" s="16">
        <f>IF(OR(Topraklar!$J$7="Evet",AND(Topraklar!$L$7&lt;&gt;"Evet",Topraklar!$K$7&lt;&gt;Bitkiler!$C$64)),0,MAX(0,1-(Ayarlar!$B$2*ABS(Bitkiler!$D$64-Topraklar!$D$7)+Ayarlar!$B$3*ABS(Bitkiler!$E$64-Topraklar!$E$7)+Ayarlar!$B$4*ABS(Bitkiler!$F$64-Topraklar!$F$7)+Ayarlar!$B$5*ABS(Bitkiler!$G$64-Topraklar!$G$7)+Ayarlar!$B$6*IF(Bitkiler!$H$64=Topraklar!$H$7,0,1))/Ayarlar!$B$7)+IF(Topraklar!$K$7=Bitkiler!$C$64,0.002,IF(Topraklar!$L$7="Evet",0.001,0)))</f>
        <v/>
      </c>
      <c r="H65" s="16">
        <f>IF(OR(Topraklar!$J$8="Evet",AND(Topraklar!$L$8&lt;&gt;"Evet",Topraklar!$K$8&lt;&gt;Bitkiler!$C$64)),0,MAX(0,1-(Ayarlar!$B$2*ABS(Bitkiler!$D$64-Topraklar!$D$8)+Ayarlar!$B$3*ABS(Bitkiler!$E$64-Topraklar!$E$8)+Ayarlar!$B$4*ABS(Bitkiler!$F$64-Topraklar!$F$8)+Ayarlar!$B$5*ABS(Bitkiler!$G$64-Topraklar!$G$8)+Ayarlar!$B$6*IF(Bitkiler!$H$64=Topraklar!$H$8,0,1))/Ayarlar!$B$7)+IF(Topraklar!$K$8=Bitkiler!$C$64,0.002,IF(Topraklar!$L$8="Evet",0.001,0)))</f>
        <v/>
      </c>
      <c r="I65" s="16">
        <f>IF(OR(Topraklar!$J$9="Evet",AND(Topraklar!$L$9&lt;&gt;"Evet",Topraklar!$K$9&lt;&gt;Bitkiler!$C$64)),0,MAX(0,1-(Ayarlar!$B$2*ABS(Bitkiler!$D$64-Topraklar!$D$9)+Ayarlar!$B$3*ABS(Bitkiler!$E$64-Topraklar!$E$9)+Ayarlar!$B$4*ABS(Bitkiler!$F$64-Topraklar!$F$9)+Ayarlar!$B$5*ABS(Bitkiler!$G$64-Topraklar!$G$9)+Ayarlar!$B$6*IF(Bitkiler!$H$64=Topraklar!$H$9,0,1))/Ayarlar!$B$7)+IF(Topraklar!$K$9=Bitkiler!$C$64,0.002,IF(Topraklar!$L$9="Evet",0.001,0)))</f>
        <v/>
      </c>
      <c r="J65" s="16">
        <f>IF(OR(Topraklar!$J$10="Evet",AND(Topraklar!$L$10&lt;&gt;"Evet",Topraklar!$K$10&lt;&gt;Bitkiler!$C$64)),0,MAX(0,1-(Ayarlar!$B$2*ABS(Bitkiler!$D$64-Topraklar!$D$10)+Ayarlar!$B$3*ABS(Bitkiler!$E$64-Topraklar!$E$10)+Ayarlar!$B$4*ABS(Bitkiler!$F$64-Topraklar!$F$10)+Ayarlar!$B$5*ABS(Bitkiler!$G$64-Topraklar!$G$10)+Ayarlar!$B$6*IF(Bitkiler!$H$64=Topraklar!$H$10,0,1))/Ayarlar!$B$7)+IF(Topraklar!$K$10=Bitkiler!$C$64,0.002,IF(Topraklar!$L$10="Evet",0.001,0)))</f>
        <v/>
      </c>
      <c r="K65" s="16">
        <f>IF(OR(Topraklar!$J$11="Evet",AND(Topraklar!$L$11&lt;&gt;"Evet",Topraklar!$K$11&lt;&gt;Bitkiler!$C$64)),0,MAX(0,1-(Ayarlar!$B$2*ABS(Bitkiler!$D$64-Topraklar!$D$11)+Ayarlar!$B$3*ABS(Bitkiler!$E$64-Topraklar!$E$11)+Ayarlar!$B$4*ABS(Bitkiler!$F$64-Topraklar!$F$11)+Ayarlar!$B$5*ABS(Bitkiler!$G$64-Topraklar!$G$11)+Ayarlar!$B$6*IF(Bitkiler!$H$64=Topraklar!$H$11,0,1))/Ayarlar!$B$7)+IF(Topraklar!$K$11=Bitkiler!$C$64,0.002,IF(Topraklar!$L$11="Evet",0.001,0)))</f>
        <v/>
      </c>
      <c r="L65" s="16">
        <f>IF(OR(Topraklar!$J$12="Evet",AND(Topraklar!$L$12&lt;&gt;"Evet",Topraklar!$K$12&lt;&gt;Bitkiler!$C$64)),0,MAX(0,1-(Ayarlar!$B$2*ABS(Bitkiler!$D$64-Topraklar!$D$12)+Ayarlar!$B$3*ABS(Bitkiler!$E$64-Topraklar!$E$12)+Ayarlar!$B$4*ABS(Bitkiler!$F$64-Topraklar!$F$12)+Ayarlar!$B$5*ABS(Bitkiler!$G$64-Topraklar!$G$12)+Ayarlar!$B$6*IF(Bitkiler!$H$64=Topraklar!$H$12,0,1))/Ayarlar!$B$7)+IF(Topraklar!$K$12=Bitkiler!$C$64,0.002,IF(Topraklar!$L$12="Evet",0.001,0)))</f>
        <v/>
      </c>
      <c r="M65" s="16">
        <f>IF(OR(Topraklar!$J$13="Evet",AND(Topraklar!$L$13&lt;&gt;"Evet",Topraklar!$K$13&lt;&gt;Bitkiler!$C$64)),0,MAX(0,1-(Ayarlar!$B$2*ABS(Bitkiler!$D$64-Topraklar!$D$13)+Ayarlar!$B$3*ABS(Bitkiler!$E$64-Topraklar!$E$13)+Ayarlar!$B$4*ABS(Bitkiler!$F$64-Topraklar!$F$13)+Ayarlar!$B$5*ABS(Bitkiler!$G$64-Topraklar!$G$13)+Ayarlar!$B$6*IF(Bitkiler!$H$64=Topraklar!$H$13,0,1))/Ayarlar!$B$7)+IF(Topraklar!$K$13=Bitkiler!$C$64,0.002,IF(Topraklar!$L$13="Evet",0.001,0)))</f>
        <v/>
      </c>
      <c r="N65" s="16">
        <f>IF(OR(Topraklar!$J$14="Evet",AND(Topraklar!$L$14&lt;&gt;"Evet",Topraklar!$K$14&lt;&gt;Bitkiler!$C$64)),0,MAX(0,1-(Ayarlar!$B$2*ABS(Bitkiler!$D$64-Topraklar!$D$14)+Ayarlar!$B$3*ABS(Bitkiler!$E$64-Topraklar!$E$14)+Ayarlar!$B$4*ABS(Bitkiler!$F$64-Topraklar!$F$14)+Ayarlar!$B$5*ABS(Bitkiler!$G$64-Topraklar!$G$14)+Ayarlar!$B$6*IF(Bitkiler!$H$64=Topraklar!$H$14,0,1))/Ayarlar!$B$7)+IF(Topraklar!$K$14=Bitkiler!$C$64,0.002,IF(Topraklar!$L$14="Evet",0.001,0)))</f>
        <v/>
      </c>
      <c r="O65" s="16">
        <f>IF(OR(Topraklar!$J$15="Evet",AND(Topraklar!$L$15&lt;&gt;"Evet",Topraklar!$K$15&lt;&gt;Bitkiler!$C$64)),0,MAX(0,1-(Ayarlar!$B$2*ABS(Bitkiler!$D$64-Topraklar!$D$15)+Ayarlar!$B$3*ABS(Bitkiler!$E$64-Topraklar!$E$15)+Ayarlar!$B$4*ABS(Bitkiler!$F$64-Topraklar!$F$15)+Ayarlar!$B$5*ABS(Bitkiler!$G$64-Topraklar!$G$15)+Ayarlar!$B$6*IF(Bitkiler!$H$64=Topraklar!$H$15,0,1))/Ayarlar!$B$7)+IF(Topraklar!$K$15=Bitkiler!$C$64,0.002,IF(Topraklar!$L$15="Evet",0.001,0)))</f>
        <v/>
      </c>
      <c r="P65" s="16">
        <f>IF(OR(Topraklar!$J$16="Evet",AND(Topraklar!$L$16&lt;&gt;"Evet",Topraklar!$K$16&lt;&gt;Bitkiler!$C$64)),0,MAX(0,1-(Ayarlar!$B$2*ABS(Bitkiler!$D$64-Topraklar!$D$16)+Ayarlar!$B$3*ABS(Bitkiler!$E$64-Topraklar!$E$16)+Ayarlar!$B$4*ABS(Bitkiler!$F$64-Topraklar!$F$16)+Ayarlar!$B$5*ABS(Bitkiler!$G$64-Topraklar!$G$16)+Ayarlar!$B$6*IF(Bitkiler!$H$64=Topraklar!$H$16,0,1))/Ayarlar!$B$7)+IF(Topraklar!$K$16=Bitkiler!$C$64,0.002,IF(Topraklar!$L$16="Evet",0.001,0)))</f>
        <v/>
      </c>
      <c r="Q65" s="16">
        <f>IF(OR(Topraklar!$J$17="Evet",AND(Topraklar!$L$17&lt;&gt;"Evet",Topraklar!$K$17&lt;&gt;Bitkiler!$C$64)),0,MAX(0,1-(Ayarlar!$B$2*ABS(Bitkiler!$D$64-Topraklar!$D$17)+Ayarlar!$B$3*ABS(Bitkiler!$E$64-Topraklar!$E$17)+Ayarlar!$B$4*ABS(Bitkiler!$F$64-Topraklar!$F$17)+Ayarlar!$B$5*ABS(Bitkiler!$G$64-Topraklar!$G$17)+Ayarlar!$B$6*IF(Bitkiler!$H$64=Topraklar!$H$17,0,1))/Ayarlar!$B$7)+IF(Topraklar!$K$17=Bitkiler!$C$64,0.002,IF(Topraklar!$L$17="Evet",0.001,0)))</f>
        <v/>
      </c>
      <c r="R65" s="16">
        <f>IF(OR(Topraklar!$J$18="Evet",AND(Topraklar!$L$18&lt;&gt;"Evet",Topraklar!$K$18&lt;&gt;Bitkiler!$C$64)),0,MAX(0,1-(Ayarlar!$B$2*ABS(Bitkiler!$D$64-Topraklar!$D$18)+Ayarlar!$B$3*ABS(Bitkiler!$E$64-Topraklar!$E$18)+Ayarlar!$B$4*ABS(Bitkiler!$F$64-Topraklar!$F$18)+Ayarlar!$B$5*ABS(Bitkiler!$G$64-Topraklar!$G$18)+Ayarlar!$B$6*IF(Bitkiler!$H$64=Topraklar!$H$18,0,1))/Ayarlar!$B$7)+IF(Topraklar!$K$18=Bitkiler!$C$64,0.002,IF(Topraklar!$L$18="Evet",0.001,0)))</f>
        <v/>
      </c>
      <c r="S65" s="16">
        <f>IF(OR(Topraklar!$J$19="Evet",AND(Topraklar!$L$19&lt;&gt;"Evet",Topraklar!$K$19&lt;&gt;Bitkiler!$C$64)),0,MAX(0,1-(Ayarlar!$B$2*ABS(Bitkiler!$D$64-Topraklar!$D$19)+Ayarlar!$B$3*ABS(Bitkiler!$E$64-Topraklar!$E$19)+Ayarlar!$B$4*ABS(Bitkiler!$F$64-Topraklar!$F$19)+Ayarlar!$B$5*ABS(Bitkiler!$G$64-Topraklar!$G$19)+Ayarlar!$B$6*IF(Bitkiler!$H$64=Topraklar!$H$19,0,1))/Ayarlar!$B$7)+IF(Topraklar!$K$19=Bitkiler!$C$64,0.002,IF(Topraklar!$L$19="Evet",0.001,0)))</f>
        <v/>
      </c>
      <c r="T65" s="16">
        <f>IF(OR(Topraklar!$J$20="Evet",AND(Topraklar!$L$20&lt;&gt;"Evet",Topraklar!$K$20&lt;&gt;Bitkiler!$C$64)),0,MAX(0,1-(Ayarlar!$B$2*ABS(Bitkiler!$D$64-Topraklar!$D$20)+Ayarlar!$B$3*ABS(Bitkiler!$E$64-Topraklar!$E$20)+Ayarlar!$B$4*ABS(Bitkiler!$F$64-Topraklar!$F$20)+Ayarlar!$B$5*ABS(Bitkiler!$G$64-Topraklar!$G$20)+Ayarlar!$B$6*IF(Bitkiler!$H$64=Topraklar!$H$20,0,1))/Ayarlar!$B$7)+IF(Topraklar!$K$20=Bitkiler!$C$64,0.002,IF(Topraklar!$L$20="Evet",0.001,0)))</f>
        <v/>
      </c>
      <c r="U65" s="16">
        <f>IF(OR(Topraklar!$J$21="Evet",AND(Topraklar!$L$21&lt;&gt;"Evet",Topraklar!$K$21&lt;&gt;Bitkiler!$C$64)),0,MAX(0,1-(Ayarlar!$B$2*ABS(Bitkiler!$D$64-Topraklar!$D$21)+Ayarlar!$B$3*ABS(Bitkiler!$E$64-Topraklar!$E$21)+Ayarlar!$B$4*ABS(Bitkiler!$F$64-Topraklar!$F$21)+Ayarlar!$B$5*ABS(Bitkiler!$G$64-Topraklar!$G$21)+Ayarlar!$B$6*IF(Bitkiler!$H$64=Topraklar!$H$21,0,1))/Ayarlar!$B$7)+IF(Topraklar!$K$21=Bitkiler!$C$64,0.002,IF(Topraklar!$L$21="Evet",0.001,0)))</f>
        <v/>
      </c>
      <c r="V65" s="16">
        <f>IF(OR(Topraklar!$J$22="Evet",AND(Topraklar!$L$22&lt;&gt;"Evet",Topraklar!$K$22&lt;&gt;Bitkiler!$C$64)),0,MAX(0,1-(Ayarlar!$B$2*ABS(Bitkiler!$D$64-Topraklar!$D$22)+Ayarlar!$B$3*ABS(Bitkiler!$E$64-Topraklar!$E$22)+Ayarlar!$B$4*ABS(Bitkiler!$F$64-Topraklar!$F$22)+Ayarlar!$B$5*ABS(Bitkiler!$G$64-Topraklar!$G$22)+Ayarlar!$B$6*IF(Bitkiler!$H$64=Topraklar!$H$22,0,1))/Ayarlar!$B$7)+IF(Topraklar!$K$22=Bitkiler!$C$64,0.002,IF(Topraklar!$L$22="Evet",0.001,0)))</f>
        <v/>
      </c>
      <c r="W65" s="16">
        <f>IF(OR(Topraklar!$J$23="Evet",AND(Topraklar!$L$23&lt;&gt;"Evet",Topraklar!$K$23&lt;&gt;Bitkiler!$C$64)),0,MAX(0,1-(Ayarlar!$B$2*ABS(Bitkiler!$D$64-Topraklar!$D$23)+Ayarlar!$B$3*ABS(Bitkiler!$E$64-Topraklar!$E$23)+Ayarlar!$B$4*ABS(Bitkiler!$F$64-Topraklar!$F$23)+Ayarlar!$B$5*ABS(Bitkiler!$G$64-Topraklar!$G$23)+Ayarlar!$B$6*IF(Bitkiler!$H$64=Topraklar!$H$23,0,1))/Ayarlar!$B$7)+IF(Topraklar!$K$23=Bitkiler!$C$64,0.002,IF(Topraklar!$L$23="Evet",0.001,0)))</f>
        <v/>
      </c>
      <c r="X65" s="16">
        <f>IF(OR(Topraklar!$J$24="Evet",AND(Topraklar!$L$24&lt;&gt;"Evet",Topraklar!$K$24&lt;&gt;Bitkiler!$C$64)),0,MAX(0,1-(Ayarlar!$B$2*ABS(Bitkiler!$D$64-Topraklar!$D$24)+Ayarlar!$B$3*ABS(Bitkiler!$E$64-Topraklar!$E$24)+Ayarlar!$B$4*ABS(Bitkiler!$F$64-Topraklar!$F$24)+Ayarlar!$B$5*ABS(Bitkiler!$G$64-Topraklar!$G$24)+Ayarlar!$B$6*IF(Bitkiler!$H$64=Topraklar!$H$24,0,1))/Ayarlar!$B$7)+IF(Topraklar!$K$24=Bitkiler!$C$64,0.002,IF(Topraklar!$L$24="Evet",0.001,0)))</f>
        <v/>
      </c>
      <c r="Y65" s="16">
        <f>IF(OR(Topraklar!$J$25="Evet",AND(Topraklar!$L$25&lt;&gt;"Evet",Topraklar!$K$25&lt;&gt;Bitkiler!$C$64)),0,MAX(0,1-(Ayarlar!$B$2*ABS(Bitkiler!$D$64-Topraklar!$D$25)+Ayarlar!$B$3*ABS(Bitkiler!$E$64-Topraklar!$E$25)+Ayarlar!$B$4*ABS(Bitkiler!$F$64-Topraklar!$F$25)+Ayarlar!$B$5*ABS(Bitkiler!$G$64-Topraklar!$G$25)+Ayarlar!$B$6*IF(Bitkiler!$H$64=Topraklar!$H$25,0,1))/Ayarlar!$B$7)+IF(Topraklar!$K$25=Bitkiler!$C$64,0.002,IF(Topraklar!$L$25="Evet",0.001,0)))</f>
        <v/>
      </c>
      <c r="Z65" s="16">
        <f>IF(OR(Topraklar!$J$26="Evet",AND(Topraklar!$L$26&lt;&gt;"Evet",Topraklar!$K$26&lt;&gt;Bitkiler!$C$64)),0,MAX(0,1-(Ayarlar!$B$2*ABS(Bitkiler!$D$64-Topraklar!$D$26)+Ayarlar!$B$3*ABS(Bitkiler!$E$64-Topraklar!$E$26)+Ayarlar!$B$4*ABS(Bitkiler!$F$64-Topraklar!$F$26)+Ayarlar!$B$5*ABS(Bitkiler!$G$64-Topraklar!$G$26)+Ayarlar!$B$6*IF(Bitkiler!$H$64=Topraklar!$H$26,0,1))/Ayarlar!$B$7)+IF(Topraklar!$K$26=Bitkiler!$C$64,0.002,IF(Topraklar!$L$26="Evet",0.001,0)))</f>
        <v/>
      </c>
      <c r="AA65" s="16">
        <f>IF(OR(Topraklar!$J$27="Evet",AND(Topraklar!$L$27&lt;&gt;"Evet",Topraklar!$K$27&lt;&gt;Bitkiler!$C$64)),0,MAX(0,1-(Ayarlar!$B$2*ABS(Bitkiler!$D$64-Topraklar!$D$27)+Ayarlar!$B$3*ABS(Bitkiler!$E$64-Topraklar!$E$27)+Ayarlar!$B$4*ABS(Bitkiler!$F$64-Topraklar!$F$27)+Ayarlar!$B$5*ABS(Bitkiler!$G$64-Topraklar!$G$27)+Ayarlar!$B$6*IF(Bitkiler!$H$64=Topraklar!$H$27,0,1))/Ayarlar!$B$7)+IF(Topraklar!$K$27=Bitkiler!$C$64,0.002,IF(Topraklar!$L$27="Evet",0.001,0)))</f>
        <v/>
      </c>
      <c r="AB65" s="16">
        <f>IF(OR(Topraklar!$J$28="Evet",AND(Topraklar!$L$28&lt;&gt;"Evet",Topraklar!$K$28&lt;&gt;Bitkiler!$C$64)),0,MAX(0,1-(Ayarlar!$B$2*ABS(Bitkiler!$D$64-Topraklar!$D$28)+Ayarlar!$B$3*ABS(Bitkiler!$E$64-Topraklar!$E$28)+Ayarlar!$B$4*ABS(Bitkiler!$F$64-Topraklar!$F$28)+Ayarlar!$B$5*ABS(Bitkiler!$G$64-Topraklar!$G$28)+Ayarlar!$B$6*IF(Bitkiler!$H$64=Topraklar!$H$28,0,1))/Ayarlar!$B$7)+IF(Topraklar!$K$28=Bitkiler!$C$64,0.002,IF(Topraklar!$L$28="Evet",0.001,0)))</f>
        <v/>
      </c>
      <c r="AC65" s="16">
        <f>IF(OR(Topraklar!$J$29="Evet",AND(Topraklar!$L$29&lt;&gt;"Evet",Topraklar!$K$29&lt;&gt;Bitkiler!$C$64)),0,MAX(0,1-(Ayarlar!$B$2*ABS(Bitkiler!$D$64-Topraklar!$D$29)+Ayarlar!$B$3*ABS(Bitkiler!$E$64-Topraklar!$E$29)+Ayarlar!$B$4*ABS(Bitkiler!$F$64-Topraklar!$F$29)+Ayarlar!$B$5*ABS(Bitkiler!$G$64-Topraklar!$G$29)+Ayarlar!$B$6*IF(Bitkiler!$H$64=Topraklar!$H$29,0,1))/Ayarlar!$B$7)+IF(Topraklar!$K$29=Bitkiler!$C$64,0.002,IF(Topraklar!$L$29="Evet",0.001,0)))</f>
        <v/>
      </c>
      <c r="AD65" s="16">
        <f>IF(OR(Topraklar!$J$30="Evet",AND(Topraklar!$L$30&lt;&gt;"Evet",Topraklar!$K$30&lt;&gt;Bitkiler!$C$64)),0,MAX(0,1-(Ayarlar!$B$2*ABS(Bitkiler!$D$64-Topraklar!$D$30)+Ayarlar!$B$3*ABS(Bitkiler!$E$64-Topraklar!$E$30)+Ayarlar!$B$4*ABS(Bitkiler!$F$64-Topraklar!$F$30)+Ayarlar!$B$5*ABS(Bitkiler!$G$64-Topraklar!$G$30)+Ayarlar!$B$6*IF(Bitkiler!$H$64=Topraklar!$H$30,0,1))/Ayarlar!$B$7)+IF(Topraklar!$K$30=Bitkiler!$C$64,0.002,IF(Topraklar!$L$30="Evet",0.001,0)))</f>
        <v/>
      </c>
      <c r="AE65" s="16">
        <f>IF(OR(Topraklar!$J$31="Evet",AND(Topraklar!$L$31&lt;&gt;"Evet",Topraklar!$K$31&lt;&gt;Bitkiler!$C$64)),0,MAX(0,1-(Ayarlar!$B$2*ABS(Bitkiler!$D$64-Topraklar!$D$31)+Ayarlar!$B$3*ABS(Bitkiler!$E$64-Topraklar!$E$31)+Ayarlar!$B$4*ABS(Bitkiler!$F$64-Topraklar!$F$31)+Ayarlar!$B$5*ABS(Bitkiler!$G$64-Topraklar!$G$31)+Ayarlar!$B$6*IF(Bitkiler!$H$64=Topraklar!$H$31,0,1))/Ayarlar!$B$7)+IF(Topraklar!$K$31=Bitkiler!$C$64,0.002,IF(Topraklar!$L$31="Evet",0.001,0)))</f>
        <v/>
      </c>
      <c r="AF65" s="16">
        <f>IF(OR(Topraklar!$J$32="Evet",AND(Topraklar!$L$32&lt;&gt;"Evet",Topraklar!$K$32&lt;&gt;Bitkiler!$C$64)),0,MAX(0,1-(Ayarlar!$B$2*ABS(Bitkiler!$D$64-Topraklar!$D$32)+Ayarlar!$B$3*ABS(Bitkiler!$E$64-Topraklar!$E$32)+Ayarlar!$B$4*ABS(Bitkiler!$F$64-Topraklar!$F$32)+Ayarlar!$B$5*ABS(Bitkiler!$G$64-Topraklar!$G$32)+Ayarlar!$B$6*IF(Bitkiler!$H$64=Topraklar!$H$32,0,1))/Ayarlar!$B$7)+IF(Topraklar!$K$32=Bitkiler!$C$64,0.002,IF(Topraklar!$L$32="Evet",0.001,0)))</f>
        <v/>
      </c>
      <c r="AG65" s="16">
        <f>IF(OR(Topraklar!$J$33="Evet",AND(Topraklar!$L$33&lt;&gt;"Evet",Topraklar!$K$33&lt;&gt;Bitkiler!$C$64)),0,MAX(0,1-(Ayarlar!$B$2*ABS(Bitkiler!$D$64-Topraklar!$D$33)+Ayarlar!$B$3*ABS(Bitkiler!$E$64-Topraklar!$E$33)+Ayarlar!$B$4*ABS(Bitkiler!$F$64-Topraklar!$F$33)+Ayarlar!$B$5*ABS(Bitkiler!$G$64-Topraklar!$G$33)+Ayarlar!$B$6*IF(Bitkiler!$H$64=Topraklar!$H$33,0,1))/Ayarlar!$B$7)+IF(Topraklar!$K$33=Bitkiler!$C$64,0.002,IF(Topraklar!$L$33="Evet",0.001,0)))</f>
        <v/>
      </c>
      <c r="AH65" s="16">
        <f>IF(OR(Topraklar!$J$34="Evet",AND(Topraklar!$L$34&lt;&gt;"Evet",Topraklar!$K$34&lt;&gt;Bitkiler!$C$64)),0,MAX(0,1-(Ayarlar!$B$2*ABS(Bitkiler!$D$64-Topraklar!$D$34)+Ayarlar!$B$3*ABS(Bitkiler!$E$64-Topraklar!$E$34)+Ayarlar!$B$4*ABS(Bitkiler!$F$64-Topraklar!$F$34)+Ayarlar!$B$5*ABS(Bitkiler!$G$64-Topraklar!$G$34)+Ayarlar!$B$6*IF(Bitkiler!$H$64=Topraklar!$H$34,0,1))/Ayarlar!$B$7)+IF(Topraklar!$K$34=Bitkiler!$C$64,0.002,IF(Topraklar!$L$34="Evet",0.001,0)))</f>
        <v/>
      </c>
      <c r="AI65" s="16">
        <f>IF(OR(Topraklar!$J$35="Evet",AND(Topraklar!$L$35&lt;&gt;"Evet",Topraklar!$K$35&lt;&gt;Bitkiler!$C$64)),0,MAX(0,1-(Ayarlar!$B$2*ABS(Bitkiler!$D$64-Topraklar!$D$35)+Ayarlar!$B$3*ABS(Bitkiler!$E$64-Topraklar!$E$35)+Ayarlar!$B$4*ABS(Bitkiler!$F$64-Topraklar!$F$35)+Ayarlar!$B$5*ABS(Bitkiler!$G$64-Topraklar!$G$35)+Ayarlar!$B$6*IF(Bitkiler!$H$64=Topraklar!$H$35,0,1))/Ayarlar!$B$7)+IF(Topraklar!$K$35=Bitkiler!$C$64,0.002,IF(Topraklar!$L$35="Evet",0.001,0)))</f>
        <v/>
      </c>
      <c r="AJ65" s="16">
        <f>IF(OR(Topraklar!$J$36="Evet",AND(Topraklar!$L$36&lt;&gt;"Evet",Topraklar!$K$36&lt;&gt;Bitkiler!$C$64)),0,MAX(0,1-(Ayarlar!$B$2*ABS(Bitkiler!$D$64-Topraklar!$D$36)+Ayarlar!$B$3*ABS(Bitkiler!$E$64-Topraklar!$E$36)+Ayarlar!$B$4*ABS(Bitkiler!$F$64-Topraklar!$F$36)+Ayarlar!$B$5*ABS(Bitkiler!$G$64-Topraklar!$G$36)+Ayarlar!$B$6*IF(Bitkiler!$H$64=Topraklar!$H$36,0,1))/Ayarlar!$B$7)+IF(Topraklar!$K$36=Bitkiler!$C$64,0.002,IF(Topraklar!$L$36="Evet",0.001,0)))</f>
        <v/>
      </c>
      <c r="AK65" s="16">
        <f>IF(OR(Topraklar!$J$37="Evet",AND(Topraklar!$L$37&lt;&gt;"Evet",Topraklar!$K$37&lt;&gt;Bitkiler!$C$64)),0,MAX(0,1-(Ayarlar!$B$2*ABS(Bitkiler!$D$64-Topraklar!$D$37)+Ayarlar!$B$3*ABS(Bitkiler!$E$64-Topraklar!$E$37)+Ayarlar!$B$4*ABS(Bitkiler!$F$64-Topraklar!$F$37)+Ayarlar!$B$5*ABS(Bitkiler!$G$64-Topraklar!$G$37)+Ayarlar!$B$6*IF(Bitkiler!$H$64=Topraklar!$H$37,0,1))/Ayarlar!$B$7)+IF(Topraklar!$K$37=Bitkiler!$C$64,0.002,IF(Topraklar!$L$37="Evet",0.001,0)))</f>
        <v/>
      </c>
      <c r="AL65" s="16">
        <f>IF(OR(Topraklar!$J$38="Evet",AND(Topraklar!$L$38&lt;&gt;"Evet",Topraklar!$K$38&lt;&gt;Bitkiler!$C$64)),0,MAX(0,1-(Ayarlar!$B$2*ABS(Bitkiler!$D$64-Topraklar!$D$38)+Ayarlar!$B$3*ABS(Bitkiler!$E$64-Topraklar!$E$38)+Ayarlar!$B$4*ABS(Bitkiler!$F$64-Topraklar!$F$38)+Ayarlar!$B$5*ABS(Bitkiler!$G$64-Topraklar!$G$38)+Ayarlar!$B$6*IF(Bitkiler!$H$64=Topraklar!$H$38,0,1))/Ayarlar!$B$7)+IF(Topraklar!$K$38=Bitkiler!$C$64,0.002,IF(Topraklar!$L$38="Evet",0.001,0)))</f>
        <v/>
      </c>
      <c r="AM65" s="16">
        <f>IF(OR(Topraklar!$J$39="Evet",AND(Topraklar!$L$39&lt;&gt;"Evet",Topraklar!$K$39&lt;&gt;Bitkiler!$C$64)),0,MAX(0,1-(Ayarlar!$B$2*ABS(Bitkiler!$D$64-Topraklar!$D$39)+Ayarlar!$B$3*ABS(Bitkiler!$E$64-Topraklar!$E$39)+Ayarlar!$B$4*ABS(Bitkiler!$F$64-Topraklar!$F$39)+Ayarlar!$B$5*ABS(Bitkiler!$G$64-Topraklar!$G$39)+Ayarlar!$B$6*IF(Bitkiler!$H$64=Topraklar!$H$39,0,1))/Ayarlar!$B$7)+IF(Topraklar!$K$39=Bitkiler!$C$64,0.002,IF(Topraklar!$L$39="Evet",0.001,0)))</f>
        <v/>
      </c>
      <c r="AN65" s="16">
        <f>IF(OR(Topraklar!$J$40="Evet",AND(Topraklar!$L$40&lt;&gt;"Evet",Topraklar!$K$40&lt;&gt;Bitkiler!$C$64)),0,MAX(0,1-(Ayarlar!$B$2*ABS(Bitkiler!$D$64-Topraklar!$D$40)+Ayarlar!$B$3*ABS(Bitkiler!$E$64-Topraklar!$E$40)+Ayarlar!$B$4*ABS(Bitkiler!$F$64-Topraklar!$F$40)+Ayarlar!$B$5*ABS(Bitkiler!$G$64-Topraklar!$G$40)+Ayarlar!$B$6*IF(Bitkiler!$H$64=Topraklar!$H$40,0,1))/Ayarlar!$B$7)+IF(Topraklar!$K$40=Bitkiler!$C$64,0.002,IF(Topraklar!$L$40="Evet",0.001,0)))</f>
        <v/>
      </c>
      <c r="AO65" s="16">
        <f>IF(OR(Topraklar!$J$41="Evet",AND(Topraklar!$L$41&lt;&gt;"Evet",Topraklar!$K$41&lt;&gt;Bitkiler!$C$64)),0,MAX(0,1-(Ayarlar!$B$2*ABS(Bitkiler!$D$64-Topraklar!$D$41)+Ayarlar!$B$3*ABS(Bitkiler!$E$64-Topraklar!$E$41)+Ayarlar!$B$4*ABS(Bitkiler!$F$64-Topraklar!$F$41)+Ayarlar!$B$5*ABS(Bitkiler!$G$64-Topraklar!$G$41)+Ayarlar!$B$6*IF(Bitkiler!$H$64=Topraklar!$H$41,0,1))/Ayarlar!$B$7)+IF(Topraklar!$K$41=Bitkiler!$C$64,0.002,IF(Topraklar!$L$41="Evet",0.001,0)))</f>
        <v/>
      </c>
      <c r="AP65" s="16">
        <f>IF(OR(Topraklar!$J$42="Evet",AND(Topraklar!$L$42&lt;&gt;"Evet",Topraklar!$K$42&lt;&gt;Bitkiler!$C$64)),0,MAX(0,1-(Ayarlar!$B$2*ABS(Bitkiler!$D$64-Topraklar!$D$42)+Ayarlar!$B$3*ABS(Bitkiler!$E$64-Topraklar!$E$42)+Ayarlar!$B$4*ABS(Bitkiler!$F$64-Topraklar!$F$42)+Ayarlar!$B$5*ABS(Bitkiler!$G$64-Topraklar!$G$42)+Ayarlar!$B$6*IF(Bitkiler!$H$64=Topraklar!$H$42,0,1))/Ayarlar!$B$7)+IF(Topraklar!$K$42=Bitkiler!$C$64,0.002,IF(Topraklar!$L$42="Evet",0.001,0)))</f>
        <v/>
      </c>
      <c r="AQ65" s="16">
        <f>IF(OR(Topraklar!$J$43="Evet",AND(Topraklar!$L$43&lt;&gt;"Evet",Topraklar!$K$43&lt;&gt;Bitkiler!$C$64)),0,MAX(0,1-(Ayarlar!$B$2*ABS(Bitkiler!$D$64-Topraklar!$D$43)+Ayarlar!$B$3*ABS(Bitkiler!$E$64-Topraklar!$E$43)+Ayarlar!$B$4*ABS(Bitkiler!$F$64-Topraklar!$F$43)+Ayarlar!$B$5*ABS(Bitkiler!$G$64-Topraklar!$G$43)+Ayarlar!$B$6*IF(Bitkiler!$H$64=Topraklar!$H$43,0,1))/Ayarlar!$B$7)+IF(Topraklar!$K$43=Bitkiler!$C$64,0.002,IF(Topraklar!$L$43="Evet",0.001,0)))</f>
        <v/>
      </c>
      <c r="AR65" s="16">
        <f>IF(OR(Topraklar!$J$44="Evet",AND(Topraklar!$L$44&lt;&gt;"Evet",Topraklar!$K$44&lt;&gt;Bitkiler!$C$64)),0,MAX(0,1-(Ayarlar!$B$2*ABS(Bitkiler!$D$64-Topraklar!$D$44)+Ayarlar!$B$3*ABS(Bitkiler!$E$64-Topraklar!$E$44)+Ayarlar!$B$4*ABS(Bitkiler!$F$64-Topraklar!$F$44)+Ayarlar!$B$5*ABS(Bitkiler!$G$64-Topraklar!$G$44)+Ayarlar!$B$6*IF(Bitkiler!$H$64=Topraklar!$H$44,0,1))/Ayarlar!$B$7)+IF(Topraklar!$K$44=Bitkiler!$C$64,0.002,IF(Topraklar!$L$44="Evet",0.001,0)))</f>
        <v/>
      </c>
      <c r="AS65" s="16">
        <f>IF(OR(Topraklar!$J$45="Evet",AND(Topraklar!$L$45&lt;&gt;"Evet",Topraklar!$K$45&lt;&gt;Bitkiler!$C$64)),0,MAX(0,1-(Ayarlar!$B$2*ABS(Bitkiler!$D$64-Topraklar!$D$45)+Ayarlar!$B$3*ABS(Bitkiler!$E$64-Topraklar!$E$45)+Ayarlar!$B$4*ABS(Bitkiler!$F$64-Topraklar!$F$45)+Ayarlar!$B$5*ABS(Bitkiler!$G$64-Topraklar!$G$45)+Ayarlar!$B$6*IF(Bitkiler!$H$64=Topraklar!$H$45,0,1))/Ayarlar!$B$7)+IF(Topraklar!$K$45=Bitkiler!$C$64,0.002,IF(Topraklar!$L$45="Evet",0.001,0)))</f>
        <v/>
      </c>
      <c r="AT65" s="16">
        <f>IF(OR(Topraklar!$J$46="Evet",AND(Topraklar!$L$46&lt;&gt;"Evet",Topraklar!$K$46&lt;&gt;Bitkiler!$C$64)),0,MAX(0,1-(Ayarlar!$B$2*ABS(Bitkiler!$D$64-Topraklar!$D$46)+Ayarlar!$B$3*ABS(Bitkiler!$E$64-Topraklar!$E$46)+Ayarlar!$B$4*ABS(Bitkiler!$F$64-Topraklar!$F$46)+Ayarlar!$B$5*ABS(Bitkiler!$G$64-Topraklar!$G$46)+Ayarlar!$B$6*IF(Bitkiler!$H$64=Topraklar!$H$46,0,1))/Ayarlar!$B$7)+IF(Topraklar!$K$46=Bitkiler!$C$64,0.002,IF(Topraklar!$L$46="Evet",0.001,0)))</f>
        <v/>
      </c>
      <c r="AU65" s="16">
        <f>IF(OR(Topraklar!$J$47="Evet",AND(Topraklar!$L$47&lt;&gt;"Evet",Topraklar!$K$47&lt;&gt;Bitkiler!$C$64)),0,MAX(0,1-(Ayarlar!$B$2*ABS(Bitkiler!$D$64-Topraklar!$D$47)+Ayarlar!$B$3*ABS(Bitkiler!$E$64-Topraklar!$E$47)+Ayarlar!$B$4*ABS(Bitkiler!$F$64-Topraklar!$F$47)+Ayarlar!$B$5*ABS(Bitkiler!$G$64-Topraklar!$G$47)+Ayarlar!$B$6*IF(Bitkiler!$H$64=Topraklar!$H$47,0,1))/Ayarlar!$B$7)+IF(Topraklar!$K$47=Bitkiler!$C$64,0.002,IF(Topraklar!$L$47="Evet",0.001,0)))</f>
        <v/>
      </c>
      <c r="AV65" s="16">
        <f>IF(OR(Topraklar!$J$48="Evet",AND(Topraklar!$L$48&lt;&gt;"Evet",Topraklar!$K$48&lt;&gt;Bitkiler!$C$64)),0,MAX(0,1-(Ayarlar!$B$2*ABS(Bitkiler!$D$64-Topraklar!$D$48)+Ayarlar!$B$3*ABS(Bitkiler!$E$64-Topraklar!$E$48)+Ayarlar!$B$4*ABS(Bitkiler!$F$64-Topraklar!$F$48)+Ayarlar!$B$5*ABS(Bitkiler!$G$64-Topraklar!$G$48)+Ayarlar!$B$6*IF(Bitkiler!$H$64=Topraklar!$H$48,0,1))/Ayarlar!$B$7)+IF(Topraklar!$K$48=Bitkiler!$C$64,0.002,IF(Topraklar!$L$48="Evet",0.001,0)))</f>
        <v/>
      </c>
      <c r="AW65" s="16">
        <f>IF(OR(Topraklar!$J$49="Evet",AND(Topraklar!$L$49&lt;&gt;"Evet",Topraklar!$K$49&lt;&gt;Bitkiler!$C$64)),0,MAX(0,1-(Ayarlar!$B$2*ABS(Bitkiler!$D$64-Topraklar!$D$49)+Ayarlar!$B$3*ABS(Bitkiler!$E$64-Topraklar!$E$49)+Ayarlar!$B$4*ABS(Bitkiler!$F$64-Topraklar!$F$49)+Ayarlar!$B$5*ABS(Bitkiler!$G$64-Topraklar!$G$49)+Ayarlar!$B$6*IF(Bitkiler!$H$64=Topraklar!$H$49,0,1))/Ayarlar!$B$7)+IF(Topraklar!$K$49=Bitkiler!$C$64,0.002,IF(Topraklar!$L$49="Evet",0.001,0)))</f>
        <v/>
      </c>
      <c r="AX65" s="16">
        <f>IF(OR(Topraklar!$J$50="Evet",AND(Topraklar!$L$50&lt;&gt;"Evet",Topraklar!$K$50&lt;&gt;Bitkiler!$C$64)),0,MAX(0,1-(Ayarlar!$B$2*ABS(Bitkiler!$D$64-Topraklar!$D$50)+Ayarlar!$B$3*ABS(Bitkiler!$E$64-Topraklar!$E$50)+Ayarlar!$B$4*ABS(Bitkiler!$F$64-Topraklar!$F$50)+Ayarlar!$B$5*ABS(Bitkiler!$G$64-Topraklar!$G$50)+Ayarlar!$B$6*IF(Bitkiler!$H$64=Topraklar!$H$50,0,1))/Ayarlar!$B$7)+IF(Topraklar!$K$50=Bitkiler!$C$64,0.002,IF(Topraklar!$L$50="Evet",0.001,0)))</f>
        <v/>
      </c>
      <c r="AY65" s="16">
        <f>IF(OR(Topraklar!$J$51="Evet",AND(Topraklar!$L$51&lt;&gt;"Evet",Topraklar!$K$51&lt;&gt;Bitkiler!$C$64)),0,MAX(0,1-(Ayarlar!$B$2*ABS(Bitkiler!$D$64-Topraklar!$D$51)+Ayarlar!$B$3*ABS(Bitkiler!$E$64-Topraklar!$E$51)+Ayarlar!$B$4*ABS(Bitkiler!$F$64-Topraklar!$F$51)+Ayarlar!$B$5*ABS(Bitkiler!$G$64-Topraklar!$G$51)+Ayarlar!$B$6*IF(Bitkiler!$H$64=Topraklar!$H$51,0,1))/Ayarlar!$B$7)+IF(Topraklar!$K$51=Bitkiler!$C$64,0.002,IF(Topraklar!$L$51="Evet",0.001,0)))</f>
        <v/>
      </c>
    </row>
    <row r="66">
      <c r="A66" s="15">
        <f>Bitkiler!A65</f>
        <v/>
      </c>
      <c r="B66" s="16">
        <f>IF(OR(Topraklar!$J$2="Evet",AND(Topraklar!$L$2&lt;&gt;"Evet",Topraklar!$K$2&lt;&gt;Bitkiler!$C$65)),0,MAX(0,1-(Ayarlar!$B$2*ABS(Bitkiler!$D$65-Topraklar!$D$2)+Ayarlar!$B$3*ABS(Bitkiler!$E$65-Topraklar!$E$2)+Ayarlar!$B$4*ABS(Bitkiler!$F$65-Topraklar!$F$2)+Ayarlar!$B$5*ABS(Bitkiler!$G$65-Topraklar!$G$2)+Ayarlar!$B$6*IF(Bitkiler!$H$65=Topraklar!$H$2,0,1))/Ayarlar!$B$7)+IF(Topraklar!$K$2=Bitkiler!$C$65,0.002,IF(Topraklar!$L$2="Evet",0.001,0)))</f>
        <v/>
      </c>
      <c r="C66" s="16">
        <f>IF(OR(Topraklar!$J$3="Evet",AND(Topraklar!$L$3&lt;&gt;"Evet",Topraklar!$K$3&lt;&gt;Bitkiler!$C$65)),0,MAX(0,1-(Ayarlar!$B$2*ABS(Bitkiler!$D$65-Topraklar!$D$3)+Ayarlar!$B$3*ABS(Bitkiler!$E$65-Topraklar!$E$3)+Ayarlar!$B$4*ABS(Bitkiler!$F$65-Topraklar!$F$3)+Ayarlar!$B$5*ABS(Bitkiler!$G$65-Topraklar!$G$3)+Ayarlar!$B$6*IF(Bitkiler!$H$65=Topraklar!$H$3,0,1))/Ayarlar!$B$7)+IF(Topraklar!$K$3=Bitkiler!$C$65,0.002,IF(Topraklar!$L$3="Evet",0.001,0)))</f>
        <v/>
      </c>
      <c r="D66" s="16">
        <f>IF(OR(Topraklar!$J$4="Evet",AND(Topraklar!$L$4&lt;&gt;"Evet",Topraklar!$K$4&lt;&gt;Bitkiler!$C$65)),0,MAX(0,1-(Ayarlar!$B$2*ABS(Bitkiler!$D$65-Topraklar!$D$4)+Ayarlar!$B$3*ABS(Bitkiler!$E$65-Topraklar!$E$4)+Ayarlar!$B$4*ABS(Bitkiler!$F$65-Topraklar!$F$4)+Ayarlar!$B$5*ABS(Bitkiler!$G$65-Topraklar!$G$4)+Ayarlar!$B$6*IF(Bitkiler!$H$65=Topraklar!$H$4,0,1))/Ayarlar!$B$7)+IF(Topraklar!$K$4=Bitkiler!$C$65,0.002,IF(Topraklar!$L$4="Evet",0.001,0)))</f>
        <v/>
      </c>
      <c r="E66" s="16">
        <f>IF(OR(Topraklar!$J$5="Evet",AND(Topraklar!$L$5&lt;&gt;"Evet",Topraklar!$K$5&lt;&gt;Bitkiler!$C$65)),0,MAX(0,1-(Ayarlar!$B$2*ABS(Bitkiler!$D$65-Topraklar!$D$5)+Ayarlar!$B$3*ABS(Bitkiler!$E$65-Topraklar!$E$5)+Ayarlar!$B$4*ABS(Bitkiler!$F$65-Topraklar!$F$5)+Ayarlar!$B$5*ABS(Bitkiler!$G$65-Topraklar!$G$5)+Ayarlar!$B$6*IF(Bitkiler!$H$65=Topraklar!$H$5,0,1))/Ayarlar!$B$7)+IF(Topraklar!$K$5=Bitkiler!$C$65,0.002,IF(Topraklar!$L$5="Evet",0.001,0)))</f>
        <v/>
      </c>
      <c r="F66" s="16">
        <f>IF(OR(Topraklar!$J$6="Evet",AND(Topraklar!$L$6&lt;&gt;"Evet",Topraklar!$K$6&lt;&gt;Bitkiler!$C$65)),0,MAX(0,1-(Ayarlar!$B$2*ABS(Bitkiler!$D$65-Topraklar!$D$6)+Ayarlar!$B$3*ABS(Bitkiler!$E$65-Topraklar!$E$6)+Ayarlar!$B$4*ABS(Bitkiler!$F$65-Topraklar!$F$6)+Ayarlar!$B$5*ABS(Bitkiler!$G$65-Topraklar!$G$6)+Ayarlar!$B$6*IF(Bitkiler!$H$65=Topraklar!$H$6,0,1))/Ayarlar!$B$7)+IF(Topraklar!$K$6=Bitkiler!$C$65,0.002,IF(Topraklar!$L$6="Evet",0.001,0)))</f>
        <v/>
      </c>
      <c r="G66" s="16">
        <f>IF(OR(Topraklar!$J$7="Evet",AND(Topraklar!$L$7&lt;&gt;"Evet",Topraklar!$K$7&lt;&gt;Bitkiler!$C$65)),0,MAX(0,1-(Ayarlar!$B$2*ABS(Bitkiler!$D$65-Topraklar!$D$7)+Ayarlar!$B$3*ABS(Bitkiler!$E$65-Topraklar!$E$7)+Ayarlar!$B$4*ABS(Bitkiler!$F$65-Topraklar!$F$7)+Ayarlar!$B$5*ABS(Bitkiler!$G$65-Topraklar!$G$7)+Ayarlar!$B$6*IF(Bitkiler!$H$65=Topraklar!$H$7,0,1))/Ayarlar!$B$7)+IF(Topraklar!$K$7=Bitkiler!$C$65,0.002,IF(Topraklar!$L$7="Evet",0.001,0)))</f>
        <v/>
      </c>
      <c r="H66" s="16">
        <f>IF(OR(Topraklar!$J$8="Evet",AND(Topraklar!$L$8&lt;&gt;"Evet",Topraklar!$K$8&lt;&gt;Bitkiler!$C$65)),0,MAX(0,1-(Ayarlar!$B$2*ABS(Bitkiler!$D$65-Topraklar!$D$8)+Ayarlar!$B$3*ABS(Bitkiler!$E$65-Topraklar!$E$8)+Ayarlar!$B$4*ABS(Bitkiler!$F$65-Topraklar!$F$8)+Ayarlar!$B$5*ABS(Bitkiler!$G$65-Topraklar!$G$8)+Ayarlar!$B$6*IF(Bitkiler!$H$65=Topraklar!$H$8,0,1))/Ayarlar!$B$7)+IF(Topraklar!$K$8=Bitkiler!$C$65,0.002,IF(Topraklar!$L$8="Evet",0.001,0)))</f>
        <v/>
      </c>
      <c r="I66" s="16">
        <f>IF(OR(Topraklar!$J$9="Evet",AND(Topraklar!$L$9&lt;&gt;"Evet",Topraklar!$K$9&lt;&gt;Bitkiler!$C$65)),0,MAX(0,1-(Ayarlar!$B$2*ABS(Bitkiler!$D$65-Topraklar!$D$9)+Ayarlar!$B$3*ABS(Bitkiler!$E$65-Topraklar!$E$9)+Ayarlar!$B$4*ABS(Bitkiler!$F$65-Topraklar!$F$9)+Ayarlar!$B$5*ABS(Bitkiler!$G$65-Topraklar!$G$9)+Ayarlar!$B$6*IF(Bitkiler!$H$65=Topraklar!$H$9,0,1))/Ayarlar!$B$7)+IF(Topraklar!$K$9=Bitkiler!$C$65,0.002,IF(Topraklar!$L$9="Evet",0.001,0)))</f>
        <v/>
      </c>
      <c r="J66" s="16">
        <f>IF(OR(Topraklar!$J$10="Evet",AND(Topraklar!$L$10&lt;&gt;"Evet",Topraklar!$K$10&lt;&gt;Bitkiler!$C$65)),0,MAX(0,1-(Ayarlar!$B$2*ABS(Bitkiler!$D$65-Topraklar!$D$10)+Ayarlar!$B$3*ABS(Bitkiler!$E$65-Topraklar!$E$10)+Ayarlar!$B$4*ABS(Bitkiler!$F$65-Topraklar!$F$10)+Ayarlar!$B$5*ABS(Bitkiler!$G$65-Topraklar!$G$10)+Ayarlar!$B$6*IF(Bitkiler!$H$65=Topraklar!$H$10,0,1))/Ayarlar!$B$7)+IF(Topraklar!$K$10=Bitkiler!$C$65,0.002,IF(Topraklar!$L$10="Evet",0.001,0)))</f>
        <v/>
      </c>
      <c r="K66" s="16">
        <f>IF(OR(Topraklar!$J$11="Evet",AND(Topraklar!$L$11&lt;&gt;"Evet",Topraklar!$K$11&lt;&gt;Bitkiler!$C$65)),0,MAX(0,1-(Ayarlar!$B$2*ABS(Bitkiler!$D$65-Topraklar!$D$11)+Ayarlar!$B$3*ABS(Bitkiler!$E$65-Topraklar!$E$11)+Ayarlar!$B$4*ABS(Bitkiler!$F$65-Topraklar!$F$11)+Ayarlar!$B$5*ABS(Bitkiler!$G$65-Topraklar!$G$11)+Ayarlar!$B$6*IF(Bitkiler!$H$65=Topraklar!$H$11,0,1))/Ayarlar!$B$7)+IF(Topraklar!$K$11=Bitkiler!$C$65,0.002,IF(Topraklar!$L$11="Evet",0.001,0)))</f>
        <v/>
      </c>
      <c r="L66" s="16">
        <f>IF(OR(Topraklar!$J$12="Evet",AND(Topraklar!$L$12&lt;&gt;"Evet",Topraklar!$K$12&lt;&gt;Bitkiler!$C$65)),0,MAX(0,1-(Ayarlar!$B$2*ABS(Bitkiler!$D$65-Topraklar!$D$12)+Ayarlar!$B$3*ABS(Bitkiler!$E$65-Topraklar!$E$12)+Ayarlar!$B$4*ABS(Bitkiler!$F$65-Topraklar!$F$12)+Ayarlar!$B$5*ABS(Bitkiler!$G$65-Topraklar!$G$12)+Ayarlar!$B$6*IF(Bitkiler!$H$65=Topraklar!$H$12,0,1))/Ayarlar!$B$7)+IF(Topraklar!$K$12=Bitkiler!$C$65,0.002,IF(Topraklar!$L$12="Evet",0.001,0)))</f>
        <v/>
      </c>
      <c r="M66" s="16">
        <f>IF(OR(Topraklar!$J$13="Evet",AND(Topraklar!$L$13&lt;&gt;"Evet",Topraklar!$K$13&lt;&gt;Bitkiler!$C$65)),0,MAX(0,1-(Ayarlar!$B$2*ABS(Bitkiler!$D$65-Topraklar!$D$13)+Ayarlar!$B$3*ABS(Bitkiler!$E$65-Topraklar!$E$13)+Ayarlar!$B$4*ABS(Bitkiler!$F$65-Topraklar!$F$13)+Ayarlar!$B$5*ABS(Bitkiler!$G$65-Topraklar!$G$13)+Ayarlar!$B$6*IF(Bitkiler!$H$65=Topraklar!$H$13,0,1))/Ayarlar!$B$7)+IF(Topraklar!$K$13=Bitkiler!$C$65,0.002,IF(Topraklar!$L$13="Evet",0.001,0)))</f>
        <v/>
      </c>
      <c r="N66" s="16">
        <f>IF(OR(Topraklar!$J$14="Evet",AND(Topraklar!$L$14&lt;&gt;"Evet",Topraklar!$K$14&lt;&gt;Bitkiler!$C$65)),0,MAX(0,1-(Ayarlar!$B$2*ABS(Bitkiler!$D$65-Topraklar!$D$14)+Ayarlar!$B$3*ABS(Bitkiler!$E$65-Topraklar!$E$14)+Ayarlar!$B$4*ABS(Bitkiler!$F$65-Topraklar!$F$14)+Ayarlar!$B$5*ABS(Bitkiler!$G$65-Topraklar!$G$14)+Ayarlar!$B$6*IF(Bitkiler!$H$65=Topraklar!$H$14,0,1))/Ayarlar!$B$7)+IF(Topraklar!$K$14=Bitkiler!$C$65,0.002,IF(Topraklar!$L$14="Evet",0.001,0)))</f>
        <v/>
      </c>
      <c r="O66" s="16">
        <f>IF(OR(Topraklar!$J$15="Evet",AND(Topraklar!$L$15&lt;&gt;"Evet",Topraklar!$K$15&lt;&gt;Bitkiler!$C$65)),0,MAX(0,1-(Ayarlar!$B$2*ABS(Bitkiler!$D$65-Topraklar!$D$15)+Ayarlar!$B$3*ABS(Bitkiler!$E$65-Topraklar!$E$15)+Ayarlar!$B$4*ABS(Bitkiler!$F$65-Topraklar!$F$15)+Ayarlar!$B$5*ABS(Bitkiler!$G$65-Topraklar!$G$15)+Ayarlar!$B$6*IF(Bitkiler!$H$65=Topraklar!$H$15,0,1))/Ayarlar!$B$7)+IF(Topraklar!$K$15=Bitkiler!$C$65,0.002,IF(Topraklar!$L$15="Evet",0.001,0)))</f>
        <v/>
      </c>
      <c r="P66" s="16">
        <f>IF(OR(Topraklar!$J$16="Evet",AND(Topraklar!$L$16&lt;&gt;"Evet",Topraklar!$K$16&lt;&gt;Bitkiler!$C$65)),0,MAX(0,1-(Ayarlar!$B$2*ABS(Bitkiler!$D$65-Topraklar!$D$16)+Ayarlar!$B$3*ABS(Bitkiler!$E$65-Topraklar!$E$16)+Ayarlar!$B$4*ABS(Bitkiler!$F$65-Topraklar!$F$16)+Ayarlar!$B$5*ABS(Bitkiler!$G$65-Topraklar!$G$16)+Ayarlar!$B$6*IF(Bitkiler!$H$65=Topraklar!$H$16,0,1))/Ayarlar!$B$7)+IF(Topraklar!$K$16=Bitkiler!$C$65,0.002,IF(Topraklar!$L$16="Evet",0.001,0)))</f>
        <v/>
      </c>
      <c r="Q66" s="16">
        <f>IF(OR(Topraklar!$J$17="Evet",AND(Topraklar!$L$17&lt;&gt;"Evet",Topraklar!$K$17&lt;&gt;Bitkiler!$C$65)),0,MAX(0,1-(Ayarlar!$B$2*ABS(Bitkiler!$D$65-Topraklar!$D$17)+Ayarlar!$B$3*ABS(Bitkiler!$E$65-Topraklar!$E$17)+Ayarlar!$B$4*ABS(Bitkiler!$F$65-Topraklar!$F$17)+Ayarlar!$B$5*ABS(Bitkiler!$G$65-Topraklar!$G$17)+Ayarlar!$B$6*IF(Bitkiler!$H$65=Topraklar!$H$17,0,1))/Ayarlar!$B$7)+IF(Topraklar!$K$17=Bitkiler!$C$65,0.002,IF(Topraklar!$L$17="Evet",0.001,0)))</f>
        <v/>
      </c>
      <c r="R66" s="16">
        <f>IF(OR(Topraklar!$J$18="Evet",AND(Topraklar!$L$18&lt;&gt;"Evet",Topraklar!$K$18&lt;&gt;Bitkiler!$C$65)),0,MAX(0,1-(Ayarlar!$B$2*ABS(Bitkiler!$D$65-Topraklar!$D$18)+Ayarlar!$B$3*ABS(Bitkiler!$E$65-Topraklar!$E$18)+Ayarlar!$B$4*ABS(Bitkiler!$F$65-Topraklar!$F$18)+Ayarlar!$B$5*ABS(Bitkiler!$G$65-Topraklar!$G$18)+Ayarlar!$B$6*IF(Bitkiler!$H$65=Topraklar!$H$18,0,1))/Ayarlar!$B$7)+IF(Topraklar!$K$18=Bitkiler!$C$65,0.002,IF(Topraklar!$L$18="Evet",0.001,0)))</f>
        <v/>
      </c>
      <c r="S66" s="16">
        <f>IF(OR(Topraklar!$J$19="Evet",AND(Topraklar!$L$19&lt;&gt;"Evet",Topraklar!$K$19&lt;&gt;Bitkiler!$C$65)),0,MAX(0,1-(Ayarlar!$B$2*ABS(Bitkiler!$D$65-Topraklar!$D$19)+Ayarlar!$B$3*ABS(Bitkiler!$E$65-Topraklar!$E$19)+Ayarlar!$B$4*ABS(Bitkiler!$F$65-Topraklar!$F$19)+Ayarlar!$B$5*ABS(Bitkiler!$G$65-Topraklar!$G$19)+Ayarlar!$B$6*IF(Bitkiler!$H$65=Topraklar!$H$19,0,1))/Ayarlar!$B$7)+IF(Topraklar!$K$19=Bitkiler!$C$65,0.002,IF(Topraklar!$L$19="Evet",0.001,0)))</f>
        <v/>
      </c>
      <c r="T66" s="16">
        <f>IF(OR(Topraklar!$J$20="Evet",AND(Topraklar!$L$20&lt;&gt;"Evet",Topraklar!$K$20&lt;&gt;Bitkiler!$C$65)),0,MAX(0,1-(Ayarlar!$B$2*ABS(Bitkiler!$D$65-Topraklar!$D$20)+Ayarlar!$B$3*ABS(Bitkiler!$E$65-Topraklar!$E$20)+Ayarlar!$B$4*ABS(Bitkiler!$F$65-Topraklar!$F$20)+Ayarlar!$B$5*ABS(Bitkiler!$G$65-Topraklar!$G$20)+Ayarlar!$B$6*IF(Bitkiler!$H$65=Topraklar!$H$20,0,1))/Ayarlar!$B$7)+IF(Topraklar!$K$20=Bitkiler!$C$65,0.002,IF(Topraklar!$L$20="Evet",0.001,0)))</f>
        <v/>
      </c>
      <c r="U66" s="16">
        <f>IF(OR(Topraklar!$J$21="Evet",AND(Topraklar!$L$21&lt;&gt;"Evet",Topraklar!$K$21&lt;&gt;Bitkiler!$C$65)),0,MAX(0,1-(Ayarlar!$B$2*ABS(Bitkiler!$D$65-Topraklar!$D$21)+Ayarlar!$B$3*ABS(Bitkiler!$E$65-Topraklar!$E$21)+Ayarlar!$B$4*ABS(Bitkiler!$F$65-Topraklar!$F$21)+Ayarlar!$B$5*ABS(Bitkiler!$G$65-Topraklar!$G$21)+Ayarlar!$B$6*IF(Bitkiler!$H$65=Topraklar!$H$21,0,1))/Ayarlar!$B$7)+IF(Topraklar!$K$21=Bitkiler!$C$65,0.002,IF(Topraklar!$L$21="Evet",0.001,0)))</f>
        <v/>
      </c>
      <c r="V66" s="16">
        <f>IF(OR(Topraklar!$J$22="Evet",AND(Topraklar!$L$22&lt;&gt;"Evet",Topraklar!$K$22&lt;&gt;Bitkiler!$C$65)),0,MAX(0,1-(Ayarlar!$B$2*ABS(Bitkiler!$D$65-Topraklar!$D$22)+Ayarlar!$B$3*ABS(Bitkiler!$E$65-Topraklar!$E$22)+Ayarlar!$B$4*ABS(Bitkiler!$F$65-Topraklar!$F$22)+Ayarlar!$B$5*ABS(Bitkiler!$G$65-Topraklar!$G$22)+Ayarlar!$B$6*IF(Bitkiler!$H$65=Topraklar!$H$22,0,1))/Ayarlar!$B$7)+IF(Topraklar!$K$22=Bitkiler!$C$65,0.002,IF(Topraklar!$L$22="Evet",0.001,0)))</f>
        <v/>
      </c>
      <c r="W66" s="16">
        <f>IF(OR(Topraklar!$J$23="Evet",AND(Topraklar!$L$23&lt;&gt;"Evet",Topraklar!$K$23&lt;&gt;Bitkiler!$C$65)),0,MAX(0,1-(Ayarlar!$B$2*ABS(Bitkiler!$D$65-Topraklar!$D$23)+Ayarlar!$B$3*ABS(Bitkiler!$E$65-Topraklar!$E$23)+Ayarlar!$B$4*ABS(Bitkiler!$F$65-Topraklar!$F$23)+Ayarlar!$B$5*ABS(Bitkiler!$G$65-Topraklar!$G$23)+Ayarlar!$B$6*IF(Bitkiler!$H$65=Topraklar!$H$23,0,1))/Ayarlar!$B$7)+IF(Topraklar!$K$23=Bitkiler!$C$65,0.002,IF(Topraklar!$L$23="Evet",0.001,0)))</f>
        <v/>
      </c>
      <c r="X66" s="16">
        <f>IF(OR(Topraklar!$J$24="Evet",AND(Topraklar!$L$24&lt;&gt;"Evet",Topraklar!$K$24&lt;&gt;Bitkiler!$C$65)),0,MAX(0,1-(Ayarlar!$B$2*ABS(Bitkiler!$D$65-Topraklar!$D$24)+Ayarlar!$B$3*ABS(Bitkiler!$E$65-Topraklar!$E$24)+Ayarlar!$B$4*ABS(Bitkiler!$F$65-Topraklar!$F$24)+Ayarlar!$B$5*ABS(Bitkiler!$G$65-Topraklar!$G$24)+Ayarlar!$B$6*IF(Bitkiler!$H$65=Topraklar!$H$24,0,1))/Ayarlar!$B$7)+IF(Topraklar!$K$24=Bitkiler!$C$65,0.002,IF(Topraklar!$L$24="Evet",0.001,0)))</f>
        <v/>
      </c>
      <c r="Y66" s="16">
        <f>IF(OR(Topraklar!$J$25="Evet",AND(Topraklar!$L$25&lt;&gt;"Evet",Topraklar!$K$25&lt;&gt;Bitkiler!$C$65)),0,MAX(0,1-(Ayarlar!$B$2*ABS(Bitkiler!$D$65-Topraklar!$D$25)+Ayarlar!$B$3*ABS(Bitkiler!$E$65-Topraklar!$E$25)+Ayarlar!$B$4*ABS(Bitkiler!$F$65-Topraklar!$F$25)+Ayarlar!$B$5*ABS(Bitkiler!$G$65-Topraklar!$G$25)+Ayarlar!$B$6*IF(Bitkiler!$H$65=Topraklar!$H$25,0,1))/Ayarlar!$B$7)+IF(Topraklar!$K$25=Bitkiler!$C$65,0.002,IF(Topraklar!$L$25="Evet",0.001,0)))</f>
        <v/>
      </c>
      <c r="Z66" s="16">
        <f>IF(OR(Topraklar!$J$26="Evet",AND(Topraklar!$L$26&lt;&gt;"Evet",Topraklar!$K$26&lt;&gt;Bitkiler!$C$65)),0,MAX(0,1-(Ayarlar!$B$2*ABS(Bitkiler!$D$65-Topraklar!$D$26)+Ayarlar!$B$3*ABS(Bitkiler!$E$65-Topraklar!$E$26)+Ayarlar!$B$4*ABS(Bitkiler!$F$65-Topraklar!$F$26)+Ayarlar!$B$5*ABS(Bitkiler!$G$65-Topraklar!$G$26)+Ayarlar!$B$6*IF(Bitkiler!$H$65=Topraklar!$H$26,0,1))/Ayarlar!$B$7)+IF(Topraklar!$K$26=Bitkiler!$C$65,0.002,IF(Topraklar!$L$26="Evet",0.001,0)))</f>
        <v/>
      </c>
      <c r="AA66" s="16">
        <f>IF(OR(Topraklar!$J$27="Evet",AND(Topraklar!$L$27&lt;&gt;"Evet",Topraklar!$K$27&lt;&gt;Bitkiler!$C$65)),0,MAX(0,1-(Ayarlar!$B$2*ABS(Bitkiler!$D$65-Topraklar!$D$27)+Ayarlar!$B$3*ABS(Bitkiler!$E$65-Topraklar!$E$27)+Ayarlar!$B$4*ABS(Bitkiler!$F$65-Topraklar!$F$27)+Ayarlar!$B$5*ABS(Bitkiler!$G$65-Topraklar!$G$27)+Ayarlar!$B$6*IF(Bitkiler!$H$65=Topraklar!$H$27,0,1))/Ayarlar!$B$7)+IF(Topraklar!$K$27=Bitkiler!$C$65,0.002,IF(Topraklar!$L$27="Evet",0.001,0)))</f>
        <v/>
      </c>
      <c r="AB66" s="16">
        <f>IF(OR(Topraklar!$J$28="Evet",AND(Topraklar!$L$28&lt;&gt;"Evet",Topraklar!$K$28&lt;&gt;Bitkiler!$C$65)),0,MAX(0,1-(Ayarlar!$B$2*ABS(Bitkiler!$D$65-Topraklar!$D$28)+Ayarlar!$B$3*ABS(Bitkiler!$E$65-Topraklar!$E$28)+Ayarlar!$B$4*ABS(Bitkiler!$F$65-Topraklar!$F$28)+Ayarlar!$B$5*ABS(Bitkiler!$G$65-Topraklar!$G$28)+Ayarlar!$B$6*IF(Bitkiler!$H$65=Topraklar!$H$28,0,1))/Ayarlar!$B$7)+IF(Topraklar!$K$28=Bitkiler!$C$65,0.002,IF(Topraklar!$L$28="Evet",0.001,0)))</f>
        <v/>
      </c>
      <c r="AC66" s="16">
        <f>IF(OR(Topraklar!$J$29="Evet",AND(Topraklar!$L$29&lt;&gt;"Evet",Topraklar!$K$29&lt;&gt;Bitkiler!$C$65)),0,MAX(0,1-(Ayarlar!$B$2*ABS(Bitkiler!$D$65-Topraklar!$D$29)+Ayarlar!$B$3*ABS(Bitkiler!$E$65-Topraklar!$E$29)+Ayarlar!$B$4*ABS(Bitkiler!$F$65-Topraklar!$F$29)+Ayarlar!$B$5*ABS(Bitkiler!$G$65-Topraklar!$G$29)+Ayarlar!$B$6*IF(Bitkiler!$H$65=Topraklar!$H$29,0,1))/Ayarlar!$B$7)+IF(Topraklar!$K$29=Bitkiler!$C$65,0.002,IF(Topraklar!$L$29="Evet",0.001,0)))</f>
        <v/>
      </c>
      <c r="AD66" s="16">
        <f>IF(OR(Topraklar!$J$30="Evet",AND(Topraklar!$L$30&lt;&gt;"Evet",Topraklar!$K$30&lt;&gt;Bitkiler!$C$65)),0,MAX(0,1-(Ayarlar!$B$2*ABS(Bitkiler!$D$65-Topraklar!$D$30)+Ayarlar!$B$3*ABS(Bitkiler!$E$65-Topraklar!$E$30)+Ayarlar!$B$4*ABS(Bitkiler!$F$65-Topraklar!$F$30)+Ayarlar!$B$5*ABS(Bitkiler!$G$65-Topraklar!$G$30)+Ayarlar!$B$6*IF(Bitkiler!$H$65=Topraklar!$H$30,0,1))/Ayarlar!$B$7)+IF(Topraklar!$K$30=Bitkiler!$C$65,0.002,IF(Topraklar!$L$30="Evet",0.001,0)))</f>
        <v/>
      </c>
      <c r="AE66" s="16">
        <f>IF(OR(Topraklar!$J$31="Evet",AND(Topraklar!$L$31&lt;&gt;"Evet",Topraklar!$K$31&lt;&gt;Bitkiler!$C$65)),0,MAX(0,1-(Ayarlar!$B$2*ABS(Bitkiler!$D$65-Topraklar!$D$31)+Ayarlar!$B$3*ABS(Bitkiler!$E$65-Topraklar!$E$31)+Ayarlar!$B$4*ABS(Bitkiler!$F$65-Topraklar!$F$31)+Ayarlar!$B$5*ABS(Bitkiler!$G$65-Topraklar!$G$31)+Ayarlar!$B$6*IF(Bitkiler!$H$65=Topraklar!$H$31,0,1))/Ayarlar!$B$7)+IF(Topraklar!$K$31=Bitkiler!$C$65,0.002,IF(Topraklar!$L$31="Evet",0.001,0)))</f>
        <v/>
      </c>
      <c r="AF66" s="16">
        <f>IF(OR(Topraklar!$J$32="Evet",AND(Topraklar!$L$32&lt;&gt;"Evet",Topraklar!$K$32&lt;&gt;Bitkiler!$C$65)),0,MAX(0,1-(Ayarlar!$B$2*ABS(Bitkiler!$D$65-Topraklar!$D$32)+Ayarlar!$B$3*ABS(Bitkiler!$E$65-Topraklar!$E$32)+Ayarlar!$B$4*ABS(Bitkiler!$F$65-Topraklar!$F$32)+Ayarlar!$B$5*ABS(Bitkiler!$G$65-Topraklar!$G$32)+Ayarlar!$B$6*IF(Bitkiler!$H$65=Topraklar!$H$32,0,1))/Ayarlar!$B$7)+IF(Topraklar!$K$32=Bitkiler!$C$65,0.002,IF(Topraklar!$L$32="Evet",0.001,0)))</f>
        <v/>
      </c>
      <c r="AG66" s="16">
        <f>IF(OR(Topraklar!$J$33="Evet",AND(Topraklar!$L$33&lt;&gt;"Evet",Topraklar!$K$33&lt;&gt;Bitkiler!$C$65)),0,MAX(0,1-(Ayarlar!$B$2*ABS(Bitkiler!$D$65-Topraklar!$D$33)+Ayarlar!$B$3*ABS(Bitkiler!$E$65-Topraklar!$E$33)+Ayarlar!$B$4*ABS(Bitkiler!$F$65-Topraklar!$F$33)+Ayarlar!$B$5*ABS(Bitkiler!$G$65-Topraklar!$G$33)+Ayarlar!$B$6*IF(Bitkiler!$H$65=Topraklar!$H$33,0,1))/Ayarlar!$B$7)+IF(Topraklar!$K$33=Bitkiler!$C$65,0.002,IF(Topraklar!$L$33="Evet",0.001,0)))</f>
        <v/>
      </c>
      <c r="AH66" s="16">
        <f>IF(OR(Topraklar!$J$34="Evet",AND(Topraklar!$L$34&lt;&gt;"Evet",Topraklar!$K$34&lt;&gt;Bitkiler!$C$65)),0,MAX(0,1-(Ayarlar!$B$2*ABS(Bitkiler!$D$65-Topraklar!$D$34)+Ayarlar!$B$3*ABS(Bitkiler!$E$65-Topraklar!$E$34)+Ayarlar!$B$4*ABS(Bitkiler!$F$65-Topraklar!$F$34)+Ayarlar!$B$5*ABS(Bitkiler!$G$65-Topraklar!$G$34)+Ayarlar!$B$6*IF(Bitkiler!$H$65=Topraklar!$H$34,0,1))/Ayarlar!$B$7)+IF(Topraklar!$K$34=Bitkiler!$C$65,0.002,IF(Topraklar!$L$34="Evet",0.001,0)))</f>
        <v/>
      </c>
      <c r="AI66" s="16">
        <f>IF(OR(Topraklar!$J$35="Evet",AND(Topraklar!$L$35&lt;&gt;"Evet",Topraklar!$K$35&lt;&gt;Bitkiler!$C$65)),0,MAX(0,1-(Ayarlar!$B$2*ABS(Bitkiler!$D$65-Topraklar!$D$35)+Ayarlar!$B$3*ABS(Bitkiler!$E$65-Topraklar!$E$35)+Ayarlar!$B$4*ABS(Bitkiler!$F$65-Topraklar!$F$35)+Ayarlar!$B$5*ABS(Bitkiler!$G$65-Topraklar!$G$35)+Ayarlar!$B$6*IF(Bitkiler!$H$65=Topraklar!$H$35,0,1))/Ayarlar!$B$7)+IF(Topraklar!$K$35=Bitkiler!$C$65,0.002,IF(Topraklar!$L$35="Evet",0.001,0)))</f>
        <v/>
      </c>
      <c r="AJ66" s="16">
        <f>IF(OR(Topraklar!$J$36="Evet",AND(Topraklar!$L$36&lt;&gt;"Evet",Topraklar!$K$36&lt;&gt;Bitkiler!$C$65)),0,MAX(0,1-(Ayarlar!$B$2*ABS(Bitkiler!$D$65-Topraklar!$D$36)+Ayarlar!$B$3*ABS(Bitkiler!$E$65-Topraklar!$E$36)+Ayarlar!$B$4*ABS(Bitkiler!$F$65-Topraklar!$F$36)+Ayarlar!$B$5*ABS(Bitkiler!$G$65-Topraklar!$G$36)+Ayarlar!$B$6*IF(Bitkiler!$H$65=Topraklar!$H$36,0,1))/Ayarlar!$B$7)+IF(Topraklar!$K$36=Bitkiler!$C$65,0.002,IF(Topraklar!$L$36="Evet",0.001,0)))</f>
        <v/>
      </c>
      <c r="AK66" s="16">
        <f>IF(OR(Topraklar!$J$37="Evet",AND(Topraklar!$L$37&lt;&gt;"Evet",Topraklar!$K$37&lt;&gt;Bitkiler!$C$65)),0,MAX(0,1-(Ayarlar!$B$2*ABS(Bitkiler!$D$65-Topraklar!$D$37)+Ayarlar!$B$3*ABS(Bitkiler!$E$65-Topraklar!$E$37)+Ayarlar!$B$4*ABS(Bitkiler!$F$65-Topraklar!$F$37)+Ayarlar!$B$5*ABS(Bitkiler!$G$65-Topraklar!$G$37)+Ayarlar!$B$6*IF(Bitkiler!$H$65=Topraklar!$H$37,0,1))/Ayarlar!$B$7)+IF(Topraklar!$K$37=Bitkiler!$C$65,0.002,IF(Topraklar!$L$37="Evet",0.001,0)))</f>
        <v/>
      </c>
      <c r="AL66" s="16">
        <f>IF(OR(Topraklar!$J$38="Evet",AND(Topraklar!$L$38&lt;&gt;"Evet",Topraklar!$K$38&lt;&gt;Bitkiler!$C$65)),0,MAX(0,1-(Ayarlar!$B$2*ABS(Bitkiler!$D$65-Topraklar!$D$38)+Ayarlar!$B$3*ABS(Bitkiler!$E$65-Topraklar!$E$38)+Ayarlar!$B$4*ABS(Bitkiler!$F$65-Topraklar!$F$38)+Ayarlar!$B$5*ABS(Bitkiler!$G$65-Topraklar!$G$38)+Ayarlar!$B$6*IF(Bitkiler!$H$65=Topraklar!$H$38,0,1))/Ayarlar!$B$7)+IF(Topraklar!$K$38=Bitkiler!$C$65,0.002,IF(Topraklar!$L$38="Evet",0.001,0)))</f>
        <v/>
      </c>
      <c r="AM66" s="16">
        <f>IF(OR(Topraklar!$J$39="Evet",AND(Topraklar!$L$39&lt;&gt;"Evet",Topraklar!$K$39&lt;&gt;Bitkiler!$C$65)),0,MAX(0,1-(Ayarlar!$B$2*ABS(Bitkiler!$D$65-Topraklar!$D$39)+Ayarlar!$B$3*ABS(Bitkiler!$E$65-Topraklar!$E$39)+Ayarlar!$B$4*ABS(Bitkiler!$F$65-Topraklar!$F$39)+Ayarlar!$B$5*ABS(Bitkiler!$G$65-Topraklar!$G$39)+Ayarlar!$B$6*IF(Bitkiler!$H$65=Topraklar!$H$39,0,1))/Ayarlar!$B$7)+IF(Topraklar!$K$39=Bitkiler!$C$65,0.002,IF(Topraklar!$L$39="Evet",0.001,0)))</f>
        <v/>
      </c>
      <c r="AN66" s="16">
        <f>IF(OR(Topraklar!$J$40="Evet",AND(Topraklar!$L$40&lt;&gt;"Evet",Topraklar!$K$40&lt;&gt;Bitkiler!$C$65)),0,MAX(0,1-(Ayarlar!$B$2*ABS(Bitkiler!$D$65-Topraklar!$D$40)+Ayarlar!$B$3*ABS(Bitkiler!$E$65-Topraklar!$E$40)+Ayarlar!$B$4*ABS(Bitkiler!$F$65-Topraklar!$F$40)+Ayarlar!$B$5*ABS(Bitkiler!$G$65-Topraklar!$G$40)+Ayarlar!$B$6*IF(Bitkiler!$H$65=Topraklar!$H$40,0,1))/Ayarlar!$B$7)+IF(Topraklar!$K$40=Bitkiler!$C$65,0.002,IF(Topraklar!$L$40="Evet",0.001,0)))</f>
        <v/>
      </c>
      <c r="AO66" s="16">
        <f>IF(OR(Topraklar!$J$41="Evet",AND(Topraklar!$L$41&lt;&gt;"Evet",Topraklar!$K$41&lt;&gt;Bitkiler!$C$65)),0,MAX(0,1-(Ayarlar!$B$2*ABS(Bitkiler!$D$65-Topraklar!$D$41)+Ayarlar!$B$3*ABS(Bitkiler!$E$65-Topraklar!$E$41)+Ayarlar!$B$4*ABS(Bitkiler!$F$65-Topraklar!$F$41)+Ayarlar!$B$5*ABS(Bitkiler!$G$65-Topraklar!$G$41)+Ayarlar!$B$6*IF(Bitkiler!$H$65=Topraklar!$H$41,0,1))/Ayarlar!$B$7)+IF(Topraklar!$K$41=Bitkiler!$C$65,0.002,IF(Topraklar!$L$41="Evet",0.001,0)))</f>
        <v/>
      </c>
      <c r="AP66" s="16">
        <f>IF(OR(Topraklar!$J$42="Evet",AND(Topraklar!$L$42&lt;&gt;"Evet",Topraklar!$K$42&lt;&gt;Bitkiler!$C$65)),0,MAX(0,1-(Ayarlar!$B$2*ABS(Bitkiler!$D$65-Topraklar!$D$42)+Ayarlar!$B$3*ABS(Bitkiler!$E$65-Topraklar!$E$42)+Ayarlar!$B$4*ABS(Bitkiler!$F$65-Topraklar!$F$42)+Ayarlar!$B$5*ABS(Bitkiler!$G$65-Topraklar!$G$42)+Ayarlar!$B$6*IF(Bitkiler!$H$65=Topraklar!$H$42,0,1))/Ayarlar!$B$7)+IF(Topraklar!$K$42=Bitkiler!$C$65,0.002,IF(Topraklar!$L$42="Evet",0.001,0)))</f>
        <v/>
      </c>
      <c r="AQ66" s="16">
        <f>IF(OR(Topraklar!$J$43="Evet",AND(Topraklar!$L$43&lt;&gt;"Evet",Topraklar!$K$43&lt;&gt;Bitkiler!$C$65)),0,MAX(0,1-(Ayarlar!$B$2*ABS(Bitkiler!$D$65-Topraklar!$D$43)+Ayarlar!$B$3*ABS(Bitkiler!$E$65-Topraklar!$E$43)+Ayarlar!$B$4*ABS(Bitkiler!$F$65-Topraklar!$F$43)+Ayarlar!$B$5*ABS(Bitkiler!$G$65-Topraklar!$G$43)+Ayarlar!$B$6*IF(Bitkiler!$H$65=Topraklar!$H$43,0,1))/Ayarlar!$B$7)+IF(Topraklar!$K$43=Bitkiler!$C$65,0.002,IF(Topraklar!$L$43="Evet",0.001,0)))</f>
        <v/>
      </c>
      <c r="AR66" s="16">
        <f>IF(OR(Topraklar!$J$44="Evet",AND(Topraklar!$L$44&lt;&gt;"Evet",Topraklar!$K$44&lt;&gt;Bitkiler!$C$65)),0,MAX(0,1-(Ayarlar!$B$2*ABS(Bitkiler!$D$65-Topraklar!$D$44)+Ayarlar!$B$3*ABS(Bitkiler!$E$65-Topraklar!$E$44)+Ayarlar!$B$4*ABS(Bitkiler!$F$65-Topraklar!$F$44)+Ayarlar!$B$5*ABS(Bitkiler!$G$65-Topraklar!$G$44)+Ayarlar!$B$6*IF(Bitkiler!$H$65=Topraklar!$H$44,0,1))/Ayarlar!$B$7)+IF(Topraklar!$K$44=Bitkiler!$C$65,0.002,IF(Topraklar!$L$44="Evet",0.001,0)))</f>
        <v/>
      </c>
      <c r="AS66" s="16">
        <f>IF(OR(Topraklar!$J$45="Evet",AND(Topraklar!$L$45&lt;&gt;"Evet",Topraklar!$K$45&lt;&gt;Bitkiler!$C$65)),0,MAX(0,1-(Ayarlar!$B$2*ABS(Bitkiler!$D$65-Topraklar!$D$45)+Ayarlar!$B$3*ABS(Bitkiler!$E$65-Topraklar!$E$45)+Ayarlar!$B$4*ABS(Bitkiler!$F$65-Topraklar!$F$45)+Ayarlar!$B$5*ABS(Bitkiler!$G$65-Topraklar!$G$45)+Ayarlar!$B$6*IF(Bitkiler!$H$65=Topraklar!$H$45,0,1))/Ayarlar!$B$7)+IF(Topraklar!$K$45=Bitkiler!$C$65,0.002,IF(Topraklar!$L$45="Evet",0.001,0)))</f>
        <v/>
      </c>
      <c r="AT66" s="16">
        <f>IF(OR(Topraklar!$J$46="Evet",AND(Topraklar!$L$46&lt;&gt;"Evet",Topraklar!$K$46&lt;&gt;Bitkiler!$C$65)),0,MAX(0,1-(Ayarlar!$B$2*ABS(Bitkiler!$D$65-Topraklar!$D$46)+Ayarlar!$B$3*ABS(Bitkiler!$E$65-Topraklar!$E$46)+Ayarlar!$B$4*ABS(Bitkiler!$F$65-Topraklar!$F$46)+Ayarlar!$B$5*ABS(Bitkiler!$G$65-Topraklar!$G$46)+Ayarlar!$B$6*IF(Bitkiler!$H$65=Topraklar!$H$46,0,1))/Ayarlar!$B$7)+IF(Topraklar!$K$46=Bitkiler!$C$65,0.002,IF(Topraklar!$L$46="Evet",0.001,0)))</f>
        <v/>
      </c>
      <c r="AU66" s="16">
        <f>IF(OR(Topraklar!$J$47="Evet",AND(Topraklar!$L$47&lt;&gt;"Evet",Topraklar!$K$47&lt;&gt;Bitkiler!$C$65)),0,MAX(0,1-(Ayarlar!$B$2*ABS(Bitkiler!$D$65-Topraklar!$D$47)+Ayarlar!$B$3*ABS(Bitkiler!$E$65-Topraklar!$E$47)+Ayarlar!$B$4*ABS(Bitkiler!$F$65-Topraklar!$F$47)+Ayarlar!$B$5*ABS(Bitkiler!$G$65-Topraklar!$G$47)+Ayarlar!$B$6*IF(Bitkiler!$H$65=Topraklar!$H$47,0,1))/Ayarlar!$B$7)+IF(Topraklar!$K$47=Bitkiler!$C$65,0.002,IF(Topraklar!$L$47="Evet",0.001,0)))</f>
        <v/>
      </c>
      <c r="AV66" s="16">
        <f>IF(OR(Topraklar!$J$48="Evet",AND(Topraklar!$L$48&lt;&gt;"Evet",Topraklar!$K$48&lt;&gt;Bitkiler!$C$65)),0,MAX(0,1-(Ayarlar!$B$2*ABS(Bitkiler!$D$65-Topraklar!$D$48)+Ayarlar!$B$3*ABS(Bitkiler!$E$65-Topraklar!$E$48)+Ayarlar!$B$4*ABS(Bitkiler!$F$65-Topraklar!$F$48)+Ayarlar!$B$5*ABS(Bitkiler!$G$65-Topraklar!$G$48)+Ayarlar!$B$6*IF(Bitkiler!$H$65=Topraklar!$H$48,0,1))/Ayarlar!$B$7)+IF(Topraklar!$K$48=Bitkiler!$C$65,0.002,IF(Topraklar!$L$48="Evet",0.001,0)))</f>
        <v/>
      </c>
      <c r="AW66" s="16">
        <f>IF(OR(Topraklar!$J$49="Evet",AND(Topraklar!$L$49&lt;&gt;"Evet",Topraklar!$K$49&lt;&gt;Bitkiler!$C$65)),0,MAX(0,1-(Ayarlar!$B$2*ABS(Bitkiler!$D$65-Topraklar!$D$49)+Ayarlar!$B$3*ABS(Bitkiler!$E$65-Topraklar!$E$49)+Ayarlar!$B$4*ABS(Bitkiler!$F$65-Topraklar!$F$49)+Ayarlar!$B$5*ABS(Bitkiler!$G$65-Topraklar!$G$49)+Ayarlar!$B$6*IF(Bitkiler!$H$65=Topraklar!$H$49,0,1))/Ayarlar!$B$7)+IF(Topraklar!$K$49=Bitkiler!$C$65,0.002,IF(Topraklar!$L$49="Evet",0.001,0)))</f>
        <v/>
      </c>
      <c r="AX66" s="16">
        <f>IF(OR(Topraklar!$J$50="Evet",AND(Topraklar!$L$50&lt;&gt;"Evet",Topraklar!$K$50&lt;&gt;Bitkiler!$C$65)),0,MAX(0,1-(Ayarlar!$B$2*ABS(Bitkiler!$D$65-Topraklar!$D$50)+Ayarlar!$B$3*ABS(Bitkiler!$E$65-Topraklar!$E$50)+Ayarlar!$B$4*ABS(Bitkiler!$F$65-Topraklar!$F$50)+Ayarlar!$B$5*ABS(Bitkiler!$G$65-Topraklar!$G$50)+Ayarlar!$B$6*IF(Bitkiler!$H$65=Topraklar!$H$50,0,1))/Ayarlar!$B$7)+IF(Topraklar!$K$50=Bitkiler!$C$65,0.002,IF(Topraklar!$L$50="Evet",0.001,0)))</f>
        <v/>
      </c>
      <c r="AY66" s="16">
        <f>IF(OR(Topraklar!$J$51="Evet",AND(Topraklar!$L$51&lt;&gt;"Evet",Topraklar!$K$51&lt;&gt;Bitkiler!$C$65)),0,MAX(0,1-(Ayarlar!$B$2*ABS(Bitkiler!$D$65-Topraklar!$D$51)+Ayarlar!$B$3*ABS(Bitkiler!$E$65-Topraklar!$E$51)+Ayarlar!$B$4*ABS(Bitkiler!$F$65-Topraklar!$F$51)+Ayarlar!$B$5*ABS(Bitkiler!$G$65-Topraklar!$G$51)+Ayarlar!$B$6*IF(Bitkiler!$H$65=Topraklar!$H$51,0,1))/Ayarlar!$B$7)+IF(Topraklar!$K$51=Bitkiler!$C$65,0.002,IF(Topraklar!$L$51="Evet",0.001,0)))</f>
        <v/>
      </c>
    </row>
    <row r="67">
      <c r="A67" s="15">
        <f>Bitkiler!A66</f>
        <v/>
      </c>
      <c r="B67" s="16">
        <f>IF(OR(Topraklar!$J$2="Evet",AND(Topraklar!$L$2&lt;&gt;"Evet",Topraklar!$K$2&lt;&gt;Bitkiler!$C$66)),0,MAX(0,1-(Ayarlar!$B$2*ABS(Bitkiler!$D$66-Topraklar!$D$2)+Ayarlar!$B$3*ABS(Bitkiler!$E$66-Topraklar!$E$2)+Ayarlar!$B$4*ABS(Bitkiler!$F$66-Topraklar!$F$2)+Ayarlar!$B$5*ABS(Bitkiler!$G$66-Topraklar!$G$2)+Ayarlar!$B$6*IF(Bitkiler!$H$66=Topraklar!$H$2,0,1))/Ayarlar!$B$7)+IF(Topraklar!$K$2=Bitkiler!$C$66,0.002,IF(Topraklar!$L$2="Evet",0.001,0)))</f>
        <v/>
      </c>
      <c r="C67" s="16">
        <f>IF(OR(Topraklar!$J$3="Evet",AND(Topraklar!$L$3&lt;&gt;"Evet",Topraklar!$K$3&lt;&gt;Bitkiler!$C$66)),0,MAX(0,1-(Ayarlar!$B$2*ABS(Bitkiler!$D$66-Topraklar!$D$3)+Ayarlar!$B$3*ABS(Bitkiler!$E$66-Topraklar!$E$3)+Ayarlar!$B$4*ABS(Bitkiler!$F$66-Topraklar!$F$3)+Ayarlar!$B$5*ABS(Bitkiler!$G$66-Topraklar!$G$3)+Ayarlar!$B$6*IF(Bitkiler!$H$66=Topraklar!$H$3,0,1))/Ayarlar!$B$7)+IF(Topraklar!$K$3=Bitkiler!$C$66,0.002,IF(Topraklar!$L$3="Evet",0.001,0)))</f>
        <v/>
      </c>
      <c r="D67" s="16">
        <f>IF(OR(Topraklar!$J$4="Evet",AND(Topraklar!$L$4&lt;&gt;"Evet",Topraklar!$K$4&lt;&gt;Bitkiler!$C$66)),0,MAX(0,1-(Ayarlar!$B$2*ABS(Bitkiler!$D$66-Topraklar!$D$4)+Ayarlar!$B$3*ABS(Bitkiler!$E$66-Topraklar!$E$4)+Ayarlar!$B$4*ABS(Bitkiler!$F$66-Topraklar!$F$4)+Ayarlar!$B$5*ABS(Bitkiler!$G$66-Topraklar!$G$4)+Ayarlar!$B$6*IF(Bitkiler!$H$66=Topraklar!$H$4,0,1))/Ayarlar!$B$7)+IF(Topraklar!$K$4=Bitkiler!$C$66,0.002,IF(Topraklar!$L$4="Evet",0.001,0)))</f>
        <v/>
      </c>
      <c r="E67" s="16">
        <f>IF(OR(Topraklar!$J$5="Evet",AND(Topraklar!$L$5&lt;&gt;"Evet",Topraklar!$K$5&lt;&gt;Bitkiler!$C$66)),0,MAX(0,1-(Ayarlar!$B$2*ABS(Bitkiler!$D$66-Topraklar!$D$5)+Ayarlar!$B$3*ABS(Bitkiler!$E$66-Topraklar!$E$5)+Ayarlar!$B$4*ABS(Bitkiler!$F$66-Topraklar!$F$5)+Ayarlar!$B$5*ABS(Bitkiler!$G$66-Topraklar!$G$5)+Ayarlar!$B$6*IF(Bitkiler!$H$66=Topraklar!$H$5,0,1))/Ayarlar!$B$7)+IF(Topraklar!$K$5=Bitkiler!$C$66,0.002,IF(Topraklar!$L$5="Evet",0.001,0)))</f>
        <v/>
      </c>
      <c r="F67" s="16">
        <f>IF(OR(Topraklar!$J$6="Evet",AND(Topraklar!$L$6&lt;&gt;"Evet",Topraklar!$K$6&lt;&gt;Bitkiler!$C$66)),0,MAX(0,1-(Ayarlar!$B$2*ABS(Bitkiler!$D$66-Topraklar!$D$6)+Ayarlar!$B$3*ABS(Bitkiler!$E$66-Topraklar!$E$6)+Ayarlar!$B$4*ABS(Bitkiler!$F$66-Topraklar!$F$6)+Ayarlar!$B$5*ABS(Bitkiler!$G$66-Topraklar!$G$6)+Ayarlar!$B$6*IF(Bitkiler!$H$66=Topraklar!$H$6,0,1))/Ayarlar!$B$7)+IF(Topraklar!$K$6=Bitkiler!$C$66,0.002,IF(Topraklar!$L$6="Evet",0.001,0)))</f>
        <v/>
      </c>
      <c r="G67" s="16">
        <f>IF(OR(Topraklar!$J$7="Evet",AND(Topraklar!$L$7&lt;&gt;"Evet",Topraklar!$K$7&lt;&gt;Bitkiler!$C$66)),0,MAX(0,1-(Ayarlar!$B$2*ABS(Bitkiler!$D$66-Topraklar!$D$7)+Ayarlar!$B$3*ABS(Bitkiler!$E$66-Topraklar!$E$7)+Ayarlar!$B$4*ABS(Bitkiler!$F$66-Topraklar!$F$7)+Ayarlar!$B$5*ABS(Bitkiler!$G$66-Topraklar!$G$7)+Ayarlar!$B$6*IF(Bitkiler!$H$66=Topraklar!$H$7,0,1))/Ayarlar!$B$7)+IF(Topraklar!$K$7=Bitkiler!$C$66,0.002,IF(Topraklar!$L$7="Evet",0.001,0)))</f>
        <v/>
      </c>
      <c r="H67" s="16">
        <f>IF(OR(Topraklar!$J$8="Evet",AND(Topraklar!$L$8&lt;&gt;"Evet",Topraklar!$K$8&lt;&gt;Bitkiler!$C$66)),0,MAX(0,1-(Ayarlar!$B$2*ABS(Bitkiler!$D$66-Topraklar!$D$8)+Ayarlar!$B$3*ABS(Bitkiler!$E$66-Topraklar!$E$8)+Ayarlar!$B$4*ABS(Bitkiler!$F$66-Topraklar!$F$8)+Ayarlar!$B$5*ABS(Bitkiler!$G$66-Topraklar!$G$8)+Ayarlar!$B$6*IF(Bitkiler!$H$66=Topraklar!$H$8,0,1))/Ayarlar!$B$7)+IF(Topraklar!$K$8=Bitkiler!$C$66,0.002,IF(Topraklar!$L$8="Evet",0.001,0)))</f>
        <v/>
      </c>
      <c r="I67" s="16">
        <f>IF(OR(Topraklar!$J$9="Evet",AND(Topraklar!$L$9&lt;&gt;"Evet",Topraklar!$K$9&lt;&gt;Bitkiler!$C$66)),0,MAX(0,1-(Ayarlar!$B$2*ABS(Bitkiler!$D$66-Topraklar!$D$9)+Ayarlar!$B$3*ABS(Bitkiler!$E$66-Topraklar!$E$9)+Ayarlar!$B$4*ABS(Bitkiler!$F$66-Topraklar!$F$9)+Ayarlar!$B$5*ABS(Bitkiler!$G$66-Topraklar!$G$9)+Ayarlar!$B$6*IF(Bitkiler!$H$66=Topraklar!$H$9,0,1))/Ayarlar!$B$7)+IF(Topraklar!$K$9=Bitkiler!$C$66,0.002,IF(Topraklar!$L$9="Evet",0.001,0)))</f>
        <v/>
      </c>
      <c r="J67" s="16">
        <f>IF(OR(Topraklar!$J$10="Evet",AND(Topraklar!$L$10&lt;&gt;"Evet",Topraklar!$K$10&lt;&gt;Bitkiler!$C$66)),0,MAX(0,1-(Ayarlar!$B$2*ABS(Bitkiler!$D$66-Topraklar!$D$10)+Ayarlar!$B$3*ABS(Bitkiler!$E$66-Topraklar!$E$10)+Ayarlar!$B$4*ABS(Bitkiler!$F$66-Topraklar!$F$10)+Ayarlar!$B$5*ABS(Bitkiler!$G$66-Topraklar!$G$10)+Ayarlar!$B$6*IF(Bitkiler!$H$66=Topraklar!$H$10,0,1))/Ayarlar!$B$7)+IF(Topraklar!$K$10=Bitkiler!$C$66,0.002,IF(Topraklar!$L$10="Evet",0.001,0)))</f>
        <v/>
      </c>
      <c r="K67" s="16">
        <f>IF(OR(Topraklar!$J$11="Evet",AND(Topraklar!$L$11&lt;&gt;"Evet",Topraklar!$K$11&lt;&gt;Bitkiler!$C$66)),0,MAX(0,1-(Ayarlar!$B$2*ABS(Bitkiler!$D$66-Topraklar!$D$11)+Ayarlar!$B$3*ABS(Bitkiler!$E$66-Topraklar!$E$11)+Ayarlar!$B$4*ABS(Bitkiler!$F$66-Topraklar!$F$11)+Ayarlar!$B$5*ABS(Bitkiler!$G$66-Topraklar!$G$11)+Ayarlar!$B$6*IF(Bitkiler!$H$66=Topraklar!$H$11,0,1))/Ayarlar!$B$7)+IF(Topraklar!$K$11=Bitkiler!$C$66,0.002,IF(Topraklar!$L$11="Evet",0.001,0)))</f>
        <v/>
      </c>
      <c r="L67" s="16">
        <f>IF(OR(Topraklar!$J$12="Evet",AND(Topraklar!$L$12&lt;&gt;"Evet",Topraklar!$K$12&lt;&gt;Bitkiler!$C$66)),0,MAX(0,1-(Ayarlar!$B$2*ABS(Bitkiler!$D$66-Topraklar!$D$12)+Ayarlar!$B$3*ABS(Bitkiler!$E$66-Topraklar!$E$12)+Ayarlar!$B$4*ABS(Bitkiler!$F$66-Topraklar!$F$12)+Ayarlar!$B$5*ABS(Bitkiler!$G$66-Topraklar!$G$12)+Ayarlar!$B$6*IF(Bitkiler!$H$66=Topraklar!$H$12,0,1))/Ayarlar!$B$7)+IF(Topraklar!$K$12=Bitkiler!$C$66,0.002,IF(Topraklar!$L$12="Evet",0.001,0)))</f>
        <v/>
      </c>
      <c r="M67" s="16">
        <f>IF(OR(Topraklar!$J$13="Evet",AND(Topraklar!$L$13&lt;&gt;"Evet",Topraklar!$K$13&lt;&gt;Bitkiler!$C$66)),0,MAX(0,1-(Ayarlar!$B$2*ABS(Bitkiler!$D$66-Topraklar!$D$13)+Ayarlar!$B$3*ABS(Bitkiler!$E$66-Topraklar!$E$13)+Ayarlar!$B$4*ABS(Bitkiler!$F$66-Topraklar!$F$13)+Ayarlar!$B$5*ABS(Bitkiler!$G$66-Topraklar!$G$13)+Ayarlar!$B$6*IF(Bitkiler!$H$66=Topraklar!$H$13,0,1))/Ayarlar!$B$7)+IF(Topraklar!$K$13=Bitkiler!$C$66,0.002,IF(Topraklar!$L$13="Evet",0.001,0)))</f>
        <v/>
      </c>
      <c r="N67" s="16">
        <f>IF(OR(Topraklar!$J$14="Evet",AND(Topraklar!$L$14&lt;&gt;"Evet",Topraklar!$K$14&lt;&gt;Bitkiler!$C$66)),0,MAX(0,1-(Ayarlar!$B$2*ABS(Bitkiler!$D$66-Topraklar!$D$14)+Ayarlar!$B$3*ABS(Bitkiler!$E$66-Topraklar!$E$14)+Ayarlar!$B$4*ABS(Bitkiler!$F$66-Topraklar!$F$14)+Ayarlar!$B$5*ABS(Bitkiler!$G$66-Topraklar!$G$14)+Ayarlar!$B$6*IF(Bitkiler!$H$66=Topraklar!$H$14,0,1))/Ayarlar!$B$7)+IF(Topraklar!$K$14=Bitkiler!$C$66,0.002,IF(Topraklar!$L$14="Evet",0.001,0)))</f>
        <v/>
      </c>
      <c r="O67" s="16">
        <f>IF(OR(Topraklar!$J$15="Evet",AND(Topraklar!$L$15&lt;&gt;"Evet",Topraklar!$K$15&lt;&gt;Bitkiler!$C$66)),0,MAX(0,1-(Ayarlar!$B$2*ABS(Bitkiler!$D$66-Topraklar!$D$15)+Ayarlar!$B$3*ABS(Bitkiler!$E$66-Topraklar!$E$15)+Ayarlar!$B$4*ABS(Bitkiler!$F$66-Topraklar!$F$15)+Ayarlar!$B$5*ABS(Bitkiler!$G$66-Topraklar!$G$15)+Ayarlar!$B$6*IF(Bitkiler!$H$66=Topraklar!$H$15,0,1))/Ayarlar!$B$7)+IF(Topraklar!$K$15=Bitkiler!$C$66,0.002,IF(Topraklar!$L$15="Evet",0.001,0)))</f>
        <v/>
      </c>
      <c r="P67" s="16">
        <f>IF(OR(Topraklar!$J$16="Evet",AND(Topraklar!$L$16&lt;&gt;"Evet",Topraklar!$K$16&lt;&gt;Bitkiler!$C$66)),0,MAX(0,1-(Ayarlar!$B$2*ABS(Bitkiler!$D$66-Topraklar!$D$16)+Ayarlar!$B$3*ABS(Bitkiler!$E$66-Topraklar!$E$16)+Ayarlar!$B$4*ABS(Bitkiler!$F$66-Topraklar!$F$16)+Ayarlar!$B$5*ABS(Bitkiler!$G$66-Topraklar!$G$16)+Ayarlar!$B$6*IF(Bitkiler!$H$66=Topraklar!$H$16,0,1))/Ayarlar!$B$7)+IF(Topraklar!$K$16=Bitkiler!$C$66,0.002,IF(Topraklar!$L$16="Evet",0.001,0)))</f>
        <v/>
      </c>
      <c r="Q67" s="16">
        <f>IF(OR(Topraklar!$J$17="Evet",AND(Topraklar!$L$17&lt;&gt;"Evet",Topraklar!$K$17&lt;&gt;Bitkiler!$C$66)),0,MAX(0,1-(Ayarlar!$B$2*ABS(Bitkiler!$D$66-Topraklar!$D$17)+Ayarlar!$B$3*ABS(Bitkiler!$E$66-Topraklar!$E$17)+Ayarlar!$B$4*ABS(Bitkiler!$F$66-Topraklar!$F$17)+Ayarlar!$B$5*ABS(Bitkiler!$G$66-Topraklar!$G$17)+Ayarlar!$B$6*IF(Bitkiler!$H$66=Topraklar!$H$17,0,1))/Ayarlar!$B$7)+IF(Topraklar!$K$17=Bitkiler!$C$66,0.002,IF(Topraklar!$L$17="Evet",0.001,0)))</f>
        <v/>
      </c>
      <c r="R67" s="16">
        <f>IF(OR(Topraklar!$J$18="Evet",AND(Topraklar!$L$18&lt;&gt;"Evet",Topraklar!$K$18&lt;&gt;Bitkiler!$C$66)),0,MAX(0,1-(Ayarlar!$B$2*ABS(Bitkiler!$D$66-Topraklar!$D$18)+Ayarlar!$B$3*ABS(Bitkiler!$E$66-Topraklar!$E$18)+Ayarlar!$B$4*ABS(Bitkiler!$F$66-Topraklar!$F$18)+Ayarlar!$B$5*ABS(Bitkiler!$G$66-Topraklar!$G$18)+Ayarlar!$B$6*IF(Bitkiler!$H$66=Topraklar!$H$18,0,1))/Ayarlar!$B$7)+IF(Topraklar!$K$18=Bitkiler!$C$66,0.002,IF(Topraklar!$L$18="Evet",0.001,0)))</f>
        <v/>
      </c>
      <c r="S67" s="16">
        <f>IF(OR(Topraklar!$J$19="Evet",AND(Topraklar!$L$19&lt;&gt;"Evet",Topraklar!$K$19&lt;&gt;Bitkiler!$C$66)),0,MAX(0,1-(Ayarlar!$B$2*ABS(Bitkiler!$D$66-Topraklar!$D$19)+Ayarlar!$B$3*ABS(Bitkiler!$E$66-Topraklar!$E$19)+Ayarlar!$B$4*ABS(Bitkiler!$F$66-Topraklar!$F$19)+Ayarlar!$B$5*ABS(Bitkiler!$G$66-Topraklar!$G$19)+Ayarlar!$B$6*IF(Bitkiler!$H$66=Topraklar!$H$19,0,1))/Ayarlar!$B$7)+IF(Topraklar!$K$19=Bitkiler!$C$66,0.002,IF(Topraklar!$L$19="Evet",0.001,0)))</f>
        <v/>
      </c>
      <c r="T67" s="16">
        <f>IF(OR(Topraklar!$J$20="Evet",AND(Topraklar!$L$20&lt;&gt;"Evet",Topraklar!$K$20&lt;&gt;Bitkiler!$C$66)),0,MAX(0,1-(Ayarlar!$B$2*ABS(Bitkiler!$D$66-Topraklar!$D$20)+Ayarlar!$B$3*ABS(Bitkiler!$E$66-Topraklar!$E$20)+Ayarlar!$B$4*ABS(Bitkiler!$F$66-Topraklar!$F$20)+Ayarlar!$B$5*ABS(Bitkiler!$G$66-Topraklar!$G$20)+Ayarlar!$B$6*IF(Bitkiler!$H$66=Topraklar!$H$20,0,1))/Ayarlar!$B$7)+IF(Topraklar!$K$20=Bitkiler!$C$66,0.002,IF(Topraklar!$L$20="Evet",0.001,0)))</f>
        <v/>
      </c>
      <c r="U67" s="16">
        <f>IF(OR(Topraklar!$J$21="Evet",AND(Topraklar!$L$21&lt;&gt;"Evet",Topraklar!$K$21&lt;&gt;Bitkiler!$C$66)),0,MAX(0,1-(Ayarlar!$B$2*ABS(Bitkiler!$D$66-Topraklar!$D$21)+Ayarlar!$B$3*ABS(Bitkiler!$E$66-Topraklar!$E$21)+Ayarlar!$B$4*ABS(Bitkiler!$F$66-Topraklar!$F$21)+Ayarlar!$B$5*ABS(Bitkiler!$G$66-Topraklar!$G$21)+Ayarlar!$B$6*IF(Bitkiler!$H$66=Topraklar!$H$21,0,1))/Ayarlar!$B$7)+IF(Topraklar!$K$21=Bitkiler!$C$66,0.002,IF(Topraklar!$L$21="Evet",0.001,0)))</f>
        <v/>
      </c>
      <c r="V67" s="16">
        <f>IF(OR(Topraklar!$J$22="Evet",AND(Topraklar!$L$22&lt;&gt;"Evet",Topraklar!$K$22&lt;&gt;Bitkiler!$C$66)),0,MAX(0,1-(Ayarlar!$B$2*ABS(Bitkiler!$D$66-Topraklar!$D$22)+Ayarlar!$B$3*ABS(Bitkiler!$E$66-Topraklar!$E$22)+Ayarlar!$B$4*ABS(Bitkiler!$F$66-Topraklar!$F$22)+Ayarlar!$B$5*ABS(Bitkiler!$G$66-Topraklar!$G$22)+Ayarlar!$B$6*IF(Bitkiler!$H$66=Topraklar!$H$22,0,1))/Ayarlar!$B$7)+IF(Topraklar!$K$22=Bitkiler!$C$66,0.002,IF(Topraklar!$L$22="Evet",0.001,0)))</f>
        <v/>
      </c>
      <c r="W67" s="16">
        <f>IF(OR(Topraklar!$J$23="Evet",AND(Topraklar!$L$23&lt;&gt;"Evet",Topraklar!$K$23&lt;&gt;Bitkiler!$C$66)),0,MAX(0,1-(Ayarlar!$B$2*ABS(Bitkiler!$D$66-Topraklar!$D$23)+Ayarlar!$B$3*ABS(Bitkiler!$E$66-Topraklar!$E$23)+Ayarlar!$B$4*ABS(Bitkiler!$F$66-Topraklar!$F$23)+Ayarlar!$B$5*ABS(Bitkiler!$G$66-Topraklar!$G$23)+Ayarlar!$B$6*IF(Bitkiler!$H$66=Topraklar!$H$23,0,1))/Ayarlar!$B$7)+IF(Topraklar!$K$23=Bitkiler!$C$66,0.002,IF(Topraklar!$L$23="Evet",0.001,0)))</f>
        <v/>
      </c>
      <c r="X67" s="16">
        <f>IF(OR(Topraklar!$J$24="Evet",AND(Topraklar!$L$24&lt;&gt;"Evet",Topraklar!$K$24&lt;&gt;Bitkiler!$C$66)),0,MAX(0,1-(Ayarlar!$B$2*ABS(Bitkiler!$D$66-Topraklar!$D$24)+Ayarlar!$B$3*ABS(Bitkiler!$E$66-Topraklar!$E$24)+Ayarlar!$B$4*ABS(Bitkiler!$F$66-Topraklar!$F$24)+Ayarlar!$B$5*ABS(Bitkiler!$G$66-Topraklar!$G$24)+Ayarlar!$B$6*IF(Bitkiler!$H$66=Topraklar!$H$24,0,1))/Ayarlar!$B$7)+IF(Topraklar!$K$24=Bitkiler!$C$66,0.002,IF(Topraklar!$L$24="Evet",0.001,0)))</f>
        <v/>
      </c>
      <c r="Y67" s="16">
        <f>IF(OR(Topraklar!$J$25="Evet",AND(Topraklar!$L$25&lt;&gt;"Evet",Topraklar!$K$25&lt;&gt;Bitkiler!$C$66)),0,MAX(0,1-(Ayarlar!$B$2*ABS(Bitkiler!$D$66-Topraklar!$D$25)+Ayarlar!$B$3*ABS(Bitkiler!$E$66-Topraklar!$E$25)+Ayarlar!$B$4*ABS(Bitkiler!$F$66-Topraklar!$F$25)+Ayarlar!$B$5*ABS(Bitkiler!$G$66-Topraklar!$G$25)+Ayarlar!$B$6*IF(Bitkiler!$H$66=Topraklar!$H$25,0,1))/Ayarlar!$B$7)+IF(Topraklar!$K$25=Bitkiler!$C$66,0.002,IF(Topraklar!$L$25="Evet",0.001,0)))</f>
        <v/>
      </c>
      <c r="Z67" s="16">
        <f>IF(OR(Topraklar!$J$26="Evet",AND(Topraklar!$L$26&lt;&gt;"Evet",Topraklar!$K$26&lt;&gt;Bitkiler!$C$66)),0,MAX(0,1-(Ayarlar!$B$2*ABS(Bitkiler!$D$66-Topraklar!$D$26)+Ayarlar!$B$3*ABS(Bitkiler!$E$66-Topraklar!$E$26)+Ayarlar!$B$4*ABS(Bitkiler!$F$66-Topraklar!$F$26)+Ayarlar!$B$5*ABS(Bitkiler!$G$66-Topraklar!$G$26)+Ayarlar!$B$6*IF(Bitkiler!$H$66=Topraklar!$H$26,0,1))/Ayarlar!$B$7)+IF(Topraklar!$K$26=Bitkiler!$C$66,0.002,IF(Topraklar!$L$26="Evet",0.001,0)))</f>
        <v/>
      </c>
      <c r="AA67" s="16">
        <f>IF(OR(Topraklar!$J$27="Evet",AND(Topraklar!$L$27&lt;&gt;"Evet",Topraklar!$K$27&lt;&gt;Bitkiler!$C$66)),0,MAX(0,1-(Ayarlar!$B$2*ABS(Bitkiler!$D$66-Topraklar!$D$27)+Ayarlar!$B$3*ABS(Bitkiler!$E$66-Topraklar!$E$27)+Ayarlar!$B$4*ABS(Bitkiler!$F$66-Topraklar!$F$27)+Ayarlar!$B$5*ABS(Bitkiler!$G$66-Topraklar!$G$27)+Ayarlar!$B$6*IF(Bitkiler!$H$66=Topraklar!$H$27,0,1))/Ayarlar!$B$7)+IF(Topraklar!$K$27=Bitkiler!$C$66,0.002,IF(Topraklar!$L$27="Evet",0.001,0)))</f>
        <v/>
      </c>
      <c r="AB67" s="16">
        <f>IF(OR(Topraklar!$J$28="Evet",AND(Topraklar!$L$28&lt;&gt;"Evet",Topraklar!$K$28&lt;&gt;Bitkiler!$C$66)),0,MAX(0,1-(Ayarlar!$B$2*ABS(Bitkiler!$D$66-Topraklar!$D$28)+Ayarlar!$B$3*ABS(Bitkiler!$E$66-Topraklar!$E$28)+Ayarlar!$B$4*ABS(Bitkiler!$F$66-Topraklar!$F$28)+Ayarlar!$B$5*ABS(Bitkiler!$G$66-Topraklar!$G$28)+Ayarlar!$B$6*IF(Bitkiler!$H$66=Topraklar!$H$28,0,1))/Ayarlar!$B$7)+IF(Topraklar!$K$28=Bitkiler!$C$66,0.002,IF(Topraklar!$L$28="Evet",0.001,0)))</f>
        <v/>
      </c>
      <c r="AC67" s="16">
        <f>IF(OR(Topraklar!$J$29="Evet",AND(Topraklar!$L$29&lt;&gt;"Evet",Topraklar!$K$29&lt;&gt;Bitkiler!$C$66)),0,MAX(0,1-(Ayarlar!$B$2*ABS(Bitkiler!$D$66-Topraklar!$D$29)+Ayarlar!$B$3*ABS(Bitkiler!$E$66-Topraklar!$E$29)+Ayarlar!$B$4*ABS(Bitkiler!$F$66-Topraklar!$F$29)+Ayarlar!$B$5*ABS(Bitkiler!$G$66-Topraklar!$G$29)+Ayarlar!$B$6*IF(Bitkiler!$H$66=Topraklar!$H$29,0,1))/Ayarlar!$B$7)+IF(Topraklar!$K$29=Bitkiler!$C$66,0.002,IF(Topraklar!$L$29="Evet",0.001,0)))</f>
        <v/>
      </c>
      <c r="AD67" s="16">
        <f>IF(OR(Topraklar!$J$30="Evet",AND(Topraklar!$L$30&lt;&gt;"Evet",Topraklar!$K$30&lt;&gt;Bitkiler!$C$66)),0,MAX(0,1-(Ayarlar!$B$2*ABS(Bitkiler!$D$66-Topraklar!$D$30)+Ayarlar!$B$3*ABS(Bitkiler!$E$66-Topraklar!$E$30)+Ayarlar!$B$4*ABS(Bitkiler!$F$66-Topraklar!$F$30)+Ayarlar!$B$5*ABS(Bitkiler!$G$66-Topraklar!$G$30)+Ayarlar!$B$6*IF(Bitkiler!$H$66=Topraklar!$H$30,0,1))/Ayarlar!$B$7)+IF(Topraklar!$K$30=Bitkiler!$C$66,0.002,IF(Topraklar!$L$30="Evet",0.001,0)))</f>
        <v/>
      </c>
      <c r="AE67" s="16">
        <f>IF(OR(Topraklar!$J$31="Evet",AND(Topraklar!$L$31&lt;&gt;"Evet",Topraklar!$K$31&lt;&gt;Bitkiler!$C$66)),0,MAX(0,1-(Ayarlar!$B$2*ABS(Bitkiler!$D$66-Topraklar!$D$31)+Ayarlar!$B$3*ABS(Bitkiler!$E$66-Topraklar!$E$31)+Ayarlar!$B$4*ABS(Bitkiler!$F$66-Topraklar!$F$31)+Ayarlar!$B$5*ABS(Bitkiler!$G$66-Topraklar!$G$31)+Ayarlar!$B$6*IF(Bitkiler!$H$66=Topraklar!$H$31,0,1))/Ayarlar!$B$7)+IF(Topraklar!$K$31=Bitkiler!$C$66,0.002,IF(Topraklar!$L$31="Evet",0.001,0)))</f>
        <v/>
      </c>
      <c r="AF67" s="16">
        <f>IF(OR(Topraklar!$J$32="Evet",AND(Topraklar!$L$32&lt;&gt;"Evet",Topraklar!$K$32&lt;&gt;Bitkiler!$C$66)),0,MAX(0,1-(Ayarlar!$B$2*ABS(Bitkiler!$D$66-Topraklar!$D$32)+Ayarlar!$B$3*ABS(Bitkiler!$E$66-Topraklar!$E$32)+Ayarlar!$B$4*ABS(Bitkiler!$F$66-Topraklar!$F$32)+Ayarlar!$B$5*ABS(Bitkiler!$G$66-Topraklar!$G$32)+Ayarlar!$B$6*IF(Bitkiler!$H$66=Topraklar!$H$32,0,1))/Ayarlar!$B$7)+IF(Topraklar!$K$32=Bitkiler!$C$66,0.002,IF(Topraklar!$L$32="Evet",0.001,0)))</f>
        <v/>
      </c>
      <c r="AG67" s="16">
        <f>IF(OR(Topraklar!$J$33="Evet",AND(Topraklar!$L$33&lt;&gt;"Evet",Topraklar!$K$33&lt;&gt;Bitkiler!$C$66)),0,MAX(0,1-(Ayarlar!$B$2*ABS(Bitkiler!$D$66-Topraklar!$D$33)+Ayarlar!$B$3*ABS(Bitkiler!$E$66-Topraklar!$E$33)+Ayarlar!$B$4*ABS(Bitkiler!$F$66-Topraklar!$F$33)+Ayarlar!$B$5*ABS(Bitkiler!$G$66-Topraklar!$G$33)+Ayarlar!$B$6*IF(Bitkiler!$H$66=Topraklar!$H$33,0,1))/Ayarlar!$B$7)+IF(Topraklar!$K$33=Bitkiler!$C$66,0.002,IF(Topraklar!$L$33="Evet",0.001,0)))</f>
        <v/>
      </c>
      <c r="AH67" s="16">
        <f>IF(OR(Topraklar!$J$34="Evet",AND(Topraklar!$L$34&lt;&gt;"Evet",Topraklar!$K$34&lt;&gt;Bitkiler!$C$66)),0,MAX(0,1-(Ayarlar!$B$2*ABS(Bitkiler!$D$66-Topraklar!$D$34)+Ayarlar!$B$3*ABS(Bitkiler!$E$66-Topraklar!$E$34)+Ayarlar!$B$4*ABS(Bitkiler!$F$66-Topraklar!$F$34)+Ayarlar!$B$5*ABS(Bitkiler!$G$66-Topraklar!$G$34)+Ayarlar!$B$6*IF(Bitkiler!$H$66=Topraklar!$H$34,0,1))/Ayarlar!$B$7)+IF(Topraklar!$K$34=Bitkiler!$C$66,0.002,IF(Topraklar!$L$34="Evet",0.001,0)))</f>
        <v/>
      </c>
      <c r="AI67" s="16">
        <f>IF(OR(Topraklar!$J$35="Evet",AND(Topraklar!$L$35&lt;&gt;"Evet",Topraklar!$K$35&lt;&gt;Bitkiler!$C$66)),0,MAX(0,1-(Ayarlar!$B$2*ABS(Bitkiler!$D$66-Topraklar!$D$35)+Ayarlar!$B$3*ABS(Bitkiler!$E$66-Topraklar!$E$35)+Ayarlar!$B$4*ABS(Bitkiler!$F$66-Topraklar!$F$35)+Ayarlar!$B$5*ABS(Bitkiler!$G$66-Topraklar!$G$35)+Ayarlar!$B$6*IF(Bitkiler!$H$66=Topraklar!$H$35,0,1))/Ayarlar!$B$7)+IF(Topraklar!$K$35=Bitkiler!$C$66,0.002,IF(Topraklar!$L$35="Evet",0.001,0)))</f>
        <v/>
      </c>
      <c r="AJ67" s="16">
        <f>IF(OR(Topraklar!$J$36="Evet",AND(Topraklar!$L$36&lt;&gt;"Evet",Topraklar!$K$36&lt;&gt;Bitkiler!$C$66)),0,MAX(0,1-(Ayarlar!$B$2*ABS(Bitkiler!$D$66-Topraklar!$D$36)+Ayarlar!$B$3*ABS(Bitkiler!$E$66-Topraklar!$E$36)+Ayarlar!$B$4*ABS(Bitkiler!$F$66-Topraklar!$F$36)+Ayarlar!$B$5*ABS(Bitkiler!$G$66-Topraklar!$G$36)+Ayarlar!$B$6*IF(Bitkiler!$H$66=Topraklar!$H$36,0,1))/Ayarlar!$B$7)+IF(Topraklar!$K$36=Bitkiler!$C$66,0.002,IF(Topraklar!$L$36="Evet",0.001,0)))</f>
        <v/>
      </c>
      <c r="AK67" s="16">
        <f>IF(OR(Topraklar!$J$37="Evet",AND(Topraklar!$L$37&lt;&gt;"Evet",Topraklar!$K$37&lt;&gt;Bitkiler!$C$66)),0,MAX(0,1-(Ayarlar!$B$2*ABS(Bitkiler!$D$66-Topraklar!$D$37)+Ayarlar!$B$3*ABS(Bitkiler!$E$66-Topraklar!$E$37)+Ayarlar!$B$4*ABS(Bitkiler!$F$66-Topraklar!$F$37)+Ayarlar!$B$5*ABS(Bitkiler!$G$66-Topraklar!$G$37)+Ayarlar!$B$6*IF(Bitkiler!$H$66=Topraklar!$H$37,0,1))/Ayarlar!$B$7)+IF(Topraklar!$K$37=Bitkiler!$C$66,0.002,IF(Topraklar!$L$37="Evet",0.001,0)))</f>
        <v/>
      </c>
      <c r="AL67" s="16">
        <f>IF(OR(Topraklar!$J$38="Evet",AND(Topraklar!$L$38&lt;&gt;"Evet",Topraklar!$K$38&lt;&gt;Bitkiler!$C$66)),0,MAX(0,1-(Ayarlar!$B$2*ABS(Bitkiler!$D$66-Topraklar!$D$38)+Ayarlar!$B$3*ABS(Bitkiler!$E$66-Topraklar!$E$38)+Ayarlar!$B$4*ABS(Bitkiler!$F$66-Topraklar!$F$38)+Ayarlar!$B$5*ABS(Bitkiler!$G$66-Topraklar!$G$38)+Ayarlar!$B$6*IF(Bitkiler!$H$66=Topraklar!$H$38,0,1))/Ayarlar!$B$7)+IF(Topraklar!$K$38=Bitkiler!$C$66,0.002,IF(Topraklar!$L$38="Evet",0.001,0)))</f>
        <v/>
      </c>
      <c r="AM67" s="16">
        <f>IF(OR(Topraklar!$J$39="Evet",AND(Topraklar!$L$39&lt;&gt;"Evet",Topraklar!$K$39&lt;&gt;Bitkiler!$C$66)),0,MAX(0,1-(Ayarlar!$B$2*ABS(Bitkiler!$D$66-Topraklar!$D$39)+Ayarlar!$B$3*ABS(Bitkiler!$E$66-Topraklar!$E$39)+Ayarlar!$B$4*ABS(Bitkiler!$F$66-Topraklar!$F$39)+Ayarlar!$B$5*ABS(Bitkiler!$G$66-Topraklar!$G$39)+Ayarlar!$B$6*IF(Bitkiler!$H$66=Topraklar!$H$39,0,1))/Ayarlar!$B$7)+IF(Topraklar!$K$39=Bitkiler!$C$66,0.002,IF(Topraklar!$L$39="Evet",0.001,0)))</f>
        <v/>
      </c>
      <c r="AN67" s="16">
        <f>IF(OR(Topraklar!$J$40="Evet",AND(Topraklar!$L$40&lt;&gt;"Evet",Topraklar!$K$40&lt;&gt;Bitkiler!$C$66)),0,MAX(0,1-(Ayarlar!$B$2*ABS(Bitkiler!$D$66-Topraklar!$D$40)+Ayarlar!$B$3*ABS(Bitkiler!$E$66-Topraklar!$E$40)+Ayarlar!$B$4*ABS(Bitkiler!$F$66-Topraklar!$F$40)+Ayarlar!$B$5*ABS(Bitkiler!$G$66-Topraklar!$G$40)+Ayarlar!$B$6*IF(Bitkiler!$H$66=Topraklar!$H$40,0,1))/Ayarlar!$B$7)+IF(Topraklar!$K$40=Bitkiler!$C$66,0.002,IF(Topraklar!$L$40="Evet",0.001,0)))</f>
        <v/>
      </c>
      <c r="AO67" s="16">
        <f>IF(OR(Topraklar!$J$41="Evet",AND(Topraklar!$L$41&lt;&gt;"Evet",Topraklar!$K$41&lt;&gt;Bitkiler!$C$66)),0,MAX(0,1-(Ayarlar!$B$2*ABS(Bitkiler!$D$66-Topraklar!$D$41)+Ayarlar!$B$3*ABS(Bitkiler!$E$66-Topraklar!$E$41)+Ayarlar!$B$4*ABS(Bitkiler!$F$66-Topraklar!$F$41)+Ayarlar!$B$5*ABS(Bitkiler!$G$66-Topraklar!$G$41)+Ayarlar!$B$6*IF(Bitkiler!$H$66=Topraklar!$H$41,0,1))/Ayarlar!$B$7)+IF(Topraklar!$K$41=Bitkiler!$C$66,0.002,IF(Topraklar!$L$41="Evet",0.001,0)))</f>
        <v/>
      </c>
      <c r="AP67" s="16">
        <f>IF(OR(Topraklar!$J$42="Evet",AND(Topraklar!$L$42&lt;&gt;"Evet",Topraklar!$K$42&lt;&gt;Bitkiler!$C$66)),0,MAX(0,1-(Ayarlar!$B$2*ABS(Bitkiler!$D$66-Topraklar!$D$42)+Ayarlar!$B$3*ABS(Bitkiler!$E$66-Topraklar!$E$42)+Ayarlar!$B$4*ABS(Bitkiler!$F$66-Topraklar!$F$42)+Ayarlar!$B$5*ABS(Bitkiler!$G$66-Topraklar!$G$42)+Ayarlar!$B$6*IF(Bitkiler!$H$66=Topraklar!$H$42,0,1))/Ayarlar!$B$7)+IF(Topraklar!$K$42=Bitkiler!$C$66,0.002,IF(Topraklar!$L$42="Evet",0.001,0)))</f>
        <v/>
      </c>
      <c r="AQ67" s="16">
        <f>IF(OR(Topraklar!$J$43="Evet",AND(Topraklar!$L$43&lt;&gt;"Evet",Topraklar!$K$43&lt;&gt;Bitkiler!$C$66)),0,MAX(0,1-(Ayarlar!$B$2*ABS(Bitkiler!$D$66-Topraklar!$D$43)+Ayarlar!$B$3*ABS(Bitkiler!$E$66-Topraklar!$E$43)+Ayarlar!$B$4*ABS(Bitkiler!$F$66-Topraklar!$F$43)+Ayarlar!$B$5*ABS(Bitkiler!$G$66-Topraklar!$G$43)+Ayarlar!$B$6*IF(Bitkiler!$H$66=Topraklar!$H$43,0,1))/Ayarlar!$B$7)+IF(Topraklar!$K$43=Bitkiler!$C$66,0.002,IF(Topraklar!$L$43="Evet",0.001,0)))</f>
        <v/>
      </c>
      <c r="AR67" s="16">
        <f>IF(OR(Topraklar!$J$44="Evet",AND(Topraklar!$L$44&lt;&gt;"Evet",Topraklar!$K$44&lt;&gt;Bitkiler!$C$66)),0,MAX(0,1-(Ayarlar!$B$2*ABS(Bitkiler!$D$66-Topraklar!$D$44)+Ayarlar!$B$3*ABS(Bitkiler!$E$66-Topraklar!$E$44)+Ayarlar!$B$4*ABS(Bitkiler!$F$66-Topraklar!$F$44)+Ayarlar!$B$5*ABS(Bitkiler!$G$66-Topraklar!$G$44)+Ayarlar!$B$6*IF(Bitkiler!$H$66=Topraklar!$H$44,0,1))/Ayarlar!$B$7)+IF(Topraklar!$K$44=Bitkiler!$C$66,0.002,IF(Topraklar!$L$44="Evet",0.001,0)))</f>
        <v/>
      </c>
      <c r="AS67" s="16">
        <f>IF(OR(Topraklar!$J$45="Evet",AND(Topraklar!$L$45&lt;&gt;"Evet",Topraklar!$K$45&lt;&gt;Bitkiler!$C$66)),0,MAX(0,1-(Ayarlar!$B$2*ABS(Bitkiler!$D$66-Topraklar!$D$45)+Ayarlar!$B$3*ABS(Bitkiler!$E$66-Topraklar!$E$45)+Ayarlar!$B$4*ABS(Bitkiler!$F$66-Topraklar!$F$45)+Ayarlar!$B$5*ABS(Bitkiler!$G$66-Topraklar!$G$45)+Ayarlar!$B$6*IF(Bitkiler!$H$66=Topraklar!$H$45,0,1))/Ayarlar!$B$7)+IF(Topraklar!$K$45=Bitkiler!$C$66,0.002,IF(Topraklar!$L$45="Evet",0.001,0)))</f>
        <v/>
      </c>
      <c r="AT67" s="16">
        <f>IF(OR(Topraklar!$J$46="Evet",AND(Topraklar!$L$46&lt;&gt;"Evet",Topraklar!$K$46&lt;&gt;Bitkiler!$C$66)),0,MAX(0,1-(Ayarlar!$B$2*ABS(Bitkiler!$D$66-Topraklar!$D$46)+Ayarlar!$B$3*ABS(Bitkiler!$E$66-Topraklar!$E$46)+Ayarlar!$B$4*ABS(Bitkiler!$F$66-Topraklar!$F$46)+Ayarlar!$B$5*ABS(Bitkiler!$G$66-Topraklar!$G$46)+Ayarlar!$B$6*IF(Bitkiler!$H$66=Topraklar!$H$46,0,1))/Ayarlar!$B$7)+IF(Topraklar!$K$46=Bitkiler!$C$66,0.002,IF(Topraklar!$L$46="Evet",0.001,0)))</f>
        <v/>
      </c>
      <c r="AU67" s="16">
        <f>IF(OR(Topraklar!$J$47="Evet",AND(Topraklar!$L$47&lt;&gt;"Evet",Topraklar!$K$47&lt;&gt;Bitkiler!$C$66)),0,MAX(0,1-(Ayarlar!$B$2*ABS(Bitkiler!$D$66-Topraklar!$D$47)+Ayarlar!$B$3*ABS(Bitkiler!$E$66-Topraklar!$E$47)+Ayarlar!$B$4*ABS(Bitkiler!$F$66-Topraklar!$F$47)+Ayarlar!$B$5*ABS(Bitkiler!$G$66-Topraklar!$G$47)+Ayarlar!$B$6*IF(Bitkiler!$H$66=Topraklar!$H$47,0,1))/Ayarlar!$B$7)+IF(Topraklar!$K$47=Bitkiler!$C$66,0.002,IF(Topraklar!$L$47="Evet",0.001,0)))</f>
        <v/>
      </c>
      <c r="AV67" s="16">
        <f>IF(OR(Topraklar!$J$48="Evet",AND(Topraklar!$L$48&lt;&gt;"Evet",Topraklar!$K$48&lt;&gt;Bitkiler!$C$66)),0,MAX(0,1-(Ayarlar!$B$2*ABS(Bitkiler!$D$66-Topraklar!$D$48)+Ayarlar!$B$3*ABS(Bitkiler!$E$66-Topraklar!$E$48)+Ayarlar!$B$4*ABS(Bitkiler!$F$66-Topraklar!$F$48)+Ayarlar!$B$5*ABS(Bitkiler!$G$66-Topraklar!$G$48)+Ayarlar!$B$6*IF(Bitkiler!$H$66=Topraklar!$H$48,0,1))/Ayarlar!$B$7)+IF(Topraklar!$K$48=Bitkiler!$C$66,0.002,IF(Topraklar!$L$48="Evet",0.001,0)))</f>
        <v/>
      </c>
      <c r="AW67" s="16">
        <f>IF(OR(Topraklar!$J$49="Evet",AND(Topraklar!$L$49&lt;&gt;"Evet",Topraklar!$K$49&lt;&gt;Bitkiler!$C$66)),0,MAX(0,1-(Ayarlar!$B$2*ABS(Bitkiler!$D$66-Topraklar!$D$49)+Ayarlar!$B$3*ABS(Bitkiler!$E$66-Topraklar!$E$49)+Ayarlar!$B$4*ABS(Bitkiler!$F$66-Topraklar!$F$49)+Ayarlar!$B$5*ABS(Bitkiler!$G$66-Topraklar!$G$49)+Ayarlar!$B$6*IF(Bitkiler!$H$66=Topraklar!$H$49,0,1))/Ayarlar!$B$7)+IF(Topraklar!$K$49=Bitkiler!$C$66,0.002,IF(Topraklar!$L$49="Evet",0.001,0)))</f>
        <v/>
      </c>
      <c r="AX67" s="16">
        <f>IF(OR(Topraklar!$J$50="Evet",AND(Topraklar!$L$50&lt;&gt;"Evet",Topraklar!$K$50&lt;&gt;Bitkiler!$C$66)),0,MAX(0,1-(Ayarlar!$B$2*ABS(Bitkiler!$D$66-Topraklar!$D$50)+Ayarlar!$B$3*ABS(Bitkiler!$E$66-Topraklar!$E$50)+Ayarlar!$B$4*ABS(Bitkiler!$F$66-Topraklar!$F$50)+Ayarlar!$B$5*ABS(Bitkiler!$G$66-Topraklar!$G$50)+Ayarlar!$B$6*IF(Bitkiler!$H$66=Topraklar!$H$50,0,1))/Ayarlar!$B$7)+IF(Topraklar!$K$50=Bitkiler!$C$66,0.002,IF(Topraklar!$L$50="Evet",0.001,0)))</f>
        <v/>
      </c>
      <c r="AY67" s="16">
        <f>IF(OR(Topraklar!$J$51="Evet",AND(Topraklar!$L$51&lt;&gt;"Evet",Topraklar!$K$51&lt;&gt;Bitkiler!$C$66)),0,MAX(0,1-(Ayarlar!$B$2*ABS(Bitkiler!$D$66-Topraklar!$D$51)+Ayarlar!$B$3*ABS(Bitkiler!$E$66-Topraklar!$E$51)+Ayarlar!$B$4*ABS(Bitkiler!$F$66-Topraklar!$F$51)+Ayarlar!$B$5*ABS(Bitkiler!$G$66-Topraklar!$G$51)+Ayarlar!$B$6*IF(Bitkiler!$H$66=Topraklar!$H$51,0,1))/Ayarlar!$B$7)+IF(Topraklar!$K$51=Bitkiler!$C$66,0.002,IF(Topraklar!$L$51="Evet",0.001,0)))</f>
        <v/>
      </c>
    </row>
    <row r="68">
      <c r="A68" s="15">
        <f>Bitkiler!A67</f>
        <v/>
      </c>
      <c r="B68" s="16">
        <f>IF(OR(Topraklar!$J$2="Evet",AND(Topraklar!$L$2&lt;&gt;"Evet",Topraklar!$K$2&lt;&gt;Bitkiler!$C$67)),0,MAX(0,1-(Ayarlar!$B$2*ABS(Bitkiler!$D$67-Topraklar!$D$2)+Ayarlar!$B$3*ABS(Bitkiler!$E$67-Topraklar!$E$2)+Ayarlar!$B$4*ABS(Bitkiler!$F$67-Topraklar!$F$2)+Ayarlar!$B$5*ABS(Bitkiler!$G$67-Topraklar!$G$2)+Ayarlar!$B$6*IF(Bitkiler!$H$67=Topraklar!$H$2,0,1))/Ayarlar!$B$7)+IF(Topraklar!$K$2=Bitkiler!$C$67,0.002,IF(Topraklar!$L$2="Evet",0.001,0)))</f>
        <v/>
      </c>
      <c r="C68" s="16">
        <f>IF(OR(Topraklar!$J$3="Evet",AND(Topraklar!$L$3&lt;&gt;"Evet",Topraklar!$K$3&lt;&gt;Bitkiler!$C$67)),0,MAX(0,1-(Ayarlar!$B$2*ABS(Bitkiler!$D$67-Topraklar!$D$3)+Ayarlar!$B$3*ABS(Bitkiler!$E$67-Topraklar!$E$3)+Ayarlar!$B$4*ABS(Bitkiler!$F$67-Topraklar!$F$3)+Ayarlar!$B$5*ABS(Bitkiler!$G$67-Topraklar!$G$3)+Ayarlar!$B$6*IF(Bitkiler!$H$67=Topraklar!$H$3,0,1))/Ayarlar!$B$7)+IF(Topraklar!$K$3=Bitkiler!$C$67,0.002,IF(Topraklar!$L$3="Evet",0.001,0)))</f>
        <v/>
      </c>
      <c r="D68" s="16">
        <f>IF(OR(Topraklar!$J$4="Evet",AND(Topraklar!$L$4&lt;&gt;"Evet",Topraklar!$K$4&lt;&gt;Bitkiler!$C$67)),0,MAX(0,1-(Ayarlar!$B$2*ABS(Bitkiler!$D$67-Topraklar!$D$4)+Ayarlar!$B$3*ABS(Bitkiler!$E$67-Topraklar!$E$4)+Ayarlar!$B$4*ABS(Bitkiler!$F$67-Topraklar!$F$4)+Ayarlar!$B$5*ABS(Bitkiler!$G$67-Topraklar!$G$4)+Ayarlar!$B$6*IF(Bitkiler!$H$67=Topraklar!$H$4,0,1))/Ayarlar!$B$7)+IF(Topraklar!$K$4=Bitkiler!$C$67,0.002,IF(Topraklar!$L$4="Evet",0.001,0)))</f>
        <v/>
      </c>
      <c r="E68" s="16">
        <f>IF(OR(Topraklar!$J$5="Evet",AND(Topraklar!$L$5&lt;&gt;"Evet",Topraklar!$K$5&lt;&gt;Bitkiler!$C$67)),0,MAX(0,1-(Ayarlar!$B$2*ABS(Bitkiler!$D$67-Topraklar!$D$5)+Ayarlar!$B$3*ABS(Bitkiler!$E$67-Topraklar!$E$5)+Ayarlar!$B$4*ABS(Bitkiler!$F$67-Topraklar!$F$5)+Ayarlar!$B$5*ABS(Bitkiler!$G$67-Topraklar!$G$5)+Ayarlar!$B$6*IF(Bitkiler!$H$67=Topraklar!$H$5,0,1))/Ayarlar!$B$7)+IF(Topraklar!$K$5=Bitkiler!$C$67,0.002,IF(Topraklar!$L$5="Evet",0.001,0)))</f>
        <v/>
      </c>
      <c r="F68" s="16">
        <f>IF(OR(Topraklar!$J$6="Evet",AND(Topraklar!$L$6&lt;&gt;"Evet",Topraklar!$K$6&lt;&gt;Bitkiler!$C$67)),0,MAX(0,1-(Ayarlar!$B$2*ABS(Bitkiler!$D$67-Topraklar!$D$6)+Ayarlar!$B$3*ABS(Bitkiler!$E$67-Topraklar!$E$6)+Ayarlar!$B$4*ABS(Bitkiler!$F$67-Topraklar!$F$6)+Ayarlar!$B$5*ABS(Bitkiler!$G$67-Topraklar!$G$6)+Ayarlar!$B$6*IF(Bitkiler!$H$67=Topraklar!$H$6,0,1))/Ayarlar!$B$7)+IF(Topraklar!$K$6=Bitkiler!$C$67,0.002,IF(Topraklar!$L$6="Evet",0.001,0)))</f>
        <v/>
      </c>
      <c r="G68" s="16">
        <f>IF(OR(Topraklar!$J$7="Evet",AND(Topraklar!$L$7&lt;&gt;"Evet",Topraklar!$K$7&lt;&gt;Bitkiler!$C$67)),0,MAX(0,1-(Ayarlar!$B$2*ABS(Bitkiler!$D$67-Topraklar!$D$7)+Ayarlar!$B$3*ABS(Bitkiler!$E$67-Topraklar!$E$7)+Ayarlar!$B$4*ABS(Bitkiler!$F$67-Topraklar!$F$7)+Ayarlar!$B$5*ABS(Bitkiler!$G$67-Topraklar!$G$7)+Ayarlar!$B$6*IF(Bitkiler!$H$67=Topraklar!$H$7,0,1))/Ayarlar!$B$7)+IF(Topraklar!$K$7=Bitkiler!$C$67,0.002,IF(Topraklar!$L$7="Evet",0.001,0)))</f>
        <v/>
      </c>
      <c r="H68" s="16">
        <f>IF(OR(Topraklar!$J$8="Evet",AND(Topraklar!$L$8&lt;&gt;"Evet",Topraklar!$K$8&lt;&gt;Bitkiler!$C$67)),0,MAX(0,1-(Ayarlar!$B$2*ABS(Bitkiler!$D$67-Topraklar!$D$8)+Ayarlar!$B$3*ABS(Bitkiler!$E$67-Topraklar!$E$8)+Ayarlar!$B$4*ABS(Bitkiler!$F$67-Topraklar!$F$8)+Ayarlar!$B$5*ABS(Bitkiler!$G$67-Topraklar!$G$8)+Ayarlar!$B$6*IF(Bitkiler!$H$67=Topraklar!$H$8,0,1))/Ayarlar!$B$7)+IF(Topraklar!$K$8=Bitkiler!$C$67,0.002,IF(Topraklar!$L$8="Evet",0.001,0)))</f>
        <v/>
      </c>
      <c r="I68" s="16">
        <f>IF(OR(Topraklar!$J$9="Evet",AND(Topraklar!$L$9&lt;&gt;"Evet",Topraklar!$K$9&lt;&gt;Bitkiler!$C$67)),0,MAX(0,1-(Ayarlar!$B$2*ABS(Bitkiler!$D$67-Topraklar!$D$9)+Ayarlar!$B$3*ABS(Bitkiler!$E$67-Topraklar!$E$9)+Ayarlar!$B$4*ABS(Bitkiler!$F$67-Topraklar!$F$9)+Ayarlar!$B$5*ABS(Bitkiler!$G$67-Topraklar!$G$9)+Ayarlar!$B$6*IF(Bitkiler!$H$67=Topraklar!$H$9,0,1))/Ayarlar!$B$7)+IF(Topraklar!$K$9=Bitkiler!$C$67,0.002,IF(Topraklar!$L$9="Evet",0.001,0)))</f>
        <v/>
      </c>
      <c r="J68" s="16">
        <f>IF(OR(Topraklar!$J$10="Evet",AND(Topraklar!$L$10&lt;&gt;"Evet",Topraklar!$K$10&lt;&gt;Bitkiler!$C$67)),0,MAX(0,1-(Ayarlar!$B$2*ABS(Bitkiler!$D$67-Topraklar!$D$10)+Ayarlar!$B$3*ABS(Bitkiler!$E$67-Topraklar!$E$10)+Ayarlar!$B$4*ABS(Bitkiler!$F$67-Topraklar!$F$10)+Ayarlar!$B$5*ABS(Bitkiler!$G$67-Topraklar!$G$10)+Ayarlar!$B$6*IF(Bitkiler!$H$67=Topraklar!$H$10,0,1))/Ayarlar!$B$7)+IF(Topraklar!$K$10=Bitkiler!$C$67,0.002,IF(Topraklar!$L$10="Evet",0.001,0)))</f>
        <v/>
      </c>
      <c r="K68" s="16">
        <f>IF(OR(Topraklar!$J$11="Evet",AND(Topraklar!$L$11&lt;&gt;"Evet",Topraklar!$K$11&lt;&gt;Bitkiler!$C$67)),0,MAX(0,1-(Ayarlar!$B$2*ABS(Bitkiler!$D$67-Topraklar!$D$11)+Ayarlar!$B$3*ABS(Bitkiler!$E$67-Topraklar!$E$11)+Ayarlar!$B$4*ABS(Bitkiler!$F$67-Topraklar!$F$11)+Ayarlar!$B$5*ABS(Bitkiler!$G$67-Topraklar!$G$11)+Ayarlar!$B$6*IF(Bitkiler!$H$67=Topraklar!$H$11,0,1))/Ayarlar!$B$7)+IF(Topraklar!$K$11=Bitkiler!$C$67,0.002,IF(Topraklar!$L$11="Evet",0.001,0)))</f>
        <v/>
      </c>
      <c r="L68" s="16">
        <f>IF(OR(Topraklar!$J$12="Evet",AND(Topraklar!$L$12&lt;&gt;"Evet",Topraklar!$K$12&lt;&gt;Bitkiler!$C$67)),0,MAX(0,1-(Ayarlar!$B$2*ABS(Bitkiler!$D$67-Topraklar!$D$12)+Ayarlar!$B$3*ABS(Bitkiler!$E$67-Topraklar!$E$12)+Ayarlar!$B$4*ABS(Bitkiler!$F$67-Topraklar!$F$12)+Ayarlar!$B$5*ABS(Bitkiler!$G$67-Topraklar!$G$12)+Ayarlar!$B$6*IF(Bitkiler!$H$67=Topraklar!$H$12,0,1))/Ayarlar!$B$7)+IF(Topraklar!$K$12=Bitkiler!$C$67,0.002,IF(Topraklar!$L$12="Evet",0.001,0)))</f>
        <v/>
      </c>
      <c r="M68" s="16">
        <f>IF(OR(Topraklar!$J$13="Evet",AND(Topraklar!$L$13&lt;&gt;"Evet",Topraklar!$K$13&lt;&gt;Bitkiler!$C$67)),0,MAX(0,1-(Ayarlar!$B$2*ABS(Bitkiler!$D$67-Topraklar!$D$13)+Ayarlar!$B$3*ABS(Bitkiler!$E$67-Topraklar!$E$13)+Ayarlar!$B$4*ABS(Bitkiler!$F$67-Topraklar!$F$13)+Ayarlar!$B$5*ABS(Bitkiler!$G$67-Topraklar!$G$13)+Ayarlar!$B$6*IF(Bitkiler!$H$67=Topraklar!$H$13,0,1))/Ayarlar!$B$7)+IF(Topraklar!$K$13=Bitkiler!$C$67,0.002,IF(Topraklar!$L$13="Evet",0.001,0)))</f>
        <v/>
      </c>
      <c r="N68" s="16">
        <f>IF(OR(Topraklar!$J$14="Evet",AND(Topraklar!$L$14&lt;&gt;"Evet",Topraklar!$K$14&lt;&gt;Bitkiler!$C$67)),0,MAX(0,1-(Ayarlar!$B$2*ABS(Bitkiler!$D$67-Topraklar!$D$14)+Ayarlar!$B$3*ABS(Bitkiler!$E$67-Topraklar!$E$14)+Ayarlar!$B$4*ABS(Bitkiler!$F$67-Topraklar!$F$14)+Ayarlar!$B$5*ABS(Bitkiler!$G$67-Topraklar!$G$14)+Ayarlar!$B$6*IF(Bitkiler!$H$67=Topraklar!$H$14,0,1))/Ayarlar!$B$7)+IF(Topraklar!$K$14=Bitkiler!$C$67,0.002,IF(Topraklar!$L$14="Evet",0.001,0)))</f>
        <v/>
      </c>
      <c r="O68" s="16">
        <f>IF(OR(Topraklar!$J$15="Evet",AND(Topraklar!$L$15&lt;&gt;"Evet",Topraklar!$K$15&lt;&gt;Bitkiler!$C$67)),0,MAX(0,1-(Ayarlar!$B$2*ABS(Bitkiler!$D$67-Topraklar!$D$15)+Ayarlar!$B$3*ABS(Bitkiler!$E$67-Topraklar!$E$15)+Ayarlar!$B$4*ABS(Bitkiler!$F$67-Topraklar!$F$15)+Ayarlar!$B$5*ABS(Bitkiler!$G$67-Topraklar!$G$15)+Ayarlar!$B$6*IF(Bitkiler!$H$67=Topraklar!$H$15,0,1))/Ayarlar!$B$7)+IF(Topraklar!$K$15=Bitkiler!$C$67,0.002,IF(Topraklar!$L$15="Evet",0.001,0)))</f>
        <v/>
      </c>
      <c r="P68" s="16">
        <f>IF(OR(Topraklar!$J$16="Evet",AND(Topraklar!$L$16&lt;&gt;"Evet",Topraklar!$K$16&lt;&gt;Bitkiler!$C$67)),0,MAX(0,1-(Ayarlar!$B$2*ABS(Bitkiler!$D$67-Topraklar!$D$16)+Ayarlar!$B$3*ABS(Bitkiler!$E$67-Topraklar!$E$16)+Ayarlar!$B$4*ABS(Bitkiler!$F$67-Topraklar!$F$16)+Ayarlar!$B$5*ABS(Bitkiler!$G$67-Topraklar!$G$16)+Ayarlar!$B$6*IF(Bitkiler!$H$67=Topraklar!$H$16,0,1))/Ayarlar!$B$7)+IF(Topraklar!$K$16=Bitkiler!$C$67,0.002,IF(Topraklar!$L$16="Evet",0.001,0)))</f>
        <v/>
      </c>
      <c r="Q68" s="16">
        <f>IF(OR(Topraklar!$J$17="Evet",AND(Topraklar!$L$17&lt;&gt;"Evet",Topraklar!$K$17&lt;&gt;Bitkiler!$C$67)),0,MAX(0,1-(Ayarlar!$B$2*ABS(Bitkiler!$D$67-Topraklar!$D$17)+Ayarlar!$B$3*ABS(Bitkiler!$E$67-Topraklar!$E$17)+Ayarlar!$B$4*ABS(Bitkiler!$F$67-Topraklar!$F$17)+Ayarlar!$B$5*ABS(Bitkiler!$G$67-Topraklar!$G$17)+Ayarlar!$B$6*IF(Bitkiler!$H$67=Topraklar!$H$17,0,1))/Ayarlar!$B$7)+IF(Topraklar!$K$17=Bitkiler!$C$67,0.002,IF(Topraklar!$L$17="Evet",0.001,0)))</f>
        <v/>
      </c>
      <c r="R68" s="16">
        <f>IF(OR(Topraklar!$J$18="Evet",AND(Topraklar!$L$18&lt;&gt;"Evet",Topraklar!$K$18&lt;&gt;Bitkiler!$C$67)),0,MAX(0,1-(Ayarlar!$B$2*ABS(Bitkiler!$D$67-Topraklar!$D$18)+Ayarlar!$B$3*ABS(Bitkiler!$E$67-Topraklar!$E$18)+Ayarlar!$B$4*ABS(Bitkiler!$F$67-Topraklar!$F$18)+Ayarlar!$B$5*ABS(Bitkiler!$G$67-Topraklar!$G$18)+Ayarlar!$B$6*IF(Bitkiler!$H$67=Topraklar!$H$18,0,1))/Ayarlar!$B$7)+IF(Topraklar!$K$18=Bitkiler!$C$67,0.002,IF(Topraklar!$L$18="Evet",0.001,0)))</f>
        <v/>
      </c>
      <c r="S68" s="16">
        <f>IF(OR(Topraklar!$J$19="Evet",AND(Topraklar!$L$19&lt;&gt;"Evet",Topraklar!$K$19&lt;&gt;Bitkiler!$C$67)),0,MAX(0,1-(Ayarlar!$B$2*ABS(Bitkiler!$D$67-Topraklar!$D$19)+Ayarlar!$B$3*ABS(Bitkiler!$E$67-Topraklar!$E$19)+Ayarlar!$B$4*ABS(Bitkiler!$F$67-Topraklar!$F$19)+Ayarlar!$B$5*ABS(Bitkiler!$G$67-Topraklar!$G$19)+Ayarlar!$B$6*IF(Bitkiler!$H$67=Topraklar!$H$19,0,1))/Ayarlar!$B$7)+IF(Topraklar!$K$19=Bitkiler!$C$67,0.002,IF(Topraklar!$L$19="Evet",0.001,0)))</f>
        <v/>
      </c>
      <c r="T68" s="16">
        <f>IF(OR(Topraklar!$J$20="Evet",AND(Topraklar!$L$20&lt;&gt;"Evet",Topraklar!$K$20&lt;&gt;Bitkiler!$C$67)),0,MAX(0,1-(Ayarlar!$B$2*ABS(Bitkiler!$D$67-Topraklar!$D$20)+Ayarlar!$B$3*ABS(Bitkiler!$E$67-Topraklar!$E$20)+Ayarlar!$B$4*ABS(Bitkiler!$F$67-Topraklar!$F$20)+Ayarlar!$B$5*ABS(Bitkiler!$G$67-Topraklar!$G$20)+Ayarlar!$B$6*IF(Bitkiler!$H$67=Topraklar!$H$20,0,1))/Ayarlar!$B$7)+IF(Topraklar!$K$20=Bitkiler!$C$67,0.002,IF(Topraklar!$L$20="Evet",0.001,0)))</f>
        <v/>
      </c>
      <c r="U68" s="16">
        <f>IF(OR(Topraklar!$J$21="Evet",AND(Topraklar!$L$21&lt;&gt;"Evet",Topraklar!$K$21&lt;&gt;Bitkiler!$C$67)),0,MAX(0,1-(Ayarlar!$B$2*ABS(Bitkiler!$D$67-Topraklar!$D$21)+Ayarlar!$B$3*ABS(Bitkiler!$E$67-Topraklar!$E$21)+Ayarlar!$B$4*ABS(Bitkiler!$F$67-Topraklar!$F$21)+Ayarlar!$B$5*ABS(Bitkiler!$G$67-Topraklar!$G$21)+Ayarlar!$B$6*IF(Bitkiler!$H$67=Topraklar!$H$21,0,1))/Ayarlar!$B$7)+IF(Topraklar!$K$21=Bitkiler!$C$67,0.002,IF(Topraklar!$L$21="Evet",0.001,0)))</f>
        <v/>
      </c>
      <c r="V68" s="16">
        <f>IF(OR(Topraklar!$J$22="Evet",AND(Topraklar!$L$22&lt;&gt;"Evet",Topraklar!$K$22&lt;&gt;Bitkiler!$C$67)),0,MAX(0,1-(Ayarlar!$B$2*ABS(Bitkiler!$D$67-Topraklar!$D$22)+Ayarlar!$B$3*ABS(Bitkiler!$E$67-Topraklar!$E$22)+Ayarlar!$B$4*ABS(Bitkiler!$F$67-Topraklar!$F$22)+Ayarlar!$B$5*ABS(Bitkiler!$G$67-Topraklar!$G$22)+Ayarlar!$B$6*IF(Bitkiler!$H$67=Topraklar!$H$22,0,1))/Ayarlar!$B$7)+IF(Topraklar!$K$22=Bitkiler!$C$67,0.002,IF(Topraklar!$L$22="Evet",0.001,0)))</f>
        <v/>
      </c>
      <c r="W68" s="16">
        <f>IF(OR(Topraklar!$J$23="Evet",AND(Topraklar!$L$23&lt;&gt;"Evet",Topraklar!$K$23&lt;&gt;Bitkiler!$C$67)),0,MAX(0,1-(Ayarlar!$B$2*ABS(Bitkiler!$D$67-Topraklar!$D$23)+Ayarlar!$B$3*ABS(Bitkiler!$E$67-Topraklar!$E$23)+Ayarlar!$B$4*ABS(Bitkiler!$F$67-Topraklar!$F$23)+Ayarlar!$B$5*ABS(Bitkiler!$G$67-Topraklar!$G$23)+Ayarlar!$B$6*IF(Bitkiler!$H$67=Topraklar!$H$23,0,1))/Ayarlar!$B$7)+IF(Topraklar!$K$23=Bitkiler!$C$67,0.002,IF(Topraklar!$L$23="Evet",0.001,0)))</f>
        <v/>
      </c>
      <c r="X68" s="16">
        <f>IF(OR(Topraklar!$J$24="Evet",AND(Topraklar!$L$24&lt;&gt;"Evet",Topraklar!$K$24&lt;&gt;Bitkiler!$C$67)),0,MAX(0,1-(Ayarlar!$B$2*ABS(Bitkiler!$D$67-Topraklar!$D$24)+Ayarlar!$B$3*ABS(Bitkiler!$E$67-Topraklar!$E$24)+Ayarlar!$B$4*ABS(Bitkiler!$F$67-Topraklar!$F$24)+Ayarlar!$B$5*ABS(Bitkiler!$G$67-Topraklar!$G$24)+Ayarlar!$B$6*IF(Bitkiler!$H$67=Topraklar!$H$24,0,1))/Ayarlar!$B$7)+IF(Topraklar!$K$24=Bitkiler!$C$67,0.002,IF(Topraklar!$L$24="Evet",0.001,0)))</f>
        <v/>
      </c>
      <c r="Y68" s="16">
        <f>IF(OR(Topraklar!$J$25="Evet",AND(Topraklar!$L$25&lt;&gt;"Evet",Topraklar!$K$25&lt;&gt;Bitkiler!$C$67)),0,MAX(0,1-(Ayarlar!$B$2*ABS(Bitkiler!$D$67-Topraklar!$D$25)+Ayarlar!$B$3*ABS(Bitkiler!$E$67-Topraklar!$E$25)+Ayarlar!$B$4*ABS(Bitkiler!$F$67-Topraklar!$F$25)+Ayarlar!$B$5*ABS(Bitkiler!$G$67-Topraklar!$G$25)+Ayarlar!$B$6*IF(Bitkiler!$H$67=Topraklar!$H$25,0,1))/Ayarlar!$B$7)+IF(Topraklar!$K$25=Bitkiler!$C$67,0.002,IF(Topraklar!$L$25="Evet",0.001,0)))</f>
        <v/>
      </c>
      <c r="Z68" s="16">
        <f>IF(OR(Topraklar!$J$26="Evet",AND(Topraklar!$L$26&lt;&gt;"Evet",Topraklar!$K$26&lt;&gt;Bitkiler!$C$67)),0,MAX(0,1-(Ayarlar!$B$2*ABS(Bitkiler!$D$67-Topraklar!$D$26)+Ayarlar!$B$3*ABS(Bitkiler!$E$67-Topraklar!$E$26)+Ayarlar!$B$4*ABS(Bitkiler!$F$67-Topraklar!$F$26)+Ayarlar!$B$5*ABS(Bitkiler!$G$67-Topraklar!$G$26)+Ayarlar!$B$6*IF(Bitkiler!$H$67=Topraklar!$H$26,0,1))/Ayarlar!$B$7)+IF(Topraklar!$K$26=Bitkiler!$C$67,0.002,IF(Topraklar!$L$26="Evet",0.001,0)))</f>
        <v/>
      </c>
      <c r="AA68" s="16">
        <f>IF(OR(Topraklar!$J$27="Evet",AND(Topraklar!$L$27&lt;&gt;"Evet",Topraklar!$K$27&lt;&gt;Bitkiler!$C$67)),0,MAX(0,1-(Ayarlar!$B$2*ABS(Bitkiler!$D$67-Topraklar!$D$27)+Ayarlar!$B$3*ABS(Bitkiler!$E$67-Topraklar!$E$27)+Ayarlar!$B$4*ABS(Bitkiler!$F$67-Topraklar!$F$27)+Ayarlar!$B$5*ABS(Bitkiler!$G$67-Topraklar!$G$27)+Ayarlar!$B$6*IF(Bitkiler!$H$67=Topraklar!$H$27,0,1))/Ayarlar!$B$7)+IF(Topraklar!$K$27=Bitkiler!$C$67,0.002,IF(Topraklar!$L$27="Evet",0.001,0)))</f>
        <v/>
      </c>
      <c r="AB68" s="16">
        <f>IF(OR(Topraklar!$J$28="Evet",AND(Topraklar!$L$28&lt;&gt;"Evet",Topraklar!$K$28&lt;&gt;Bitkiler!$C$67)),0,MAX(0,1-(Ayarlar!$B$2*ABS(Bitkiler!$D$67-Topraklar!$D$28)+Ayarlar!$B$3*ABS(Bitkiler!$E$67-Topraklar!$E$28)+Ayarlar!$B$4*ABS(Bitkiler!$F$67-Topraklar!$F$28)+Ayarlar!$B$5*ABS(Bitkiler!$G$67-Topraklar!$G$28)+Ayarlar!$B$6*IF(Bitkiler!$H$67=Topraklar!$H$28,0,1))/Ayarlar!$B$7)+IF(Topraklar!$K$28=Bitkiler!$C$67,0.002,IF(Topraklar!$L$28="Evet",0.001,0)))</f>
        <v/>
      </c>
      <c r="AC68" s="16">
        <f>IF(OR(Topraklar!$J$29="Evet",AND(Topraklar!$L$29&lt;&gt;"Evet",Topraklar!$K$29&lt;&gt;Bitkiler!$C$67)),0,MAX(0,1-(Ayarlar!$B$2*ABS(Bitkiler!$D$67-Topraklar!$D$29)+Ayarlar!$B$3*ABS(Bitkiler!$E$67-Topraklar!$E$29)+Ayarlar!$B$4*ABS(Bitkiler!$F$67-Topraklar!$F$29)+Ayarlar!$B$5*ABS(Bitkiler!$G$67-Topraklar!$G$29)+Ayarlar!$B$6*IF(Bitkiler!$H$67=Topraklar!$H$29,0,1))/Ayarlar!$B$7)+IF(Topraklar!$K$29=Bitkiler!$C$67,0.002,IF(Topraklar!$L$29="Evet",0.001,0)))</f>
        <v/>
      </c>
      <c r="AD68" s="16">
        <f>IF(OR(Topraklar!$J$30="Evet",AND(Topraklar!$L$30&lt;&gt;"Evet",Topraklar!$K$30&lt;&gt;Bitkiler!$C$67)),0,MAX(0,1-(Ayarlar!$B$2*ABS(Bitkiler!$D$67-Topraklar!$D$30)+Ayarlar!$B$3*ABS(Bitkiler!$E$67-Topraklar!$E$30)+Ayarlar!$B$4*ABS(Bitkiler!$F$67-Topraklar!$F$30)+Ayarlar!$B$5*ABS(Bitkiler!$G$67-Topraklar!$G$30)+Ayarlar!$B$6*IF(Bitkiler!$H$67=Topraklar!$H$30,0,1))/Ayarlar!$B$7)+IF(Topraklar!$K$30=Bitkiler!$C$67,0.002,IF(Topraklar!$L$30="Evet",0.001,0)))</f>
        <v/>
      </c>
      <c r="AE68" s="16">
        <f>IF(OR(Topraklar!$J$31="Evet",AND(Topraklar!$L$31&lt;&gt;"Evet",Topraklar!$K$31&lt;&gt;Bitkiler!$C$67)),0,MAX(0,1-(Ayarlar!$B$2*ABS(Bitkiler!$D$67-Topraklar!$D$31)+Ayarlar!$B$3*ABS(Bitkiler!$E$67-Topraklar!$E$31)+Ayarlar!$B$4*ABS(Bitkiler!$F$67-Topraklar!$F$31)+Ayarlar!$B$5*ABS(Bitkiler!$G$67-Topraklar!$G$31)+Ayarlar!$B$6*IF(Bitkiler!$H$67=Topraklar!$H$31,0,1))/Ayarlar!$B$7)+IF(Topraklar!$K$31=Bitkiler!$C$67,0.002,IF(Topraklar!$L$31="Evet",0.001,0)))</f>
        <v/>
      </c>
      <c r="AF68" s="16">
        <f>IF(OR(Topraklar!$J$32="Evet",AND(Topraklar!$L$32&lt;&gt;"Evet",Topraklar!$K$32&lt;&gt;Bitkiler!$C$67)),0,MAX(0,1-(Ayarlar!$B$2*ABS(Bitkiler!$D$67-Topraklar!$D$32)+Ayarlar!$B$3*ABS(Bitkiler!$E$67-Topraklar!$E$32)+Ayarlar!$B$4*ABS(Bitkiler!$F$67-Topraklar!$F$32)+Ayarlar!$B$5*ABS(Bitkiler!$G$67-Topraklar!$G$32)+Ayarlar!$B$6*IF(Bitkiler!$H$67=Topraklar!$H$32,0,1))/Ayarlar!$B$7)+IF(Topraklar!$K$32=Bitkiler!$C$67,0.002,IF(Topraklar!$L$32="Evet",0.001,0)))</f>
        <v/>
      </c>
      <c r="AG68" s="16">
        <f>IF(OR(Topraklar!$J$33="Evet",AND(Topraklar!$L$33&lt;&gt;"Evet",Topraklar!$K$33&lt;&gt;Bitkiler!$C$67)),0,MAX(0,1-(Ayarlar!$B$2*ABS(Bitkiler!$D$67-Topraklar!$D$33)+Ayarlar!$B$3*ABS(Bitkiler!$E$67-Topraklar!$E$33)+Ayarlar!$B$4*ABS(Bitkiler!$F$67-Topraklar!$F$33)+Ayarlar!$B$5*ABS(Bitkiler!$G$67-Topraklar!$G$33)+Ayarlar!$B$6*IF(Bitkiler!$H$67=Topraklar!$H$33,0,1))/Ayarlar!$B$7)+IF(Topraklar!$K$33=Bitkiler!$C$67,0.002,IF(Topraklar!$L$33="Evet",0.001,0)))</f>
        <v/>
      </c>
      <c r="AH68" s="16">
        <f>IF(OR(Topraklar!$J$34="Evet",AND(Topraklar!$L$34&lt;&gt;"Evet",Topraklar!$K$34&lt;&gt;Bitkiler!$C$67)),0,MAX(0,1-(Ayarlar!$B$2*ABS(Bitkiler!$D$67-Topraklar!$D$34)+Ayarlar!$B$3*ABS(Bitkiler!$E$67-Topraklar!$E$34)+Ayarlar!$B$4*ABS(Bitkiler!$F$67-Topraklar!$F$34)+Ayarlar!$B$5*ABS(Bitkiler!$G$67-Topraklar!$G$34)+Ayarlar!$B$6*IF(Bitkiler!$H$67=Topraklar!$H$34,0,1))/Ayarlar!$B$7)+IF(Topraklar!$K$34=Bitkiler!$C$67,0.002,IF(Topraklar!$L$34="Evet",0.001,0)))</f>
        <v/>
      </c>
      <c r="AI68" s="16">
        <f>IF(OR(Topraklar!$J$35="Evet",AND(Topraklar!$L$35&lt;&gt;"Evet",Topraklar!$K$35&lt;&gt;Bitkiler!$C$67)),0,MAX(0,1-(Ayarlar!$B$2*ABS(Bitkiler!$D$67-Topraklar!$D$35)+Ayarlar!$B$3*ABS(Bitkiler!$E$67-Topraklar!$E$35)+Ayarlar!$B$4*ABS(Bitkiler!$F$67-Topraklar!$F$35)+Ayarlar!$B$5*ABS(Bitkiler!$G$67-Topraklar!$G$35)+Ayarlar!$B$6*IF(Bitkiler!$H$67=Topraklar!$H$35,0,1))/Ayarlar!$B$7)+IF(Topraklar!$K$35=Bitkiler!$C$67,0.002,IF(Topraklar!$L$35="Evet",0.001,0)))</f>
        <v/>
      </c>
      <c r="AJ68" s="16">
        <f>IF(OR(Topraklar!$J$36="Evet",AND(Topraklar!$L$36&lt;&gt;"Evet",Topraklar!$K$36&lt;&gt;Bitkiler!$C$67)),0,MAX(0,1-(Ayarlar!$B$2*ABS(Bitkiler!$D$67-Topraklar!$D$36)+Ayarlar!$B$3*ABS(Bitkiler!$E$67-Topraklar!$E$36)+Ayarlar!$B$4*ABS(Bitkiler!$F$67-Topraklar!$F$36)+Ayarlar!$B$5*ABS(Bitkiler!$G$67-Topraklar!$G$36)+Ayarlar!$B$6*IF(Bitkiler!$H$67=Topraklar!$H$36,0,1))/Ayarlar!$B$7)+IF(Topraklar!$K$36=Bitkiler!$C$67,0.002,IF(Topraklar!$L$36="Evet",0.001,0)))</f>
        <v/>
      </c>
      <c r="AK68" s="16">
        <f>IF(OR(Topraklar!$J$37="Evet",AND(Topraklar!$L$37&lt;&gt;"Evet",Topraklar!$K$37&lt;&gt;Bitkiler!$C$67)),0,MAX(0,1-(Ayarlar!$B$2*ABS(Bitkiler!$D$67-Topraklar!$D$37)+Ayarlar!$B$3*ABS(Bitkiler!$E$67-Topraklar!$E$37)+Ayarlar!$B$4*ABS(Bitkiler!$F$67-Topraklar!$F$37)+Ayarlar!$B$5*ABS(Bitkiler!$G$67-Topraklar!$G$37)+Ayarlar!$B$6*IF(Bitkiler!$H$67=Topraklar!$H$37,0,1))/Ayarlar!$B$7)+IF(Topraklar!$K$37=Bitkiler!$C$67,0.002,IF(Topraklar!$L$37="Evet",0.001,0)))</f>
        <v/>
      </c>
      <c r="AL68" s="16">
        <f>IF(OR(Topraklar!$J$38="Evet",AND(Topraklar!$L$38&lt;&gt;"Evet",Topraklar!$K$38&lt;&gt;Bitkiler!$C$67)),0,MAX(0,1-(Ayarlar!$B$2*ABS(Bitkiler!$D$67-Topraklar!$D$38)+Ayarlar!$B$3*ABS(Bitkiler!$E$67-Topraklar!$E$38)+Ayarlar!$B$4*ABS(Bitkiler!$F$67-Topraklar!$F$38)+Ayarlar!$B$5*ABS(Bitkiler!$G$67-Topraklar!$G$38)+Ayarlar!$B$6*IF(Bitkiler!$H$67=Topraklar!$H$38,0,1))/Ayarlar!$B$7)+IF(Topraklar!$K$38=Bitkiler!$C$67,0.002,IF(Topraklar!$L$38="Evet",0.001,0)))</f>
        <v/>
      </c>
      <c r="AM68" s="16">
        <f>IF(OR(Topraklar!$J$39="Evet",AND(Topraklar!$L$39&lt;&gt;"Evet",Topraklar!$K$39&lt;&gt;Bitkiler!$C$67)),0,MAX(0,1-(Ayarlar!$B$2*ABS(Bitkiler!$D$67-Topraklar!$D$39)+Ayarlar!$B$3*ABS(Bitkiler!$E$67-Topraklar!$E$39)+Ayarlar!$B$4*ABS(Bitkiler!$F$67-Topraklar!$F$39)+Ayarlar!$B$5*ABS(Bitkiler!$G$67-Topraklar!$G$39)+Ayarlar!$B$6*IF(Bitkiler!$H$67=Topraklar!$H$39,0,1))/Ayarlar!$B$7)+IF(Topraklar!$K$39=Bitkiler!$C$67,0.002,IF(Topraklar!$L$39="Evet",0.001,0)))</f>
        <v/>
      </c>
      <c r="AN68" s="16">
        <f>IF(OR(Topraklar!$J$40="Evet",AND(Topraklar!$L$40&lt;&gt;"Evet",Topraklar!$K$40&lt;&gt;Bitkiler!$C$67)),0,MAX(0,1-(Ayarlar!$B$2*ABS(Bitkiler!$D$67-Topraklar!$D$40)+Ayarlar!$B$3*ABS(Bitkiler!$E$67-Topraklar!$E$40)+Ayarlar!$B$4*ABS(Bitkiler!$F$67-Topraklar!$F$40)+Ayarlar!$B$5*ABS(Bitkiler!$G$67-Topraklar!$G$40)+Ayarlar!$B$6*IF(Bitkiler!$H$67=Topraklar!$H$40,0,1))/Ayarlar!$B$7)+IF(Topraklar!$K$40=Bitkiler!$C$67,0.002,IF(Topraklar!$L$40="Evet",0.001,0)))</f>
        <v/>
      </c>
      <c r="AO68" s="16">
        <f>IF(OR(Topraklar!$J$41="Evet",AND(Topraklar!$L$41&lt;&gt;"Evet",Topraklar!$K$41&lt;&gt;Bitkiler!$C$67)),0,MAX(0,1-(Ayarlar!$B$2*ABS(Bitkiler!$D$67-Topraklar!$D$41)+Ayarlar!$B$3*ABS(Bitkiler!$E$67-Topraklar!$E$41)+Ayarlar!$B$4*ABS(Bitkiler!$F$67-Topraklar!$F$41)+Ayarlar!$B$5*ABS(Bitkiler!$G$67-Topraklar!$G$41)+Ayarlar!$B$6*IF(Bitkiler!$H$67=Topraklar!$H$41,0,1))/Ayarlar!$B$7)+IF(Topraklar!$K$41=Bitkiler!$C$67,0.002,IF(Topraklar!$L$41="Evet",0.001,0)))</f>
        <v/>
      </c>
      <c r="AP68" s="16">
        <f>IF(OR(Topraklar!$J$42="Evet",AND(Topraklar!$L$42&lt;&gt;"Evet",Topraklar!$K$42&lt;&gt;Bitkiler!$C$67)),0,MAX(0,1-(Ayarlar!$B$2*ABS(Bitkiler!$D$67-Topraklar!$D$42)+Ayarlar!$B$3*ABS(Bitkiler!$E$67-Topraklar!$E$42)+Ayarlar!$B$4*ABS(Bitkiler!$F$67-Topraklar!$F$42)+Ayarlar!$B$5*ABS(Bitkiler!$G$67-Topraklar!$G$42)+Ayarlar!$B$6*IF(Bitkiler!$H$67=Topraklar!$H$42,0,1))/Ayarlar!$B$7)+IF(Topraklar!$K$42=Bitkiler!$C$67,0.002,IF(Topraklar!$L$42="Evet",0.001,0)))</f>
        <v/>
      </c>
      <c r="AQ68" s="16">
        <f>IF(OR(Topraklar!$J$43="Evet",AND(Topraklar!$L$43&lt;&gt;"Evet",Topraklar!$K$43&lt;&gt;Bitkiler!$C$67)),0,MAX(0,1-(Ayarlar!$B$2*ABS(Bitkiler!$D$67-Topraklar!$D$43)+Ayarlar!$B$3*ABS(Bitkiler!$E$67-Topraklar!$E$43)+Ayarlar!$B$4*ABS(Bitkiler!$F$67-Topraklar!$F$43)+Ayarlar!$B$5*ABS(Bitkiler!$G$67-Topraklar!$G$43)+Ayarlar!$B$6*IF(Bitkiler!$H$67=Topraklar!$H$43,0,1))/Ayarlar!$B$7)+IF(Topraklar!$K$43=Bitkiler!$C$67,0.002,IF(Topraklar!$L$43="Evet",0.001,0)))</f>
        <v/>
      </c>
      <c r="AR68" s="16">
        <f>IF(OR(Topraklar!$J$44="Evet",AND(Topraklar!$L$44&lt;&gt;"Evet",Topraklar!$K$44&lt;&gt;Bitkiler!$C$67)),0,MAX(0,1-(Ayarlar!$B$2*ABS(Bitkiler!$D$67-Topraklar!$D$44)+Ayarlar!$B$3*ABS(Bitkiler!$E$67-Topraklar!$E$44)+Ayarlar!$B$4*ABS(Bitkiler!$F$67-Topraklar!$F$44)+Ayarlar!$B$5*ABS(Bitkiler!$G$67-Topraklar!$G$44)+Ayarlar!$B$6*IF(Bitkiler!$H$67=Topraklar!$H$44,0,1))/Ayarlar!$B$7)+IF(Topraklar!$K$44=Bitkiler!$C$67,0.002,IF(Topraklar!$L$44="Evet",0.001,0)))</f>
        <v/>
      </c>
      <c r="AS68" s="16">
        <f>IF(OR(Topraklar!$J$45="Evet",AND(Topraklar!$L$45&lt;&gt;"Evet",Topraklar!$K$45&lt;&gt;Bitkiler!$C$67)),0,MAX(0,1-(Ayarlar!$B$2*ABS(Bitkiler!$D$67-Topraklar!$D$45)+Ayarlar!$B$3*ABS(Bitkiler!$E$67-Topraklar!$E$45)+Ayarlar!$B$4*ABS(Bitkiler!$F$67-Topraklar!$F$45)+Ayarlar!$B$5*ABS(Bitkiler!$G$67-Topraklar!$G$45)+Ayarlar!$B$6*IF(Bitkiler!$H$67=Topraklar!$H$45,0,1))/Ayarlar!$B$7)+IF(Topraklar!$K$45=Bitkiler!$C$67,0.002,IF(Topraklar!$L$45="Evet",0.001,0)))</f>
        <v/>
      </c>
      <c r="AT68" s="16">
        <f>IF(OR(Topraklar!$J$46="Evet",AND(Topraklar!$L$46&lt;&gt;"Evet",Topraklar!$K$46&lt;&gt;Bitkiler!$C$67)),0,MAX(0,1-(Ayarlar!$B$2*ABS(Bitkiler!$D$67-Topraklar!$D$46)+Ayarlar!$B$3*ABS(Bitkiler!$E$67-Topraklar!$E$46)+Ayarlar!$B$4*ABS(Bitkiler!$F$67-Topraklar!$F$46)+Ayarlar!$B$5*ABS(Bitkiler!$G$67-Topraklar!$G$46)+Ayarlar!$B$6*IF(Bitkiler!$H$67=Topraklar!$H$46,0,1))/Ayarlar!$B$7)+IF(Topraklar!$K$46=Bitkiler!$C$67,0.002,IF(Topraklar!$L$46="Evet",0.001,0)))</f>
        <v/>
      </c>
      <c r="AU68" s="16">
        <f>IF(OR(Topraklar!$J$47="Evet",AND(Topraklar!$L$47&lt;&gt;"Evet",Topraklar!$K$47&lt;&gt;Bitkiler!$C$67)),0,MAX(0,1-(Ayarlar!$B$2*ABS(Bitkiler!$D$67-Topraklar!$D$47)+Ayarlar!$B$3*ABS(Bitkiler!$E$67-Topraklar!$E$47)+Ayarlar!$B$4*ABS(Bitkiler!$F$67-Topraklar!$F$47)+Ayarlar!$B$5*ABS(Bitkiler!$G$67-Topraklar!$G$47)+Ayarlar!$B$6*IF(Bitkiler!$H$67=Topraklar!$H$47,0,1))/Ayarlar!$B$7)+IF(Topraklar!$K$47=Bitkiler!$C$67,0.002,IF(Topraklar!$L$47="Evet",0.001,0)))</f>
        <v/>
      </c>
      <c r="AV68" s="16">
        <f>IF(OR(Topraklar!$J$48="Evet",AND(Topraklar!$L$48&lt;&gt;"Evet",Topraklar!$K$48&lt;&gt;Bitkiler!$C$67)),0,MAX(0,1-(Ayarlar!$B$2*ABS(Bitkiler!$D$67-Topraklar!$D$48)+Ayarlar!$B$3*ABS(Bitkiler!$E$67-Topraklar!$E$48)+Ayarlar!$B$4*ABS(Bitkiler!$F$67-Topraklar!$F$48)+Ayarlar!$B$5*ABS(Bitkiler!$G$67-Topraklar!$G$48)+Ayarlar!$B$6*IF(Bitkiler!$H$67=Topraklar!$H$48,0,1))/Ayarlar!$B$7)+IF(Topraklar!$K$48=Bitkiler!$C$67,0.002,IF(Topraklar!$L$48="Evet",0.001,0)))</f>
        <v/>
      </c>
      <c r="AW68" s="16">
        <f>IF(OR(Topraklar!$J$49="Evet",AND(Topraklar!$L$49&lt;&gt;"Evet",Topraklar!$K$49&lt;&gt;Bitkiler!$C$67)),0,MAX(0,1-(Ayarlar!$B$2*ABS(Bitkiler!$D$67-Topraklar!$D$49)+Ayarlar!$B$3*ABS(Bitkiler!$E$67-Topraklar!$E$49)+Ayarlar!$B$4*ABS(Bitkiler!$F$67-Topraklar!$F$49)+Ayarlar!$B$5*ABS(Bitkiler!$G$67-Topraklar!$G$49)+Ayarlar!$B$6*IF(Bitkiler!$H$67=Topraklar!$H$49,0,1))/Ayarlar!$B$7)+IF(Topraklar!$K$49=Bitkiler!$C$67,0.002,IF(Topraklar!$L$49="Evet",0.001,0)))</f>
        <v/>
      </c>
      <c r="AX68" s="16">
        <f>IF(OR(Topraklar!$J$50="Evet",AND(Topraklar!$L$50&lt;&gt;"Evet",Topraklar!$K$50&lt;&gt;Bitkiler!$C$67)),0,MAX(0,1-(Ayarlar!$B$2*ABS(Bitkiler!$D$67-Topraklar!$D$50)+Ayarlar!$B$3*ABS(Bitkiler!$E$67-Topraklar!$E$50)+Ayarlar!$B$4*ABS(Bitkiler!$F$67-Topraklar!$F$50)+Ayarlar!$B$5*ABS(Bitkiler!$G$67-Topraklar!$G$50)+Ayarlar!$B$6*IF(Bitkiler!$H$67=Topraklar!$H$50,0,1))/Ayarlar!$B$7)+IF(Topraklar!$K$50=Bitkiler!$C$67,0.002,IF(Topraklar!$L$50="Evet",0.001,0)))</f>
        <v/>
      </c>
      <c r="AY68" s="16">
        <f>IF(OR(Topraklar!$J$51="Evet",AND(Topraklar!$L$51&lt;&gt;"Evet",Topraklar!$K$51&lt;&gt;Bitkiler!$C$67)),0,MAX(0,1-(Ayarlar!$B$2*ABS(Bitkiler!$D$67-Topraklar!$D$51)+Ayarlar!$B$3*ABS(Bitkiler!$E$67-Topraklar!$E$51)+Ayarlar!$B$4*ABS(Bitkiler!$F$67-Topraklar!$F$51)+Ayarlar!$B$5*ABS(Bitkiler!$G$67-Topraklar!$G$51)+Ayarlar!$B$6*IF(Bitkiler!$H$67=Topraklar!$H$51,0,1))/Ayarlar!$B$7)+IF(Topraklar!$K$51=Bitkiler!$C$67,0.002,IF(Topraklar!$L$51="Evet",0.001,0)))</f>
        <v/>
      </c>
    </row>
    <row r="69">
      <c r="A69" s="15">
        <f>Bitkiler!A68</f>
        <v/>
      </c>
      <c r="B69" s="16">
        <f>IF(OR(Topraklar!$J$2="Evet",AND(Topraklar!$L$2&lt;&gt;"Evet",Topraklar!$K$2&lt;&gt;Bitkiler!$C$68)),0,MAX(0,1-(Ayarlar!$B$2*ABS(Bitkiler!$D$68-Topraklar!$D$2)+Ayarlar!$B$3*ABS(Bitkiler!$E$68-Topraklar!$E$2)+Ayarlar!$B$4*ABS(Bitkiler!$F$68-Topraklar!$F$2)+Ayarlar!$B$5*ABS(Bitkiler!$G$68-Topraklar!$G$2)+Ayarlar!$B$6*IF(Bitkiler!$H$68=Topraklar!$H$2,0,1))/Ayarlar!$B$7)+IF(Topraklar!$K$2=Bitkiler!$C$68,0.002,IF(Topraklar!$L$2="Evet",0.001,0)))</f>
        <v/>
      </c>
      <c r="C69" s="16">
        <f>IF(OR(Topraklar!$J$3="Evet",AND(Topraklar!$L$3&lt;&gt;"Evet",Topraklar!$K$3&lt;&gt;Bitkiler!$C$68)),0,MAX(0,1-(Ayarlar!$B$2*ABS(Bitkiler!$D$68-Topraklar!$D$3)+Ayarlar!$B$3*ABS(Bitkiler!$E$68-Topraklar!$E$3)+Ayarlar!$B$4*ABS(Bitkiler!$F$68-Topraklar!$F$3)+Ayarlar!$B$5*ABS(Bitkiler!$G$68-Topraklar!$G$3)+Ayarlar!$B$6*IF(Bitkiler!$H$68=Topraklar!$H$3,0,1))/Ayarlar!$B$7)+IF(Topraklar!$K$3=Bitkiler!$C$68,0.002,IF(Topraklar!$L$3="Evet",0.001,0)))</f>
        <v/>
      </c>
      <c r="D69" s="16">
        <f>IF(OR(Topraklar!$J$4="Evet",AND(Topraklar!$L$4&lt;&gt;"Evet",Topraklar!$K$4&lt;&gt;Bitkiler!$C$68)),0,MAX(0,1-(Ayarlar!$B$2*ABS(Bitkiler!$D$68-Topraklar!$D$4)+Ayarlar!$B$3*ABS(Bitkiler!$E$68-Topraklar!$E$4)+Ayarlar!$B$4*ABS(Bitkiler!$F$68-Topraklar!$F$4)+Ayarlar!$B$5*ABS(Bitkiler!$G$68-Topraklar!$G$4)+Ayarlar!$B$6*IF(Bitkiler!$H$68=Topraklar!$H$4,0,1))/Ayarlar!$B$7)+IF(Topraklar!$K$4=Bitkiler!$C$68,0.002,IF(Topraklar!$L$4="Evet",0.001,0)))</f>
        <v/>
      </c>
      <c r="E69" s="16">
        <f>IF(OR(Topraklar!$J$5="Evet",AND(Topraklar!$L$5&lt;&gt;"Evet",Topraklar!$K$5&lt;&gt;Bitkiler!$C$68)),0,MAX(0,1-(Ayarlar!$B$2*ABS(Bitkiler!$D$68-Topraklar!$D$5)+Ayarlar!$B$3*ABS(Bitkiler!$E$68-Topraklar!$E$5)+Ayarlar!$B$4*ABS(Bitkiler!$F$68-Topraklar!$F$5)+Ayarlar!$B$5*ABS(Bitkiler!$G$68-Topraklar!$G$5)+Ayarlar!$B$6*IF(Bitkiler!$H$68=Topraklar!$H$5,0,1))/Ayarlar!$B$7)+IF(Topraklar!$K$5=Bitkiler!$C$68,0.002,IF(Topraklar!$L$5="Evet",0.001,0)))</f>
        <v/>
      </c>
      <c r="F69" s="16">
        <f>IF(OR(Topraklar!$J$6="Evet",AND(Topraklar!$L$6&lt;&gt;"Evet",Topraklar!$K$6&lt;&gt;Bitkiler!$C$68)),0,MAX(0,1-(Ayarlar!$B$2*ABS(Bitkiler!$D$68-Topraklar!$D$6)+Ayarlar!$B$3*ABS(Bitkiler!$E$68-Topraklar!$E$6)+Ayarlar!$B$4*ABS(Bitkiler!$F$68-Topraklar!$F$6)+Ayarlar!$B$5*ABS(Bitkiler!$G$68-Topraklar!$G$6)+Ayarlar!$B$6*IF(Bitkiler!$H$68=Topraklar!$H$6,0,1))/Ayarlar!$B$7)+IF(Topraklar!$K$6=Bitkiler!$C$68,0.002,IF(Topraklar!$L$6="Evet",0.001,0)))</f>
        <v/>
      </c>
      <c r="G69" s="16">
        <f>IF(OR(Topraklar!$J$7="Evet",AND(Topraklar!$L$7&lt;&gt;"Evet",Topraklar!$K$7&lt;&gt;Bitkiler!$C$68)),0,MAX(0,1-(Ayarlar!$B$2*ABS(Bitkiler!$D$68-Topraklar!$D$7)+Ayarlar!$B$3*ABS(Bitkiler!$E$68-Topraklar!$E$7)+Ayarlar!$B$4*ABS(Bitkiler!$F$68-Topraklar!$F$7)+Ayarlar!$B$5*ABS(Bitkiler!$G$68-Topraklar!$G$7)+Ayarlar!$B$6*IF(Bitkiler!$H$68=Topraklar!$H$7,0,1))/Ayarlar!$B$7)+IF(Topraklar!$K$7=Bitkiler!$C$68,0.002,IF(Topraklar!$L$7="Evet",0.001,0)))</f>
        <v/>
      </c>
      <c r="H69" s="16">
        <f>IF(OR(Topraklar!$J$8="Evet",AND(Topraklar!$L$8&lt;&gt;"Evet",Topraklar!$K$8&lt;&gt;Bitkiler!$C$68)),0,MAX(0,1-(Ayarlar!$B$2*ABS(Bitkiler!$D$68-Topraklar!$D$8)+Ayarlar!$B$3*ABS(Bitkiler!$E$68-Topraklar!$E$8)+Ayarlar!$B$4*ABS(Bitkiler!$F$68-Topraklar!$F$8)+Ayarlar!$B$5*ABS(Bitkiler!$G$68-Topraklar!$G$8)+Ayarlar!$B$6*IF(Bitkiler!$H$68=Topraklar!$H$8,0,1))/Ayarlar!$B$7)+IF(Topraklar!$K$8=Bitkiler!$C$68,0.002,IF(Topraklar!$L$8="Evet",0.001,0)))</f>
        <v/>
      </c>
      <c r="I69" s="16">
        <f>IF(OR(Topraklar!$J$9="Evet",AND(Topraklar!$L$9&lt;&gt;"Evet",Topraklar!$K$9&lt;&gt;Bitkiler!$C$68)),0,MAX(0,1-(Ayarlar!$B$2*ABS(Bitkiler!$D$68-Topraklar!$D$9)+Ayarlar!$B$3*ABS(Bitkiler!$E$68-Topraklar!$E$9)+Ayarlar!$B$4*ABS(Bitkiler!$F$68-Topraklar!$F$9)+Ayarlar!$B$5*ABS(Bitkiler!$G$68-Topraklar!$G$9)+Ayarlar!$B$6*IF(Bitkiler!$H$68=Topraklar!$H$9,0,1))/Ayarlar!$B$7)+IF(Topraklar!$K$9=Bitkiler!$C$68,0.002,IF(Topraklar!$L$9="Evet",0.001,0)))</f>
        <v/>
      </c>
      <c r="J69" s="16">
        <f>IF(OR(Topraklar!$J$10="Evet",AND(Topraklar!$L$10&lt;&gt;"Evet",Topraklar!$K$10&lt;&gt;Bitkiler!$C$68)),0,MAX(0,1-(Ayarlar!$B$2*ABS(Bitkiler!$D$68-Topraklar!$D$10)+Ayarlar!$B$3*ABS(Bitkiler!$E$68-Topraklar!$E$10)+Ayarlar!$B$4*ABS(Bitkiler!$F$68-Topraklar!$F$10)+Ayarlar!$B$5*ABS(Bitkiler!$G$68-Topraklar!$G$10)+Ayarlar!$B$6*IF(Bitkiler!$H$68=Topraklar!$H$10,0,1))/Ayarlar!$B$7)+IF(Topraklar!$K$10=Bitkiler!$C$68,0.002,IF(Topraklar!$L$10="Evet",0.001,0)))</f>
        <v/>
      </c>
      <c r="K69" s="16">
        <f>IF(OR(Topraklar!$J$11="Evet",AND(Topraklar!$L$11&lt;&gt;"Evet",Topraklar!$K$11&lt;&gt;Bitkiler!$C$68)),0,MAX(0,1-(Ayarlar!$B$2*ABS(Bitkiler!$D$68-Topraklar!$D$11)+Ayarlar!$B$3*ABS(Bitkiler!$E$68-Topraklar!$E$11)+Ayarlar!$B$4*ABS(Bitkiler!$F$68-Topraklar!$F$11)+Ayarlar!$B$5*ABS(Bitkiler!$G$68-Topraklar!$G$11)+Ayarlar!$B$6*IF(Bitkiler!$H$68=Topraklar!$H$11,0,1))/Ayarlar!$B$7)+IF(Topraklar!$K$11=Bitkiler!$C$68,0.002,IF(Topraklar!$L$11="Evet",0.001,0)))</f>
        <v/>
      </c>
      <c r="L69" s="16">
        <f>IF(OR(Topraklar!$J$12="Evet",AND(Topraklar!$L$12&lt;&gt;"Evet",Topraklar!$K$12&lt;&gt;Bitkiler!$C$68)),0,MAX(0,1-(Ayarlar!$B$2*ABS(Bitkiler!$D$68-Topraklar!$D$12)+Ayarlar!$B$3*ABS(Bitkiler!$E$68-Topraklar!$E$12)+Ayarlar!$B$4*ABS(Bitkiler!$F$68-Topraklar!$F$12)+Ayarlar!$B$5*ABS(Bitkiler!$G$68-Topraklar!$G$12)+Ayarlar!$B$6*IF(Bitkiler!$H$68=Topraklar!$H$12,0,1))/Ayarlar!$B$7)+IF(Topraklar!$K$12=Bitkiler!$C$68,0.002,IF(Topraklar!$L$12="Evet",0.001,0)))</f>
        <v/>
      </c>
      <c r="M69" s="16">
        <f>IF(OR(Topraklar!$J$13="Evet",AND(Topraklar!$L$13&lt;&gt;"Evet",Topraklar!$K$13&lt;&gt;Bitkiler!$C$68)),0,MAX(0,1-(Ayarlar!$B$2*ABS(Bitkiler!$D$68-Topraklar!$D$13)+Ayarlar!$B$3*ABS(Bitkiler!$E$68-Topraklar!$E$13)+Ayarlar!$B$4*ABS(Bitkiler!$F$68-Topraklar!$F$13)+Ayarlar!$B$5*ABS(Bitkiler!$G$68-Topraklar!$G$13)+Ayarlar!$B$6*IF(Bitkiler!$H$68=Topraklar!$H$13,0,1))/Ayarlar!$B$7)+IF(Topraklar!$K$13=Bitkiler!$C$68,0.002,IF(Topraklar!$L$13="Evet",0.001,0)))</f>
        <v/>
      </c>
      <c r="N69" s="16">
        <f>IF(OR(Topraklar!$J$14="Evet",AND(Topraklar!$L$14&lt;&gt;"Evet",Topraklar!$K$14&lt;&gt;Bitkiler!$C$68)),0,MAX(0,1-(Ayarlar!$B$2*ABS(Bitkiler!$D$68-Topraklar!$D$14)+Ayarlar!$B$3*ABS(Bitkiler!$E$68-Topraklar!$E$14)+Ayarlar!$B$4*ABS(Bitkiler!$F$68-Topraklar!$F$14)+Ayarlar!$B$5*ABS(Bitkiler!$G$68-Topraklar!$G$14)+Ayarlar!$B$6*IF(Bitkiler!$H$68=Topraklar!$H$14,0,1))/Ayarlar!$B$7)+IF(Topraklar!$K$14=Bitkiler!$C$68,0.002,IF(Topraklar!$L$14="Evet",0.001,0)))</f>
        <v/>
      </c>
      <c r="O69" s="16">
        <f>IF(OR(Topraklar!$J$15="Evet",AND(Topraklar!$L$15&lt;&gt;"Evet",Topraklar!$K$15&lt;&gt;Bitkiler!$C$68)),0,MAX(0,1-(Ayarlar!$B$2*ABS(Bitkiler!$D$68-Topraklar!$D$15)+Ayarlar!$B$3*ABS(Bitkiler!$E$68-Topraklar!$E$15)+Ayarlar!$B$4*ABS(Bitkiler!$F$68-Topraklar!$F$15)+Ayarlar!$B$5*ABS(Bitkiler!$G$68-Topraklar!$G$15)+Ayarlar!$B$6*IF(Bitkiler!$H$68=Topraklar!$H$15,0,1))/Ayarlar!$B$7)+IF(Topraklar!$K$15=Bitkiler!$C$68,0.002,IF(Topraklar!$L$15="Evet",0.001,0)))</f>
        <v/>
      </c>
      <c r="P69" s="16">
        <f>IF(OR(Topraklar!$J$16="Evet",AND(Topraklar!$L$16&lt;&gt;"Evet",Topraklar!$K$16&lt;&gt;Bitkiler!$C$68)),0,MAX(0,1-(Ayarlar!$B$2*ABS(Bitkiler!$D$68-Topraklar!$D$16)+Ayarlar!$B$3*ABS(Bitkiler!$E$68-Topraklar!$E$16)+Ayarlar!$B$4*ABS(Bitkiler!$F$68-Topraklar!$F$16)+Ayarlar!$B$5*ABS(Bitkiler!$G$68-Topraklar!$G$16)+Ayarlar!$B$6*IF(Bitkiler!$H$68=Topraklar!$H$16,0,1))/Ayarlar!$B$7)+IF(Topraklar!$K$16=Bitkiler!$C$68,0.002,IF(Topraklar!$L$16="Evet",0.001,0)))</f>
        <v/>
      </c>
      <c r="Q69" s="16">
        <f>IF(OR(Topraklar!$J$17="Evet",AND(Topraklar!$L$17&lt;&gt;"Evet",Topraklar!$K$17&lt;&gt;Bitkiler!$C$68)),0,MAX(0,1-(Ayarlar!$B$2*ABS(Bitkiler!$D$68-Topraklar!$D$17)+Ayarlar!$B$3*ABS(Bitkiler!$E$68-Topraklar!$E$17)+Ayarlar!$B$4*ABS(Bitkiler!$F$68-Topraklar!$F$17)+Ayarlar!$B$5*ABS(Bitkiler!$G$68-Topraklar!$G$17)+Ayarlar!$B$6*IF(Bitkiler!$H$68=Topraklar!$H$17,0,1))/Ayarlar!$B$7)+IF(Topraklar!$K$17=Bitkiler!$C$68,0.002,IF(Topraklar!$L$17="Evet",0.001,0)))</f>
        <v/>
      </c>
      <c r="R69" s="16">
        <f>IF(OR(Topraklar!$J$18="Evet",AND(Topraklar!$L$18&lt;&gt;"Evet",Topraklar!$K$18&lt;&gt;Bitkiler!$C$68)),0,MAX(0,1-(Ayarlar!$B$2*ABS(Bitkiler!$D$68-Topraklar!$D$18)+Ayarlar!$B$3*ABS(Bitkiler!$E$68-Topraklar!$E$18)+Ayarlar!$B$4*ABS(Bitkiler!$F$68-Topraklar!$F$18)+Ayarlar!$B$5*ABS(Bitkiler!$G$68-Topraklar!$G$18)+Ayarlar!$B$6*IF(Bitkiler!$H$68=Topraklar!$H$18,0,1))/Ayarlar!$B$7)+IF(Topraklar!$K$18=Bitkiler!$C$68,0.002,IF(Topraklar!$L$18="Evet",0.001,0)))</f>
        <v/>
      </c>
      <c r="S69" s="16">
        <f>IF(OR(Topraklar!$J$19="Evet",AND(Topraklar!$L$19&lt;&gt;"Evet",Topraklar!$K$19&lt;&gt;Bitkiler!$C$68)),0,MAX(0,1-(Ayarlar!$B$2*ABS(Bitkiler!$D$68-Topraklar!$D$19)+Ayarlar!$B$3*ABS(Bitkiler!$E$68-Topraklar!$E$19)+Ayarlar!$B$4*ABS(Bitkiler!$F$68-Topraklar!$F$19)+Ayarlar!$B$5*ABS(Bitkiler!$G$68-Topraklar!$G$19)+Ayarlar!$B$6*IF(Bitkiler!$H$68=Topraklar!$H$19,0,1))/Ayarlar!$B$7)+IF(Topraklar!$K$19=Bitkiler!$C$68,0.002,IF(Topraklar!$L$19="Evet",0.001,0)))</f>
        <v/>
      </c>
      <c r="T69" s="16">
        <f>IF(OR(Topraklar!$J$20="Evet",AND(Topraklar!$L$20&lt;&gt;"Evet",Topraklar!$K$20&lt;&gt;Bitkiler!$C$68)),0,MAX(0,1-(Ayarlar!$B$2*ABS(Bitkiler!$D$68-Topraklar!$D$20)+Ayarlar!$B$3*ABS(Bitkiler!$E$68-Topraklar!$E$20)+Ayarlar!$B$4*ABS(Bitkiler!$F$68-Topraklar!$F$20)+Ayarlar!$B$5*ABS(Bitkiler!$G$68-Topraklar!$G$20)+Ayarlar!$B$6*IF(Bitkiler!$H$68=Topraklar!$H$20,0,1))/Ayarlar!$B$7)+IF(Topraklar!$K$20=Bitkiler!$C$68,0.002,IF(Topraklar!$L$20="Evet",0.001,0)))</f>
        <v/>
      </c>
      <c r="U69" s="16">
        <f>IF(OR(Topraklar!$J$21="Evet",AND(Topraklar!$L$21&lt;&gt;"Evet",Topraklar!$K$21&lt;&gt;Bitkiler!$C$68)),0,MAX(0,1-(Ayarlar!$B$2*ABS(Bitkiler!$D$68-Topraklar!$D$21)+Ayarlar!$B$3*ABS(Bitkiler!$E$68-Topraklar!$E$21)+Ayarlar!$B$4*ABS(Bitkiler!$F$68-Topraklar!$F$21)+Ayarlar!$B$5*ABS(Bitkiler!$G$68-Topraklar!$G$21)+Ayarlar!$B$6*IF(Bitkiler!$H$68=Topraklar!$H$21,0,1))/Ayarlar!$B$7)+IF(Topraklar!$K$21=Bitkiler!$C$68,0.002,IF(Topraklar!$L$21="Evet",0.001,0)))</f>
        <v/>
      </c>
      <c r="V69" s="16">
        <f>IF(OR(Topraklar!$J$22="Evet",AND(Topraklar!$L$22&lt;&gt;"Evet",Topraklar!$K$22&lt;&gt;Bitkiler!$C$68)),0,MAX(0,1-(Ayarlar!$B$2*ABS(Bitkiler!$D$68-Topraklar!$D$22)+Ayarlar!$B$3*ABS(Bitkiler!$E$68-Topraklar!$E$22)+Ayarlar!$B$4*ABS(Bitkiler!$F$68-Topraklar!$F$22)+Ayarlar!$B$5*ABS(Bitkiler!$G$68-Topraklar!$G$22)+Ayarlar!$B$6*IF(Bitkiler!$H$68=Topraklar!$H$22,0,1))/Ayarlar!$B$7)+IF(Topraklar!$K$22=Bitkiler!$C$68,0.002,IF(Topraklar!$L$22="Evet",0.001,0)))</f>
        <v/>
      </c>
      <c r="W69" s="16">
        <f>IF(OR(Topraklar!$J$23="Evet",AND(Topraklar!$L$23&lt;&gt;"Evet",Topraklar!$K$23&lt;&gt;Bitkiler!$C$68)),0,MAX(0,1-(Ayarlar!$B$2*ABS(Bitkiler!$D$68-Topraklar!$D$23)+Ayarlar!$B$3*ABS(Bitkiler!$E$68-Topraklar!$E$23)+Ayarlar!$B$4*ABS(Bitkiler!$F$68-Topraklar!$F$23)+Ayarlar!$B$5*ABS(Bitkiler!$G$68-Topraklar!$G$23)+Ayarlar!$B$6*IF(Bitkiler!$H$68=Topraklar!$H$23,0,1))/Ayarlar!$B$7)+IF(Topraklar!$K$23=Bitkiler!$C$68,0.002,IF(Topraklar!$L$23="Evet",0.001,0)))</f>
        <v/>
      </c>
      <c r="X69" s="16">
        <f>IF(OR(Topraklar!$J$24="Evet",AND(Topraklar!$L$24&lt;&gt;"Evet",Topraklar!$K$24&lt;&gt;Bitkiler!$C$68)),0,MAX(0,1-(Ayarlar!$B$2*ABS(Bitkiler!$D$68-Topraklar!$D$24)+Ayarlar!$B$3*ABS(Bitkiler!$E$68-Topraklar!$E$24)+Ayarlar!$B$4*ABS(Bitkiler!$F$68-Topraklar!$F$24)+Ayarlar!$B$5*ABS(Bitkiler!$G$68-Topraklar!$G$24)+Ayarlar!$B$6*IF(Bitkiler!$H$68=Topraklar!$H$24,0,1))/Ayarlar!$B$7)+IF(Topraklar!$K$24=Bitkiler!$C$68,0.002,IF(Topraklar!$L$24="Evet",0.001,0)))</f>
        <v/>
      </c>
      <c r="Y69" s="16">
        <f>IF(OR(Topraklar!$J$25="Evet",AND(Topraklar!$L$25&lt;&gt;"Evet",Topraklar!$K$25&lt;&gt;Bitkiler!$C$68)),0,MAX(0,1-(Ayarlar!$B$2*ABS(Bitkiler!$D$68-Topraklar!$D$25)+Ayarlar!$B$3*ABS(Bitkiler!$E$68-Topraklar!$E$25)+Ayarlar!$B$4*ABS(Bitkiler!$F$68-Topraklar!$F$25)+Ayarlar!$B$5*ABS(Bitkiler!$G$68-Topraklar!$G$25)+Ayarlar!$B$6*IF(Bitkiler!$H$68=Topraklar!$H$25,0,1))/Ayarlar!$B$7)+IF(Topraklar!$K$25=Bitkiler!$C$68,0.002,IF(Topraklar!$L$25="Evet",0.001,0)))</f>
        <v/>
      </c>
      <c r="Z69" s="16">
        <f>IF(OR(Topraklar!$J$26="Evet",AND(Topraklar!$L$26&lt;&gt;"Evet",Topraklar!$K$26&lt;&gt;Bitkiler!$C$68)),0,MAX(0,1-(Ayarlar!$B$2*ABS(Bitkiler!$D$68-Topraklar!$D$26)+Ayarlar!$B$3*ABS(Bitkiler!$E$68-Topraklar!$E$26)+Ayarlar!$B$4*ABS(Bitkiler!$F$68-Topraklar!$F$26)+Ayarlar!$B$5*ABS(Bitkiler!$G$68-Topraklar!$G$26)+Ayarlar!$B$6*IF(Bitkiler!$H$68=Topraklar!$H$26,0,1))/Ayarlar!$B$7)+IF(Topraklar!$K$26=Bitkiler!$C$68,0.002,IF(Topraklar!$L$26="Evet",0.001,0)))</f>
        <v/>
      </c>
      <c r="AA69" s="16">
        <f>IF(OR(Topraklar!$J$27="Evet",AND(Topraklar!$L$27&lt;&gt;"Evet",Topraklar!$K$27&lt;&gt;Bitkiler!$C$68)),0,MAX(0,1-(Ayarlar!$B$2*ABS(Bitkiler!$D$68-Topraklar!$D$27)+Ayarlar!$B$3*ABS(Bitkiler!$E$68-Topraklar!$E$27)+Ayarlar!$B$4*ABS(Bitkiler!$F$68-Topraklar!$F$27)+Ayarlar!$B$5*ABS(Bitkiler!$G$68-Topraklar!$G$27)+Ayarlar!$B$6*IF(Bitkiler!$H$68=Topraklar!$H$27,0,1))/Ayarlar!$B$7)+IF(Topraklar!$K$27=Bitkiler!$C$68,0.002,IF(Topraklar!$L$27="Evet",0.001,0)))</f>
        <v/>
      </c>
      <c r="AB69" s="16">
        <f>IF(OR(Topraklar!$J$28="Evet",AND(Topraklar!$L$28&lt;&gt;"Evet",Topraklar!$K$28&lt;&gt;Bitkiler!$C$68)),0,MAX(0,1-(Ayarlar!$B$2*ABS(Bitkiler!$D$68-Topraklar!$D$28)+Ayarlar!$B$3*ABS(Bitkiler!$E$68-Topraklar!$E$28)+Ayarlar!$B$4*ABS(Bitkiler!$F$68-Topraklar!$F$28)+Ayarlar!$B$5*ABS(Bitkiler!$G$68-Topraklar!$G$28)+Ayarlar!$B$6*IF(Bitkiler!$H$68=Topraklar!$H$28,0,1))/Ayarlar!$B$7)+IF(Topraklar!$K$28=Bitkiler!$C$68,0.002,IF(Topraklar!$L$28="Evet",0.001,0)))</f>
        <v/>
      </c>
      <c r="AC69" s="16">
        <f>IF(OR(Topraklar!$J$29="Evet",AND(Topraklar!$L$29&lt;&gt;"Evet",Topraklar!$K$29&lt;&gt;Bitkiler!$C$68)),0,MAX(0,1-(Ayarlar!$B$2*ABS(Bitkiler!$D$68-Topraklar!$D$29)+Ayarlar!$B$3*ABS(Bitkiler!$E$68-Topraklar!$E$29)+Ayarlar!$B$4*ABS(Bitkiler!$F$68-Topraklar!$F$29)+Ayarlar!$B$5*ABS(Bitkiler!$G$68-Topraklar!$G$29)+Ayarlar!$B$6*IF(Bitkiler!$H$68=Topraklar!$H$29,0,1))/Ayarlar!$B$7)+IF(Topraklar!$K$29=Bitkiler!$C$68,0.002,IF(Topraklar!$L$29="Evet",0.001,0)))</f>
        <v/>
      </c>
      <c r="AD69" s="16">
        <f>IF(OR(Topraklar!$J$30="Evet",AND(Topraklar!$L$30&lt;&gt;"Evet",Topraklar!$K$30&lt;&gt;Bitkiler!$C$68)),0,MAX(0,1-(Ayarlar!$B$2*ABS(Bitkiler!$D$68-Topraklar!$D$30)+Ayarlar!$B$3*ABS(Bitkiler!$E$68-Topraklar!$E$30)+Ayarlar!$B$4*ABS(Bitkiler!$F$68-Topraklar!$F$30)+Ayarlar!$B$5*ABS(Bitkiler!$G$68-Topraklar!$G$30)+Ayarlar!$B$6*IF(Bitkiler!$H$68=Topraklar!$H$30,0,1))/Ayarlar!$B$7)+IF(Topraklar!$K$30=Bitkiler!$C$68,0.002,IF(Topraklar!$L$30="Evet",0.001,0)))</f>
        <v/>
      </c>
      <c r="AE69" s="16">
        <f>IF(OR(Topraklar!$J$31="Evet",AND(Topraklar!$L$31&lt;&gt;"Evet",Topraklar!$K$31&lt;&gt;Bitkiler!$C$68)),0,MAX(0,1-(Ayarlar!$B$2*ABS(Bitkiler!$D$68-Topraklar!$D$31)+Ayarlar!$B$3*ABS(Bitkiler!$E$68-Topraklar!$E$31)+Ayarlar!$B$4*ABS(Bitkiler!$F$68-Topraklar!$F$31)+Ayarlar!$B$5*ABS(Bitkiler!$G$68-Topraklar!$G$31)+Ayarlar!$B$6*IF(Bitkiler!$H$68=Topraklar!$H$31,0,1))/Ayarlar!$B$7)+IF(Topraklar!$K$31=Bitkiler!$C$68,0.002,IF(Topraklar!$L$31="Evet",0.001,0)))</f>
        <v/>
      </c>
      <c r="AF69" s="16">
        <f>IF(OR(Topraklar!$J$32="Evet",AND(Topraklar!$L$32&lt;&gt;"Evet",Topraklar!$K$32&lt;&gt;Bitkiler!$C$68)),0,MAX(0,1-(Ayarlar!$B$2*ABS(Bitkiler!$D$68-Topraklar!$D$32)+Ayarlar!$B$3*ABS(Bitkiler!$E$68-Topraklar!$E$32)+Ayarlar!$B$4*ABS(Bitkiler!$F$68-Topraklar!$F$32)+Ayarlar!$B$5*ABS(Bitkiler!$G$68-Topraklar!$G$32)+Ayarlar!$B$6*IF(Bitkiler!$H$68=Topraklar!$H$32,0,1))/Ayarlar!$B$7)+IF(Topraklar!$K$32=Bitkiler!$C$68,0.002,IF(Topraklar!$L$32="Evet",0.001,0)))</f>
        <v/>
      </c>
      <c r="AG69" s="16">
        <f>IF(OR(Topraklar!$J$33="Evet",AND(Topraklar!$L$33&lt;&gt;"Evet",Topraklar!$K$33&lt;&gt;Bitkiler!$C$68)),0,MAX(0,1-(Ayarlar!$B$2*ABS(Bitkiler!$D$68-Topraklar!$D$33)+Ayarlar!$B$3*ABS(Bitkiler!$E$68-Topraklar!$E$33)+Ayarlar!$B$4*ABS(Bitkiler!$F$68-Topraklar!$F$33)+Ayarlar!$B$5*ABS(Bitkiler!$G$68-Topraklar!$G$33)+Ayarlar!$B$6*IF(Bitkiler!$H$68=Topraklar!$H$33,0,1))/Ayarlar!$B$7)+IF(Topraklar!$K$33=Bitkiler!$C$68,0.002,IF(Topraklar!$L$33="Evet",0.001,0)))</f>
        <v/>
      </c>
      <c r="AH69" s="16">
        <f>IF(OR(Topraklar!$J$34="Evet",AND(Topraklar!$L$34&lt;&gt;"Evet",Topraklar!$K$34&lt;&gt;Bitkiler!$C$68)),0,MAX(0,1-(Ayarlar!$B$2*ABS(Bitkiler!$D$68-Topraklar!$D$34)+Ayarlar!$B$3*ABS(Bitkiler!$E$68-Topraklar!$E$34)+Ayarlar!$B$4*ABS(Bitkiler!$F$68-Topraklar!$F$34)+Ayarlar!$B$5*ABS(Bitkiler!$G$68-Topraklar!$G$34)+Ayarlar!$B$6*IF(Bitkiler!$H$68=Topraklar!$H$34,0,1))/Ayarlar!$B$7)+IF(Topraklar!$K$34=Bitkiler!$C$68,0.002,IF(Topraklar!$L$34="Evet",0.001,0)))</f>
        <v/>
      </c>
      <c r="AI69" s="16">
        <f>IF(OR(Topraklar!$J$35="Evet",AND(Topraklar!$L$35&lt;&gt;"Evet",Topraklar!$K$35&lt;&gt;Bitkiler!$C$68)),0,MAX(0,1-(Ayarlar!$B$2*ABS(Bitkiler!$D$68-Topraklar!$D$35)+Ayarlar!$B$3*ABS(Bitkiler!$E$68-Topraklar!$E$35)+Ayarlar!$B$4*ABS(Bitkiler!$F$68-Topraklar!$F$35)+Ayarlar!$B$5*ABS(Bitkiler!$G$68-Topraklar!$G$35)+Ayarlar!$B$6*IF(Bitkiler!$H$68=Topraklar!$H$35,0,1))/Ayarlar!$B$7)+IF(Topraklar!$K$35=Bitkiler!$C$68,0.002,IF(Topraklar!$L$35="Evet",0.001,0)))</f>
        <v/>
      </c>
      <c r="AJ69" s="16">
        <f>IF(OR(Topraklar!$J$36="Evet",AND(Topraklar!$L$36&lt;&gt;"Evet",Topraklar!$K$36&lt;&gt;Bitkiler!$C$68)),0,MAX(0,1-(Ayarlar!$B$2*ABS(Bitkiler!$D$68-Topraklar!$D$36)+Ayarlar!$B$3*ABS(Bitkiler!$E$68-Topraklar!$E$36)+Ayarlar!$B$4*ABS(Bitkiler!$F$68-Topraklar!$F$36)+Ayarlar!$B$5*ABS(Bitkiler!$G$68-Topraklar!$G$36)+Ayarlar!$B$6*IF(Bitkiler!$H$68=Topraklar!$H$36,0,1))/Ayarlar!$B$7)+IF(Topraklar!$K$36=Bitkiler!$C$68,0.002,IF(Topraklar!$L$36="Evet",0.001,0)))</f>
        <v/>
      </c>
      <c r="AK69" s="16">
        <f>IF(OR(Topraklar!$J$37="Evet",AND(Topraklar!$L$37&lt;&gt;"Evet",Topraklar!$K$37&lt;&gt;Bitkiler!$C$68)),0,MAX(0,1-(Ayarlar!$B$2*ABS(Bitkiler!$D$68-Topraklar!$D$37)+Ayarlar!$B$3*ABS(Bitkiler!$E$68-Topraklar!$E$37)+Ayarlar!$B$4*ABS(Bitkiler!$F$68-Topraklar!$F$37)+Ayarlar!$B$5*ABS(Bitkiler!$G$68-Topraklar!$G$37)+Ayarlar!$B$6*IF(Bitkiler!$H$68=Topraklar!$H$37,0,1))/Ayarlar!$B$7)+IF(Topraklar!$K$37=Bitkiler!$C$68,0.002,IF(Topraklar!$L$37="Evet",0.001,0)))</f>
        <v/>
      </c>
      <c r="AL69" s="16">
        <f>IF(OR(Topraklar!$J$38="Evet",AND(Topraklar!$L$38&lt;&gt;"Evet",Topraklar!$K$38&lt;&gt;Bitkiler!$C$68)),0,MAX(0,1-(Ayarlar!$B$2*ABS(Bitkiler!$D$68-Topraklar!$D$38)+Ayarlar!$B$3*ABS(Bitkiler!$E$68-Topraklar!$E$38)+Ayarlar!$B$4*ABS(Bitkiler!$F$68-Topraklar!$F$38)+Ayarlar!$B$5*ABS(Bitkiler!$G$68-Topraklar!$G$38)+Ayarlar!$B$6*IF(Bitkiler!$H$68=Topraklar!$H$38,0,1))/Ayarlar!$B$7)+IF(Topraklar!$K$38=Bitkiler!$C$68,0.002,IF(Topraklar!$L$38="Evet",0.001,0)))</f>
        <v/>
      </c>
      <c r="AM69" s="16">
        <f>IF(OR(Topraklar!$J$39="Evet",AND(Topraklar!$L$39&lt;&gt;"Evet",Topraklar!$K$39&lt;&gt;Bitkiler!$C$68)),0,MAX(0,1-(Ayarlar!$B$2*ABS(Bitkiler!$D$68-Topraklar!$D$39)+Ayarlar!$B$3*ABS(Bitkiler!$E$68-Topraklar!$E$39)+Ayarlar!$B$4*ABS(Bitkiler!$F$68-Topraklar!$F$39)+Ayarlar!$B$5*ABS(Bitkiler!$G$68-Topraklar!$G$39)+Ayarlar!$B$6*IF(Bitkiler!$H$68=Topraklar!$H$39,0,1))/Ayarlar!$B$7)+IF(Topraklar!$K$39=Bitkiler!$C$68,0.002,IF(Topraklar!$L$39="Evet",0.001,0)))</f>
        <v/>
      </c>
      <c r="AN69" s="16">
        <f>IF(OR(Topraklar!$J$40="Evet",AND(Topraklar!$L$40&lt;&gt;"Evet",Topraklar!$K$40&lt;&gt;Bitkiler!$C$68)),0,MAX(0,1-(Ayarlar!$B$2*ABS(Bitkiler!$D$68-Topraklar!$D$40)+Ayarlar!$B$3*ABS(Bitkiler!$E$68-Topraklar!$E$40)+Ayarlar!$B$4*ABS(Bitkiler!$F$68-Topraklar!$F$40)+Ayarlar!$B$5*ABS(Bitkiler!$G$68-Topraklar!$G$40)+Ayarlar!$B$6*IF(Bitkiler!$H$68=Topraklar!$H$40,0,1))/Ayarlar!$B$7)+IF(Topraklar!$K$40=Bitkiler!$C$68,0.002,IF(Topraklar!$L$40="Evet",0.001,0)))</f>
        <v/>
      </c>
      <c r="AO69" s="16">
        <f>IF(OR(Topraklar!$J$41="Evet",AND(Topraklar!$L$41&lt;&gt;"Evet",Topraklar!$K$41&lt;&gt;Bitkiler!$C$68)),0,MAX(0,1-(Ayarlar!$B$2*ABS(Bitkiler!$D$68-Topraklar!$D$41)+Ayarlar!$B$3*ABS(Bitkiler!$E$68-Topraklar!$E$41)+Ayarlar!$B$4*ABS(Bitkiler!$F$68-Topraklar!$F$41)+Ayarlar!$B$5*ABS(Bitkiler!$G$68-Topraklar!$G$41)+Ayarlar!$B$6*IF(Bitkiler!$H$68=Topraklar!$H$41,0,1))/Ayarlar!$B$7)+IF(Topraklar!$K$41=Bitkiler!$C$68,0.002,IF(Topraklar!$L$41="Evet",0.001,0)))</f>
        <v/>
      </c>
      <c r="AP69" s="16">
        <f>IF(OR(Topraklar!$J$42="Evet",AND(Topraklar!$L$42&lt;&gt;"Evet",Topraklar!$K$42&lt;&gt;Bitkiler!$C$68)),0,MAX(0,1-(Ayarlar!$B$2*ABS(Bitkiler!$D$68-Topraklar!$D$42)+Ayarlar!$B$3*ABS(Bitkiler!$E$68-Topraklar!$E$42)+Ayarlar!$B$4*ABS(Bitkiler!$F$68-Topraklar!$F$42)+Ayarlar!$B$5*ABS(Bitkiler!$G$68-Topraklar!$G$42)+Ayarlar!$B$6*IF(Bitkiler!$H$68=Topraklar!$H$42,0,1))/Ayarlar!$B$7)+IF(Topraklar!$K$42=Bitkiler!$C$68,0.002,IF(Topraklar!$L$42="Evet",0.001,0)))</f>
        <v/>
      </c>
      <c r="AQ69" s="16">
        <f>IF(OR(Topraklar!$J$43="Evet",AND(Topraklar!$L$43&lt;&gt;"Evet",Topraklar!$K$43&lt;&gt;Bitkiler!$C$68)),0,MAX(0,1-(Ayarlar!$B$2*ABS(Bitkiler!$D$68-Topraklar!$D$43)+Ayarlar!$B$3*ABS(Bitkiler!$E$68-Topraklar!$E$43)+Ayarlar!$B$4*ABS(Bitkiler!$F$68-Topraklar!$F$43)+Ayarlar!$B$5*ABS(Bitkiler!$G$68-Topraklar!$G$43)+Ayarlar!$B$6*IF(Bitkiler!$H$68=Topraklar!$H$43,0,1))/Ayarlar!$B$7)+IF(Topraklar!$K$43=Bitkiler!$C$68,0.002,IF(Topraklar!$L$43="Evet",0.001,0)))</f>
        <v/>
      </c>
      <c r="AR69" s="16">
        <f>IF(OR(Topraklar!$J$44="Evet",AND(Topraklar!$L$44&lt;&gt;"Evet",Topraklar!$K$44&lt;&gt;Bitkiler!$C$68)),0,MAX(0,1-(Ayarlar!$B$2*ABS(Bitkiler!$D$68-Topraklar!$D$44)+Ayarlar!$B$3*ABS(Bitkiler!$E$68-Topraklar!$E$44)+Ayarlar!$B$4*ABS(Bitkiler!$F$68-Topraklar!$F$44)+Ayarlar!$B$5*ABS(Bitkiler!$G$68-Topraklar!$G$44)+Ayarlar!$B$6*IF(Bitkiler!$H$68=Topraklar!$H$44,0,1))/Ayarlar!$B$7)+IF(Topraklar!$K$44=Bitkiler!$C$68,0.002,IF(Topraklar!$L$44="Evet",0.001,0)))</f>
        <v/>
      </c>
      <c r="AS69" s="16">
        <f>IF(OR(Topraklar!$J$45="Evet",AND(Topraklar!$L$45&lt;&gt;"Evet",Topraklar!$K$45&lt;&gt;Bitkiler!$C$68)),0,MAX(0,1-(Ayarlar!$B$2*ABS(Bitkiler!$D$68-Topraklar!$D$45)+Ayarlar!$B$3*ABS(Bitkiler!$E$68-Topraklar!$E$45)+Ayarlar!$B$4*ABS(Bitkiler!$F$68-Topraklar!$F$45)+Ayarlar!$B$5*ABS(Bitkiler!$G$68-Topraklar!$G$45)+Ayarlar!$B$6*IF(Bitkiler!$H$68=Topraklar!$H$45,0,1))/Ayarlar!$B$7)+IF(Topraklar!$K$45=Bitkiler!$C$68,0.002,IF(Topraklar!$L$45="Evet",0.001,0)))</f>
        <v/>
      </c>
      <c r="AT69" s="16">
        <f>IF(OR(Topraklar!$J$46="Evet",AND(Topraklar!$L$46&lt;&gt;"Evet",Topraklar!$K$46&lt;&gt;Bitkiler!$C$68)),0,MAX(0,1-(Ayarlar!$B$2*ABS(Bitkiler!$D$68-Topraklar!$D$46)+Ayarlar!$B$3*ABS(Bitkiler!$E$68-Topraklar!$E$46)+Ayarlar!$B$4*ABS(Bitkiler!$F$68-Topraklar!$F$46)+Ayarlar!$B$5*ABS(Bitkiler!$G$68-Topraklar!$G$46)+Ayarlar!$B$6*IF(Bitkiler!$H$68=Topraklar!$H$46,0,1))/Ayarlar!$B$7)+IF(Topraklar!$K$46=Bitkiler!$C$68,0.002,IF(Topraklar!$L$46="Evet",0.001,0)))</f>
        <v/>
      </c>
      <c r="AU69" s="16">
        <f>IF(OR(Topraklar!$J$47="Evet",AND(Topraklar!$L$47&lt;&gt;"Evet",Topraklar!$K$47&lt;&gt;Bitkiler!$C$68)),0,MAX(0,1-(Ayarlar!$B$2*ABS(Bitkiler!$D$68-Topraklar!$D$47)+Ayarlar!$B$3*ABS(Bitkiler!$E$68-Topraklar!$E$47)+Ayarlar!$B$4*ABS(Bitkiler!$F$68-Topraklar!$F$47)+Ayarlar!$B$5*ABS(Bitkiler!$G$68-Topraklar!$G$47)+Ayarlar!$B$6*IF(Bitkiler!$H$68=Topraklar!$H$47,0,1))/Ayarlar!$B$7)+IF(Topraklar!$K$47=Bitkiler!$C$68,0.002,IF(Topraklar!$L$47="Evet",0.001,0)))</f>
        <v/>
      </c>
      <c r="AV69" s="16">
        <f>IF(OR(Topraklar!$J$48="Evet",AND(Topraklar!$L$48&lt;&gt;"Evet",Topraklar!$K$48&lt;&gt;Bitkiler!$C$68)),0,MAX(0,1-(Ayarlar!$B$2*ABS(Bitkiler!$D$68-Topraklar!$D$48)+Ayarlar!$B$3*ABS(Bitkiler!$E$68-Topraklar!$E$48)+Ayarlar!$B$4*ABS(Bitkiler!$F$68-Topraklar!$F$48)+Ayarlar!$B$5*ABS(Bitkiler!$G$68-Topraklar!$G$48)+Ayarlar!$B$6*IF(Bitkiler!$H$68=Topraklar!$H$48,0,1))/Ayarlar!$B$7)+IF(Topraklar!$K$48=Bitkiler!$C$68,0.002,IF(Topraklar!$L$48="Evet",0.001,0)))</f>
        <v/>
      </c>
      <c r="AW69" s="16">
        <f>IF(OR(Topraklar!$J$49="Evet",AND(Topraklar!$L$49&lt;&gt;"Evet",Topraklar!$K$49&lt;&gt;Bitkiler!$C$68)),0,MAX(0,1-(Ayarlar!$B$2*ABS(Bitkiler!$D$68-Topraklar!$D$49)+Ayarlar!$B$3*ABS(Bitkiler!$E$68-Topraklar!$E$49)+Ayarlar!$B$4*ABS(Bitkiler!$F$68-Topraklar!$F$49)+Ayarlar!$B$5*ABS(Bitkiler!$G$68-Topraklar!$G$49)+Ayarlar!$B$6*IF(Bitkiler!$H$68=Topraklar!$H$49,0,1))/Ayarlar!$B$7)+IF(Topraklar!$K$49=Bitkiler!$C$68,0.002,IF(Topraklar!$L$49="Evet",0.001,0)))</f>
        <v/>
      </c>
      <c r="AX69" s="16">
        <f>IF(OR(Topraklar!$J$50="Evet",AND(Topraklar!$L$50&lt;&gt;"Evet",Topraklar!$K$50&lt;&gt;Bitkiler!$C$68)),0,MAX(0,1-(Ayarlar!$B$2*ABS(Bitkiler!$D$68-Topraklar!$D$50)+Ayarlar!$B$3*ABS(Bitkiler!$E$68-Topraklar!$E$50)+Ayarlar!$B$4*ABS(Bitkiler!$F$68-Topraklar!$F$50)+Ayarlar!$B$5*ABS(Bitkiler!$G$68-Topraklar!$G$50)+Ayarlar!$B$6*IF(Bitkiler!$H$68=Topraklar!$H$50,0,1))/Ayarlar!$B$7)+IF(Topraklar!$K$50=Bitkiler!$C$68,0.002,IF(Topraklar!$L$50="Evet",0.001,0)))</f>
        <v/>
      </c>
      <c r="AY69" s="16">
        <f>IF(OR(Topraklar!$J$51="Evet",AND(Topraklar!$L$51&lt;&gt;"Evet",Topraklar!$K$51&lt;&gt;Bitkiler!$C$68)),0,MAX(0,1-(Ayarlar!$B$2*ABS(Bitkiler!$D$68-Topraklar!$D$51)+Ayarlar!$B$3*ABS(Bitkiler!$E$68-Topraklar!$E$51)+Ayarlar!$B$4*ABS(Bitkiler!$F$68-Topraklar!$F$51)+Ayarlar!$B$5*ABS(Bitkiler!$G$68-Topraklar!$G$51)+Ayarlar!$B$6*IF(Bitkiler!$H$68=Topraklar!$H$51,0,1))/Ayarlar!$B$7)+IF(Topraklar!$K$51=Bitkiler!$C$68,0.002,IF(Topraklar!$L$51="Evet",0.001,0)))</f>
        <v/>
      </c>
    </row>
    <row r="70">
      <c r="A70" s="15">
        <f>Bitkiler!A69</f>
        <v/>
      </c>
      <c r="B70" s="16">
        <f>IF(OR(Topraklar!$J$2="Evet",AND(Topraklar!$L$2&lt;&gt;"Evet",Topraklar!$K$2&lt;&gt;Bitkiler!$C$69)),0,MAX(0,1-(Ayarlar!$B$2*ABS(Bitkiler!$D$69-Topraklar!$D$2)+Ayarlar!$B$3*ABS(Bitkiler!$E$69-Topraklar!$E$2)+Ayarlar!$B$4*ABS(Bitkiler!$F$69-Topraklar!$F$2)+Ayarlar!$B$5*ABS(Bitkiler!$G$69-Topraklar!$G$2)+Ayarlar!$B$6*IF(Bitkiler!$H$69=Topraklar!$H$2,0,1))/Ayarlar!$B$7)+IF(Topraklar!$K$2=Bitkiler!$C$69,0.002,IF(Topraklar!$L$2="Evet",0.001,0)))</f>
        <v/>
      </c>
      <c r="C70" s="16">
        <f>IF(OR(Topraklar!$J$3="Evet",AND(Topraklar!$L$3&lt;&gt;"Evet",Topraklar!$K$3&lt;&gt;Bitkiler!$C$69)),0,MAX(0,1-(Ayarlar!$B$2*ABS(Bitkiler!$D$69-Topraklar!$D$3)+Ayarlar!$B$3*ABS(Bitkiler!$E$69-Topraklar!$E$3)+Ayarlar!$B$4*ABS(Bitkiler!$F$69-Topraklar!$F$3)+Ayarlar!$B$5*ABS(Bitkiler!$G$69-Topraklar!$G$3)+Ayarlar!$B$6*IF(Bitkiler!$H$69=Topraklar!$H$3,0,1))/Ayarlar!$B$7)+IF(Topraklar!$K$3=Bitkiler!$C$69,0.002,IF(Topraklar!$L$3="Evet",0.001,0)))</f>
        <v/>
      </c>
      <c r="D70" s="16">
        <f>IF(OR(Topraklar!$J$4="Evet",AND(Topraklar!$L$4&lt;&gt;"Evet",Topraklar!$K$4&lt;&gt;Bitkiler!$C$69)),0,MAX(0,1-(Ayarlar!$B$2*ABS(Bitkiler!$D$69-Topraklar!$D$4)+Ayarlar!$B$3*ABS(Bitkiler!$E$69-Topraklar!$E$4)+Ayarlar!$B$4*ABS(Bitkiler!$F$69-Topraklar!$F$4)+Ayarlar!$B$5*ABS(Bitkiler!$G$69-Topraklar!$G$4)+Ayarlar!$B$6*IF(Bitkiler!$H$69=Topraklar!$H$4,0,1))/Ayarlar!$B$7)+IF(Topraklar!$K$4=Bitkiler!$C$69,0.002,IF(Topraklar!$L$4="Evet",0.001,0)))</f>
        <v/>
      </c>
      <c r="E70" s="16">
        <f>IF(OR(Topraklar!$J$5="Evet",AND(Topraklar!$L$5&lt;&gt;"Evet",Topraklar!$K$5&lt;&gt;Bitkiler!$C$69)),0,MAX(0,1-(Ayarlar!$B$2*ABS(Bitkiler!$D$69-Topraklar!$D$5)+Ayarlar!$B$3*ABS(Bitkiler!$E$69-Topraklar!$E$5)+Ayarlar!$B$4*ABS(Bitkiler!$F$69-Topraklar!$F$5)+Ayarlar!$B$5*ABS(Bitkiler!$G$69-Topraklar!$G$5)+Ayarlar!$B$6*IF(Bitkiler!$H$69=Topraklar!$H$5,0,1))/Ayarlar!$B$7)+IF(Topraklar!$K$5=Bitkiler!$C$69,0.002,IF(Topraklar!$L$5="Evet",0.001,0)))</f>
        <v/>
      </c>
      <c r="F70" s="16">
        <f>IF(OR(Topraklar!$J$6="Evet",AND(Topraklar!$L$6&lt;&gt;"Evet",Topraklar!$K$6&lt;&gt;Bitkiler!$C$69)),0,MAX(0,1-(Ayarlar!$B$2*ABS(Bitkiler!$D$69-Topraklar!$D$6)+Ayarlar!$B$3*ABS(Bitkiler!$E$69-Topraklar!$E$6)+Ayarlar!$B$4*ABS(Bitkiler!$F$69-Topraklar!$F$6)+Ayarlar!$B$5*ABS(Bitkiler!$G$69-Topraklar!$G$6)+Ayarlar!$B$6*IF(Bitkiler!$H$69=Topraklar!$H$6,0,1))/Ayarlar!$B$7)+IF(Topraklar!$K$6=Bitkiler!$C$69,0.002,IF(Topraklar!$L$6="Evet",0.001,0)))</f>
        <v/>
      </c>
      <c r="G70" s="16">
        <f>IF(OR(Topraklar!$J$7="Evet",AND(Topraklar!$L$7&lt;&gt;"Evet",Topraklar!$K$7&lt;&gt;Bitkiler!$C$69)),0,MAX(0,1-(Ayarlar!$B$2*ABS(Bitkiler!$D$69-Topraklar!$D$7)+Ayarlar!$B$3*ABS(Bitkiler!$E$69-Topraklar!$E$7)+Ayarlar!$B$4*ABS(Bitkiler!$F$69-Topraklar!$F$7)+Ayarlar!$B$5*ABS(Bitkiler!$G$69-Topraklar!$G$7)+Ayarlar!$B$6*IF(Bitkiler!$H$69=Topraklar!$H$7,0,1))/Ayarlar!$B$7)+IF(Topraklar!$K$7=Bitkiler!$C$69,0.002,IF(Topraklar!$L$7="Evet",0.001,0)))</f>
        <v/>
      </c>
      <c r="H70" s="16">
        <f>IF(OR(Topraklar!$J$8="Evet",AND(Topraklar!$L$8&lt;&gt;"Evet",Topraklar!$K$8&lt;&gt;Bitkiler!$C$69)),0,MAX(0,1-(Ayarlar!$B$2*ABS(Bitkiler!$D$69-Topraklar!$D$8)+Ayarlar!$B$3*ABS(Bitkiler!$E$69-Topraklar!$E$8)+Ayarlar!$B$4*ABS(Bitkiler!$F$69-Topraklar!$F$8)+Ayarlar!$B$5*ABS(Bitkiler!$G$69-Topraklar!$G$8)+Ayarlar!$B$6*IF(Bitkiler!$H$69=Topraklar!$H$8,0,1))/Ayarlar!$B$7)+IF(Topraklar!$K$8=Bitkiler!$C$69,0.002,IF(Topraklar!$L$8="Evet",0.001,0)))</f>
        <v/>
      </c>
      <c r="I70" s="16">
        <f>IF(OR(Topraklar!$J$9="Evet",AND(Topraklar!$L$9&lt;&gt;"Evet",Topraklar!$K$9&lt;&gt;Bitkiler!$C$69)),0,MAX(0,1-(Ayarlar!$B$2*ABS(Bitkiler!$D$69-Topraklar!$D$9)+Ayarlar!$B$3*ABS(Bitkiler!$E$69-Topraklar!$E$9)+Ayarlar!$B$4*ABS(Bitkiler!$F$69-Topraklar!$F$9)+Ayarlar!$B$5*ABS(Bitkiler!$G$69-Topraklar!$G$9)+Ayarlar!$B$6*IF(Bitkiler!$H$69=Topraklar!$H$9,0,1))/Ayarlar!$B$7)+IF(Topraklar!$K$9=Bitkiler!$C$69,0.002,IF(Topraklar!$L$9="Evet",0.001,0)))</f>
        <v/>
      </c>
      <c r="J70" s="16">
        <f>IF(OR(Topraklar!$J$10="Evet",AND(Topraklar!$L$10&lt;&gt;"Evet",Topraklar!$K$10&lt;&gt;Bitkiler!$C$69)),0,MAX(0,1-(Ayarlar!$B$2*ABS(Bitkiler!$D$69-Topraklar!$D$10)+Ayarlar!$B$3*ABS(Bitkiler!$E$69-Topraklar!$E$10)+Ayarlar!$B$4*ABS(Bitkiler!$F$69-Topraklar!$F$10)+Ayarlar!$B$5*ABS(Bitkiler!$G$69-Topraklar!$G$10)+Ayarlar!$B$6*IF(Bitkiler!$H$69=Topraklar!$H$10,0,1))/Ayarlar!$B$7)+IF(Topraklar!$K$10=Bitkiler!$C$69,0.002,IF(Topraklar!$L$10="Evet",0.001,0)))</f>
        <v/>
      </c>
      <c r="K70" s="16">
        <f>IF(OR(Topraklar!$J$11="Evet",AND(Topraklar!$L$11&lt;&gt;"Evet",Topraklar!$K$11&lt;&gt;Bitkiler!$C$69)),0,MAX(0,1-(Ayarlar!$B$2*ABS(Bitkiler!$D$69-Topraklar!$D$11)+Ayarlar!$B$3*ABS(Bitkiler!$E$69-Topraklar!$E$11)+Ayarlar!$B$4*ABS(Bitkiler!$F$69-Topraklar!$F$11)+Ayarlar!$B$5*ABS(Bitkiler!$G$69-Topraklar!$G$11)+Ayarlar!$B$6*IF(Bitkiler!$H$69=Topraklar!$H$11,0,1))/Ayarlar!$B$7)+IF(Topraklar!$K$11=Bitkiler!$C$69,0.002,IF(Topraklar!$L$11="Evet",0.001,0)))</f>
        <v/>
      </c>
      <c r="L70" s="16">
        <f>IF(OR(Topraklar!$J$12="Evet",AND(Topraklar!$L$12&lt;&gt;"Evet",Topraklar!$K$12&lt;&gt;Bitkiler!$C$69)),0,MAX(0,1-(Ayarlar!$B$2*ABS(Bitkiler!$D$69-Topraklar!$D$12)+Ayarlar!$B$3*ABS(Bitkiler!$E$69-Topraklar!$E$12)+Ayarlar!$B$4*ABS(Bitkiler!$F$69-Topraklar!$F$12)+Ayarlar!$B$5*ABS(Bitkiler!$G$69-Topraklar!$G$12)+Ayarlar!$B$6*IF(Bitkiler!$H$69=Topraklar!$H$12,0,1))/Ayarlar!$B$7)+IF(Topraklar!$K$12=Bitkiler!$C$69,0.002,IF(Topraklar!$L$12="Evet",0.001,0)))</f>
        <v/>
      </c>
      <c r="M70" s="16">
        <f>IF(OR(Topraklar!$J$13="Evet",AND(Topraklar!$L$13&lt;&gt;"Evet",Topraklar!$K$13&lt;&gt;Bitkiler!$C$69)),0,MAX(0,1-(Ayarlar!$B$2*ABS(Bitkiler!$D$69-Topraklar!$D$13)+Ayarlar!$B$3*ABS(Bitkiler!$E$69-Topraklar!$E$13)+Ayarlar!$B$4*ABS(Bitkiler!$F$69-Topraklar!$F$13)+Ayarlar!$B$5*ABS(Bitkiler!$G$69-Topraklar!$G$13)+Ayarlar!$B$6*IF(Bitkiler!$H$69=Topraklar!$H$13,0,1))/Ayarlar!$B$7)+IF(Topraklar!$K$13=Bitkiler!$C$69,0.002,IF(Topraklar!$L$13="Evet",0.001,0)))</f>
        <v/>
      </c>
      <c r="N70" s="16">
        <f>IF(OR(Topraklar!$J$14="Evet",AND(Topraklar!$L$14&lt;&gt;"Evet",Topraklar!$K$14&lt;&gt;Bitkiler!$C$69)),0,MAX(0,1-(Ayarlar!$B$2*ABS(Bitkiler!$D$69-Topraklar!$D$14)+Ayarlar!$B$3*ABS(Bitkiler!$E$69-Topraklar!$E$14)+Ayarlar!$B$4*ABS(Bitkiler!$F$69-Topraklar!$F$14)+Ayarlar!$B$5*ABS(Bitkiler!$G$69-Topraklar!$G$14)+Ayarlar!$B$6*IF(Bitkiler!$H$69=Topraklar!$H$14,0,1))/Ayarlar!$B$7)+IF(Topraklar!$K$14=Bitkiler!$C$69,0.002,IF(Topraklar!$L$14="Evet",0.001,0)))</f>
        <v/>
      </c>
      <c r="O70" s="16">
        <f>IF(OR(Topraklar!$J$15="Evet",AND(Topraklar!$L$15&lt;&gt;"Evet",Topraklar!$K$15&lt;&gt;Bitkiler!$C$69)),0,MAX(0,1-(Ayarlar!$B$2*ABS(Bitkiler!$D$69-Topraklar!$D$15)+Ayarlar!$B$3*ABS(Bitkiler!$E$69-Topraklar!$E$15)+Ayarlar!$B$4*ABS(Bitkiler!$F$69-Topraklar!$F$15)+Ayarlar!$B$5*ABS(Bitkiler!$G$69-Topraklar!$G$15)+Ayarlar!$B$6*IF(Bitkiler!$H$69=Topraklar!$H$15,0,1))/Ayarlar!$B$7)+IF(Topraklar!$K$15=Bitkiler!$C$69,0.002,IF(Topraklar!$L$15="Evet",0.001,0)))</f>
        <v/>
      </c>
      <c r="P70" s="16">
        <f>IF(OR(Topraklar!$J$16="Evet",AND(Topraklar!$L$16&lt;&gt;"Evet",Topraklar!$K$16&lt;&gt;Bitkiler!$C$69)),0,MAX(0,1-(Ayarlar!$B$2*ABS(Bitkiler!$D$69-Topraklar!$D$16)+Ayarlar!$B$3*ABS(Bitkiler!$E$69-Topraklar!$E$16)+Ayarlar!$B$4*ABS(Bitkiler!$F$69-Topraklar!$F$16)+Ayarlar!$B$5*ABS(Bitkiler!$G$69-Topraklar!$G$16)+Ayarlar!$B$6*IF(Bitkiler!$H$69=Topraklar!$H$16,0,1))/Ayarlar!$B$7)+IF(Topraklar!$K$16=Bitkiler!$C$69,0.002,IF(Topraklar!$L$16="Evet",0.001,0)))</f>
        <v/>
      </c>
      <c r="Q70" s="16">
        <f>IF(OR(Topraklar!$J$17="Evet",AND(Topraklar!$L$17&lt;&gt;"Evet",Topraklar!$K$17&lt;&gt;Bitkiler!$C$69)),0,MAX(0,1-(Ayarlar!$B$2*ABS(Bitkiler!$D$69-Topraklar!$D$17)+Ayarlar!$B$3*ABS(Bitkiler!$E$69-Topraklar!$E$17)+Ayarlar!$B$4*ABS(Bitkiler!$F$69-Topraklar!$F$17)+Ayarlar!$B$5*ABS(Bitkiler!$G$69-Topraklar!$G$17)+Ayarlar!$B$6*IF(Bitkiler!$H$69=Topraklar!$H$17,0,1))/Ayarlar!$B$7)+IF(Topraklar!$K$17=Bitkiler!$C$69,0.002,IF(Topraklar!$L$17="Evet",0.001,0)))</f>
        <v/>
      </c>
      <c r="R70" s="16">
        <f>IF(OR(Topraklar!$J$18="Evet",AND(Topraklar!$L$18&lt;&gt;"Evet",Topraklar!$K$18&lt;&gt;Bitkiler!$C$69)),0,MAX(0,1-(Ayarlar!$B$2*ABS(Bitkiler!$D$69-Topraklar!$D$18)+Ayarlar!$B$3*ABS(Bitkiler!$E$69-Topraklar!$E$18)+Ayarlar!$B$4*ABS(Bitkiler!$F$69-Topraklar!$F$18)+Ayarlar!$B$5*ABS(Bitkiler!$G$69-Topraklar!$G$18)+Ayarlar!$B$6*IF(Bitkiler!$H$69=Topraklar!$H$18,0,1))/Ayarlar!$B$7)+IF(Topraklar!$K$18=Bitkiler!$C$69,0.002,IF(Topraklar!$L$18="Evet",0.001,0)))</f>
        <v/>
      </c>
      <c r="S70" s="16">
        <f>IF(OR(Topraklar!$J$19="Evet",AND(Topraklar!$L$19&lt;&gt;"Evet",Topraklar!$K$19&lt;&gt;Bitkiler!$C$69)),0,MAX(0,1-(Ayarlar!$B$2*ABS(Bitkiler!$D$69-Topraklar!$D$19)+Ayarlar!$B$3*ABS(Bitkiler!$E$69-Topraklar!$E$19)+Ayarlar!$B$4*ABS(Bitkiler!$F$69-Topraklar!$F$19)+Ayarlar!$B$5*ABS(Bitkiler!$G$69-Topraklar!$G$19)+Ayarlar!$B$6*IF(Bitkiler!$H$69=Topraklar!$H$19,0,1))/Ayarlar!$B$7)+IF(Topraklar!$K$19=Bitkiler!$C$69,0.002,IF(Topraklar!$L$19="Evet",0.001,0)))</f>
        <v/>
      </c>
      <c r="T70" s="16">
        <f>IF(OR(Topraklar!$J$20="Evet",AND(Topraklar!$L$20&lt;&gt;"Evet",Topraklar!$K$20&lt;&gt;Bitkiler!$C$69)),0,MAX(0,1-(Ayarlar!$B$2*ABS(Bitkiler!$D$69-Topraklar!$D$20)+Ayarlar!$B$3*ABS(Bitkiler!$E$69-Topraklar!$E$20)+Ayarlar!$B$4*ABS(Bitkiler!$F$69-Topraklar!$F$20)+Ayarlar!$B$5*ABS(Bitkiler!$G$69-Topraklar!$G$20)+Ayarlar!$B$6*IF(Bitkiler!$H$69=Topraklar!$H$20,0,1))/Ayarlar!$B$7)+IF(Topraklar!$K$20=Bitkiler!$C$69,0.002,IF(Topraklar!$L$20="Evet",0.001,0)))</f>
        <v/>
      </c>
      <c r="U70" s="16">
        <f>IF(OR(Topraklar!$J$21="Evet",AND(Topraklar!$L$21&lt;&gt;"Evet",Topraklar!$K$21&lt;&gt;Bitkiler!$C$69)),0,MAX(0,1-(Ayarlar!$B$2*ABS(Bitkiler!$D$69-Topraklar!$D$21)+Ayarlar!$B$3*ABS(Bitkiler!$E$69-Topraklar!$E$21)+Ayarlar!$B$4*ABS(Bitkiler!$F$69-Topraklar!$F$21)+Ayarlar!$B$5*ABS(Bitkiler!$G$69-Topraklar!$G$21)+Ayarlar!$B$6*IF(Bitkiler!$H$69=Topraklar!$H$21,0,1))/Ayarlar!$B$7)+IF(Topraklar!$K$21=Bitkiler!$C$69,0.002,IF(Topraklar!$L$21="Evet",0.001,0)))</f>
        <v/>
      </c>
      <c r="V70" s="16">
        <f>IF(OR(Topraklar!$J$22="Evet",AND(Topraklar!$L$22&lt;&gt;"Evet",Topraklar!$K$22&lt;&gt;Bitkiler!$C$69)),0,MAX(0,1-(Ayarlar!$B$2*ABS(Bitkiler!$D$69-Topraklar!$D$22)+Ayarlar!$B$3*ABS(Bitkiler!$E$69-Topraklar!$E$22)+Ayarlar!$B$4*ABS(Bitkiler!$F$69-Topraklar!$F$22)+Ayarlar!$B$5*ABS(Bitkiler!$G$69-Topraklar!$G$22)+Ayarlar!$B$6*IF(Bitkiler!$H$69=Topraklar!$H$22,0,1))/Ayarlar!$B$7)+IF(Topraklar!$K$22=Bitkiler!$C$69,0.002,IF(Topraklar!$L$22="Evet",0.001,0)))</f>
        <v/>
      </c>
      <c r="W70" s="16">
        <f>IF(OR(Topraklar!$J$23="Evet",AND(Topraklar!$L$23&lt;&gt;"Evet",Topraklar!$K$23&lt;&gt;Bitkiler!$C$69)),0,MAX(0,1-(Ayarlar!$B$2*ABS(Bitkiler!$D$69-Topraklar!$D$23)+Ayarlar!$B$3*ABS(Bitkiler!$E$69-Topraklar!$E$23)+Ayarlar!$B$4*ABS(Bitkiler!$F$69-Topraklar!$F$23)+Ayarlar!$B$5*ABS(Bitkiler!$G$69-Topraklar!$G$23)+Ayarlar!$B$6*IF(Bitkiler!$H$69=Topraklar!$H$23,0,1))/Ayarlar!$B$7)+IF(Topraklar!$K$23=Bitkiler!$C$69,0.002,IF(Topraklar!$L$23="Evet",0.001,0)))</f>
        <v/>
      </c>
      <c r="X70" s="16">
        <f>IF(OR(Topraklar!$J$24="Evet",AND(Topraklar!$L$24&lt;&gt;"Evet",Topraklar!$K$24&lt;&gt;Bitkiler!$C$69)),0,MAX(0,1-(Ayarlar!$B$2*ABS(Bitkiler!$D$69-Topraklar!$D$24)+Ayarlar!$B$3*ABS(Bitkiler!$E$69-Topraklar!$E$24)+Ayarlar!$B$4*ABS(Bitkiler!$F$69-Topraklar!$F$24)+Ayarlar!$B$5*ABS(Bitkiler!$G$69-Topraklar!$G$24)+Ayarlar!$B$6*IF(Bitkiler!$H$69=Topraklar!$H$24,0,1))/Ayarlar!$B$7)+IF(Topraklar!$K$24=Bitkiler!$C$69,0.002,IF(Topraklar!$L$24="Evet",0.001,0)))</f>
        <v/>
      </c>
      <c r="Y70" s="16">
        <f>IF(OR(Topraklar!$J$25="Evet",AND(Topraklar!$L$25&lt;&gt;"Evet",Topraklar!$K$25&lt;&gt;Bitkiler!$C$69)),0,MAX(0,1-(Ayarlar!$B$2*ABS(Bitkiler!$D$69-Topraklar!$D$25)+Ayarlar!$B$3*ABS(Bitkiler!$E$69-Topraklar!$E$25)+Ayarlar!$B$4*ABS(Bitkiler!$F$69-Topraklar!$F$25)+Ayarlar!$B$5*ABS(Bitkiler!$G$69-Topraklar!$G$25)+Ayarlar!$B$6*IF(Bitkiler!$H$69=Topraklar!$H$25,0,1))/Ayarlar!$B$7)+IF(Topraklar!$K$25=Bitkiler!$C$69,0.002,IF(Topraklar!$L$25="Evet",0.001,0)))</f>
        <v/>
      </c>
      <c r="Z70" s="16">
        <f>IF(OR(Topraklar!$J$26="Evet",AND(Topraklar!$L$26&lt;&gt;"Evet",Topraklar!$K$26&lt;&gt;Bitkiler!$C$69)),0,MAX(0,1-(Ayarlar!$B$2*ABS(Bitkiler!$D$69-Topraklar!$D$26)+Ayarlar!$B$3*ABS(Bitkiler!$E$69-Topraklar!$E$26)+Ayarlar!$B$4*ABS(Bitkiler!$F$69-Topraklar!$F$26)+Ayarlar!$B$5*ABS(Bitkiler!$G$69-Topraklar!$G$26)+Ayarlar!$B$6*IF(Bitkiler!$H$69=Topraklar!$H$26,0,1))/Ayarlar!$B$7)+IF(Topraklar!$K$26=Bitkiler!$C$69,0.002,IF(Topraklar!$L$26="Evet",0.001,0)))</f>
        <v/>
      </c>
      <c r="AA70" s="16">
        <f>IF(OR(Topraklar!$J$27="Evet",AND(Topraklar!$L$27&lt;&gt;"Evet",Topraklar!$K$27&lt;&gt;Bitkiler!$C$69)),0,MAX(0,1-(Ayarlar!$B$2*ABS(Bitkiler!$D$69-Topraklar!$D$27)+Ayarlar!$B$3*ABS(Bitkiler!$E$69-Topraklar!$E$27)+Ayarlar!$B$4*ABS(Bitkiler!$F$69-Topraklar!$F$27)+Ayarlar!$B$5*ABS(Bitkiler!$G$69-Topraklar!$G$27)+Ayarlar!$B$6*IF(Bitkiler!$H$69=Topraklar!$H$27,0,1))/Ayarlar!$B$7)+IF(Topraklar!$K$27=Bitkiler!$C$69,0.002,IF(Topraklar!$L$27="Evet",0.001,0)))</f>
        <v/>
      </c>
      <c r="AB70" s="16">
        <f>IF(OR(Topraklar!$J$28="Evet",AND(Topraklar!$L$28&lt;&gt;"Evet",Topraklar!$K$28&lt;&gt;Bitkiler!$C$69)),0,MAX(0,1-(Ayarlar!$B$2*ABS(Bitkiler!$D$69-Topraklar!$D$28)+Ayarlar!$B$3*ABS(Bitkiler!$E$69-Topraklar!$E$28)+Ayarlar!$B$4*ABS(Bitkiler!$F$69-Topraklar!$F$28)+Ayarlar!$B$5*ABS(Bitkiler!$G$69-Topraklar!$G$28)+Ayarlar!$B$6*IF(Bitkiler!$H$69=Topraklar!$H$28,0,1))/Ayarlar!$B$7)+IF(Topraklar!$K$28=Bitkiler!$C$69,0.002,IF(Topraklar!$L$28="Evet",0.001,0)))</f>
        <v/>
      </c>
      <c r="AC70" s="16">
        <f>IF(OR(Topraklar!$J$29="Evet",AND(Topraklar!$L$29&lt;&gt;"Evet",Topraklar!$K$29&lt;&gt;Bitkiler!$C$69)),0,MAX(0,1-(Ayarlar!$B$2*ABS(Bitkiler!$D$69-Topraklar!$D$29)+Ayarlar!$B$3*ABS(Bitkiler!$E$69-Topraklar!$E$29)+Ayarlar!$B$4*ABS(Bitkiler!$F$69-Topraklar!$F$29)+Ayarlar!$B$5*ABS(Bitkiler!$G$69-Topraklar!$G$29)+Ayarlar!$B$6*IF(Bitkiler!$H$69=Topraklar!$H$29,0,1))/Ayarlar!$B$7)+IF(Topraklar!$K$29=Bitkiler!$C$69,0.002,IF(Topraklar!$L$29="Evet",0.001,0)))</f>
        <v/>
      </c>
      <c r="AD70" s="16">
        <f>IF(OR(Topraklar!$J$30="Evet",AND(Topraklar!$L$30&lt;&gt;"Evet",Topraklar!$K$30&lt;&gt;Bitkiler!$C$69)),0,MAX(0,1-(Ayarlar!$B$2*ABS(Bitkiler!$D$69-Topraklar!$D$30)+Ayarlar!$B$3*ABS(Bitkiler!$E$69-Topraklar!$E$30)+Ayarlar!$B$4*ABS(Bitkiler!$F$69-Topraklar!$F$30)+Ayarlar!$B$5*ABS(Bitkiler!$G$69-Topraklar!$G$30)+Ayarlar!$B$6*IF(Bitkiler!$H$69=Topraklar!$H$30,0,1))/Ayarlar!$B$7)+IF(Topraklar!$K$30=Bitkiler!$C$69,0.002,IF(Topraklar!$L$30="Evet",0.001,0)))</f>
        <v/>
      </c>
      <c r="AE70" s="16">
        <f>IF(OR(Topraklar!$J$31="Evet",AND(Topraklar!$L$31&lt;&gt;"Evet",Topraklar!$K$31&lt;&gt;Bitkiler!$C$69)),0,MAX(0,1-(Ayarlar!$B$2*ABS(Bitkiler!$D$69-Topraklar!$D$31)+Ayarlar!$B$3*ABS(Bitkiler!$E$69-Topraklar!$E$31)+Ayarlar!$B$4*ABS(Bitkiler!$F$69-Topraklar!$F$31)+Ayarlar!$B$5*ABS(Bitkiler!$G$69-Topraklar!$G$31)+Ayarlar!$B$6*IF(Bitkiler!$H$69=Topraklar!$H$31,0,1))/Ayarlar!$B$7)+IF(Topraklar!$K$31=Bitkiler!$C$69,0.002,IF(Topraklar!$L$31="Evet",0.001,0)))</f>
        <v/>
      </c>
      <c r="AF70" s="16">
        <f>IF(OR(Topraklar!$J$32="Evet",AND(Topraklar!$L$32&lt;&gt;"Evet",Topraklar!$K$32&lt;&gt;Bitkiler!$C$69)),0,MAX(0,1-(Ayarlar!$B$2*ABS(Bitkiler!$D$69-Topraklar!$D$32)+Ayarlar!$B$3*ABS(Bitkiler!$E$69-Topraklar!$E$32)+Ayarlar!$B$4*ABS(Bitkiler!$F$69-Topraklar!$F$32)+Ayarlar!$B$5*ABS(Bitkiler!$G$69-Topraklar!$G$32)+Ayarlar!$B$6*IF(Bitkiler!$H$69=Topraklar!$H$32,0,1))/Ayarlar!$B$7)+IF(Topraklar!$K$32=Bitkiler!$C$69,0.002,IF(Topraklar!$L$32="Evet",0.001,0)))</f>
        <v/>
      </c>
      <c r="AG70" s="16">
        <f>IF(OR(Topraklar!$J$33="Evet",AND(Topraklar!$L$33&lt;&gt;"Evet",Topraklar!$K$33&lt;&gt;Bitkiler!$C$69)),0,MAX(0,1-(Ayarlar!$B$2*ABS(Bitkiler!$D$69-Topraklar!$D$33)+Ayarlar!$B$3*ABS(Bitkiler!$E$69-Topraklar!$E$33)+Ayarlar!$B$4*ABS(Bitkiler!$F$69-Topraklar!$F$33)+Ayarlar!$B$5*ABS(Bitkiler!$G$69-Topraklar!$G$33)+Ayarlar!$B$6*IF(Bitkiler!$H$69=Topraklar!$H$33,0,1))/Ayarlar!$B$7)+IF(Topraklar!$K$33=Bitkiler!$C$69,0.002,IF(Topraklar!$L$33="Evet",0.001,0)))</f>
        <v/>
      </c>
      <c r="AH70" s="16">
        <f>IF(OR(Topraklar!$J$34="Evet",AND(Topraklar!$L$34&lt;&gt;"Evet",Topraklar!$K$34&lt;&gt;Bitkiler!$C$69)),0,MAX(0,1-(Ayarlar!$B$2*ABS(Bitkiler!$D$69-Topraklar!$D$34)+Ayarlar!$B$3*ABS(Bitkiler!$E$69-Topraklar!$E$34)+Ayarlar!$B$4*ABS(Bitkiler!$F$69-Topraklar!$F$34)+Ayarlar!$B$5*ABS(Bitkiler!$G$69-Topraklar!$G$34)+Ayarlar!$B$6*IF(Bitkiler!$H$69=Topraklar!$H$34,0,1))/Ayarlar!$B$7)+IF(Topraklar!$K$34=Bitkiler!$C$69,0.002,IF(Topraklar!$L$34="Evet",0.001,0)))</f>
        <v/>
      </c>
      <c r="AI70" s="16">
        <f>IF(OR(Topraklar!$J$35="Evet",AND(Topraklar!$L$35&lt;&gt;"Evet",Topraklar!$K$35&lt;&gt;Bitkiler!$C$69)),0,MAX(0,1-(Ayarlar!$B$2*ABS(Bitkiler!$D$69-Topraklar!$D$35)+Ayarlar!$B$3*ABS(Bitkiler!$E$69-Topraklar!$E$35)+Ayarlar!$B$4*ABS(Bitkiler!$F$69-Topraklar!$F$35)+Ayarlar!$B$5*ABS(Bitkiler!$G$69-Topraklar!$G$35)+Ayarlar!$B$6*IF(Bitkiler!$H$69=Topraklar!$H$35,0,1))/Ayarlar!$B$7)+IF(Topraklar!$K$35=Bitkiler!$C$69,0.002,IF(Topraklar!$L$35="Evet",0.001,0)))</f>
        <v/>
      </c>
      <c r="AJ70" s="16">
        <f>IF(OR(Topraklar!$J$36="Evet",AND(Topraklar!$L$36&lt;&gt;"Evet",Topraklar!$K$36&lt;&gt;Bitkiler!$C$69)),0,MAX(0,1-(Ayarlar!$B$2*ABS(Bitkiler!$D$69-Topraklar!$D$36)+Ayarlar!$B$3*ABS(Bitkiler!$E$69-Topraklar!$E$36)+Ayarlar!$B$4*ABS(Bitkiler!$F$69-Topraklar!$F$36)+Ayarlar!$B$5*ABS(Bitkiler!$G$69-Topraklar!$G$36)+Ayarlar!$B$6*IF(Bitkiler!$H$69=Topraklar!$H$36,0,1))/Ayarlar!$B$7)+IF(Topraklar!$K$36=Bitkiler!$C$69,0.002,IF(Topraklar!$L$36="Evet",0.001,0)))</f>
        <v/>
      </c>
      <c r="AK70" s="16">
        <f>IF(OR(Topraklar!$J$37="Evet",AND(Topraklar!$L$37&lt;&gt;"Evet",Topraklar!$K$37&lt;&gt;Bitkiler!$C$69)),0,MAX(0,1-(Ayarlar!$B$2*ABS(Bitkiler!$D$69-Topraklar!$D$37)+Ayarlar!$B$3*ABS(Bitkiler!$E$69-Topraklar!$E$37)+Ayarlar!$B$4*ABS(Bitkiler!$F$69-Topraklar!$F$37)+Ayarlar!$B$5*ABS(Bitkiler!$G$69-Topraklar!$G$37)+Ayarlar!$B$6*IF(Bitkiler!$H$69=Topraklar!$H$37,0,1))/Ayarlar!$B$7)+IF(Topraklar!$K$37=Bitkiler!$C$69,0.002,IF(Topraklar!$L$37="Evet",0.001,0)))</f>
        <v/>
      </c>
      <c r="AL70" s="16">
        <f>IF(OR(Topraklar!$J$38="Evet",AND(Topraklar!$L$38&lt;&gt;"Evet",Topraklar!$K$38&lt;&gt;Bitkiler!$C$69)),0,MAX(0,1-(Ayarlar!$B$2*ABS(Bitkiler!$D$69-Topraklar!$D$38)+Ayarlar!$B$3*ABS(Bitkiler!$E$69-Topraklar!$E$38)+Ayarlar!$B$4*ABS(Bitkiler!$F$69-Topraklar!$F$38)+Ayarlar!$B$5*ABS(Bitkiler!$G$69-Topraklar!$G$38)+Ayarlar!$B$6*IF(Bitkiler!$H$69=Topraklar!$H$38,0,1))/Ayarlar!$B$7)+IF(Topraklar!$K$38=Bitkiler!$C$69,0.002,IF(Topraklar!$L$38="Evet",0.001,0)))</f>
        <v/>
      </c>
      <c r="AM70" s="16">
        <f>IF(OR(Topraklar!$J$39="Evet",AND(Topraklar!$L$39&lt;&gt;"Evet",Topraklar!$K$39&lt;&gt;Bitkiler!$C$69)),0,MAX(0,1-(Ayarlar!$B$2*ABS(Bitkiler!$D$69-Topraklar!$D$39)+Ayarlar!$B$3*ABS(Bitkiler!$E$69-Topraklar!$E$39)+Ayarlar!$B$4*ABS(Bitkiler!$F$69-Topraklar!$F$39)+Ayarlar!$B$5*ABS(Bitkiler!$G$69-Topraklar!$G$39)+Ayarlar!$B$6*IF(Bitkiler!$H$69=Topraklar!$H$39,0,1))/Ayarlar!$B$7)+IF(Topraklar!$K$39=Bitkiler!$C$69,0.002,IF(Topraklar!$L$39="Evet",0.001,0)))</f>
        <v/>
      </c>
      <c r="AN70" s="16">
        <f>IF(OR(Topraklar!$J$40="Evet",AND(Topraklar!$L$40&lt;&gt;"Evet",Topraklar!$K$40&lt;&gt;Bitkiler!$C$69)),0,MAX(0,1-(Ayarlar!$B$2*ABS(Bitkiler!$D$69-Topraklar!$D$40)+Ayarlar!$B$3*ABS(Bitkiler!$E$69-Topraklar!$E$40)+Ayarlar!$B$4*ABS(Bitkiler!$F$69-Topraklar!$F$40)+Ayarlar!$B$5*ABS(Bitkiler!$G$69-Topraklar!$G$40)+Ayarlar!$B$6*IF(Bitkiler!$H$69=Topraklar!$H$40,0,1))/Ayarlar!$B$7)+IF(Topraklar!$K$40=Bitkiler!$C$69,0.002,IF(Topraklar!$L$40="Evet",0.001,0)))</f>
        <v/>
      </c>
      <c r="AO70" s="16">
        <f>IF(OR(Topraklar!$J$41="Evet",AND(Topraklar!$L$41&lt;&gt;"Evet",Topraklar!$K$41&lt;&gt;Bitkiler!$C$69)),0,MAX(0,1-(Ayarlar!$B$2*ABS(Bitkiler!$D$69-Topraklar!$D$41)+Ayarlar!$B$3*ABS(Bitkiler!$E$69-Topraklar!$E$41)+Ayarlar!$B$4*ABS(Bitkiler!$F$69-Topraklar!$F$41)+Ayarlar!$B$5*ABS(Bitkiler!$G$69-Topraklar!$G$41)+Ayarlar!$B$6*IF(Bitkiler!$H$69=Topraklar!$H$41,0,1))/Ayarlar!$B$7)+IF(Topraklar!$K$41=Bitkiler!$C$69,0.002,IF(Topraklar!$L$41="Evet",0.001,0)))</f>
        <v/>
      </c>
      <c r="AP70" s="16">
        <f>IF(OR(Topraklar!$J$42="Evet",AND(Topraklar!$L$42&lt;&gt;"Evet",Topraklar!$K$42&lt;&gt;Bitkiler!$C$69)),0,MAX(0,1-(Ayarlar!$B$2*ABS(Bitkiler!$D$69-Topraklar!$D$42)+Ayarlar!$B$3*ABS(Bitkiler!$E$69-Topraklar!$E$42)+Ayarlar!$B$4*ABS(Bitkiler!$F$69-Topraklar!$F$42)+Ayarlar!$B$5*ABS(Bitkiler!$G$69-Topraklar!$G$42)+Ayarlar!$B$6*IF(Bitkiler!$H$69=Topraklar!$H$42,0,1))/Ayarlar!$B$7)+IF(Topraklar!$K$42=Bitkiler!$C$69,0.002,IF(Topraklar!$L$42="Evet",0.001,0)))</f>
        <v/>
      </c>
      <c r="AQ70" s="16">
        <f>IF(OR(Topraklar!$J$43="Evet",AND(Topraklar!$L$43&lt;&gt;"Evet",Topraklar!$K$43&lt;&gt;Bitkiler!$C$69)),0,MAX(0,1-(Ayarlar!$B$2*ABS(Bitkiler!$D$69-Topraklar!$D$43)+Ayarlar!$B$3*ABS(Bitkiler!$E$69-Topraklar!$E$43)+Ayarlar!$B$4*ABS(Bitkiler!$F$69-Topraklar!$F$43)+Ayarlar!$B$5*ABS(Bitkiler!$G$69-Topraklar!$G$43)+Ayarlar!$B$6*IF(Bitkiler!$H$69=Topraklar!$H$43,0,1))/Ayarlar!$B$7)+IF(Topraklar!$K$43=Bitkiler!$C$69,0.002,IF(Topraklar!$L$43="Evet",0.001,0)))</f>
        <v/>
      </c>
      <c r="AR70" s="16">
        <f>IF(OR(Topraklar!$J$44="Evet",AND(Topraklar!$L$44&lt;&gt;"Evet",Topraklar!$K$44&lt;&gt;Bitkiler!$C$69)),0,MAX(0,1-(Ayarlar!$B$2*ABS(Bitkiler!$D$69-Topraklar!$D$44)+Ayarlar!$B$3*ABS(Bitkiler!$E$69-Topraklar!$E$44)+Ayarlar!$B$4*ABS(Bitkiler!$F$69-Topraklar!$F$44)+Ayarlar!$B$5*ABS(Bitkiler!$G$69-Topraklar!$G$44)+Ayarlar!$B$6*IF(Bitkiler!$H$69=Topraklar!$H$44,0,1))/Ayarlar!$B$7)+IF(Topraklar!$K$44=Bitkiler!$C$69,0.002,IF(Topraklar!$L$44="Evet",0.001,0)))</f>
        <v/>
      </c>
      <c r="AS70" s="16">
        <f>IF(OR(Topraklar!$J$45="Evet",AND(Topraklar!$L$45&lt;&gt;"Evet",Topraklar!$K$45&lt;&gt;Bitkiler!$C$69)),0,MAX(0,1-(Ayarlar!$B$2*ABS(Bitkiler!$D$69-Topraklar!$D$45)+Ayarlar!$B$3*ABS(Bitkiler!$E$69-Topraklar!$E$45)+Ayarlar!$B$4*ABS(Bitkiler!$F$69-Topraklar!$F$45)+Ayarlar!$B$5*ABS(Bitkiler!$G$69-Topraklar!$G$45)+Ayarlar!$B$6*IF(Bitkiler!$H$69=Topraklar!$H$45,0,1))/Ayarlar!$B$7)+IF(Topraklar!$K$45=Bitkiler!$C$69,0.002,IF(Topraklar!$L$45="Evet",0.001,0)))</f>
        <v/>
      </c>
      <c r="AT70" s="16">
        <f>IF(OR(Topraklar!$J$46="Evet",AND(Topraklar!$L$46&lt;&gt;"Evet",Topraklar!$K$46&lt;&gt;Bitkiler!$C$69)),0,MAX(0,1-(Ayarlar!$B$2*ABS(Bitkiler!$D$69-Topraklar!$D$46)+Ayarlar!$B$3*ABS(Bitkiler!$E$69-Topraklar!$E$46)+Ayarlar!$B$4*ABS(Bitkiler!$F$69-Topraklar!$F$46)+Ayarlar!$B$5*ABS(Bitkiler!$G$69-Topraklar!$G$46)+Ayarlar!$B$6*IF(Bitkiler!$H$69=Topraklar!$H$46,0,1))/Ayarlar!$B$7)+IF(Topraklar!$K$46=Bitkiler!$C$69,0.002,IF(Topraklar!$L$46="Evet",0.001,0)))</f>
        <v/>
      </c>
      <c r="AU70" s="16">
        <f>IF(OR(Topraklar!$J$47="Evet",AND(Topraklar!$L$47&lt;&gt;"Evet",Topraklar!$K$47&lt;&gt;Bitkiler!$C$69)),0,MAX(0,1-(Ayarlar!$B$2*ABS(Bitkiler!$D$69-Topraklar!$D$47)+Ayarlar!$B$3*ABS(Bitkiler!$E$69-Topraklar!$E$47)+Ayarlar!$B$4*ABS(Bitkiler!$F$69-Topraklar!$F$47)+Ayarlar!$B$5*ABS(Bitkiler!$G$69-Topraklar!$G$47)+Ayarlar!$B$6*IF(Bitkiler!$H$69=Topraklar!$H$47,0,1))/Ayarlar!$B$7)+IF(Topraklar!$K$47=Bitkiler!$C$69,0.002,IF(Topraklar!$L$47="Evet",0.001,0)))</f>
        <v/>
      </c>
      <c r="AV70" s="16">
        <f>IF(OR(Topraklar!$J$48="Evet",AND(Topraklar!$L$48&lt;&gt;"Evet",Topraklar!$K$48&lt;&gt;Bitkiler!$C$69)),0,MAX(0,1-(Ayarlar!$B$2*ABS(Bitkiler!$D$69-Topraklar!$D$48)+Ayarlar!$B$3*ABS(Bitkiler!$E$69-Topraklar!$E$48)+Ayarlar!$B$4*ABS(Bitkiler!$F$69-Topraklar!$F$48)+Ayarlar!$B$5*ABS(Bitkiler!$G$69-Topraklar!$G$48)+Ayarlar!$B$6*IF(Bitkiler!$H$69=Topraklar!$H$48,0,1))/Ayarlar!$B$7)+IF(Topraklar!$K$48=Bitkiler!$C$69,0.002,IF(Topraklar!$L$48="Evet",0.001,0)))</f>
        <v/>
      </c>
      <c r="AW70" s="16">
        <f>IF(OR(Topraklar!$J$49="Evet",AND(Topraklar!$L$49&lt;&gt;"Evet",Topraklar!$K$49&lt;&gt;Bitkiler!$C$69)),0,MAX(0,1-(Ayarlar!$B$2*ABS(Bitkiler!$D$69-Topraklar!$D$49)+Ayarlar!$B$3*ABS(Bitkiler!$E$69-Topraklar!$E$49)+Ayarlar!$B$4*ABS(Bitkiler!$F$69-Topraklar!$F$49)+Ayarlar!$B$5*ABS(Bitkiler!$G$69-Topraklar!$G$49)+Ayarlar!$B$6*IF(Bitkiler!$H$69=Topraklar!$H$49,0,1))/Ayarlar!$B$7)+IF(Topraklar!$K$49=Bitkiler!$C$69,0.002,IF(Topraklar!$L$49="Evet",0.001,0)))</f>
        <v/>
      </c>
      <c r="AX70" s="16">
        <f>IF(OR(Topraklar!$J$50="Evet",AND(Topraklar!$L$50&lt;&gt;"Evet",Topraklar!$K$50&lt;&gt;Bitkiler!$C$69)),0,MAX(0,1-(Ayarlar!$B$2*ABS(Bitkiler!$D$69-Topraklar!$D$50)+Ayarlar!$B$3*ABS(Bitkiler!$E$69-Topraklar!$E$50)+Ayarlar!$B$4*ABS(Bitkiler!$F$69-Topraklar!$F$50)+Ayarlar!$B$5*ABS(Bitkiler!$G$69-Topraklar!$G$50)+Ayarlar!$B$6*IF(Bitkiler!$H$69=Topraklar!$H$50,0,1))/Ayarlar!$B$7)+IF(Topraklar!$K$50=Bitkiler!$C$69,0.002,IF(Topraklar!$L$50="Evet",0.001,0)))</f>
        <v/>
      </c>
      <c r="AY70" s="16">
        <f>IF(OR(Topraklar!$J$51="Evet",AND(Topraklar!$L$51&lt;&gt;"Evet",Topraklar!$K$51&lt;&gt;Bitkiler!$C$69)),0,MAX(0,1-(Ayarlar!$B$2*ABS(Bitkiler!$D$69-Topraklar!$D$51)+Ayarlar!$B$3*ABS(Bitkiler!$E$69-Topraklar!$E$51)+Ayarlar!$B$4*ABS(Bitkiler!$F$69-Topraklar!$F$51)+Ayarlar!$B$5*ABS(Bitkiler!$G$69-Topraklar!$G$51)+Ayarlar!$B$6*IF(Bitkiler!$H$69=Topraklar!$H$51,0,1))/Ayarlar!$B$7)+IF(Topraklar!$K$51=Bitkiler!$C$69,0.002,IF(Topraklar!$L$51="Evet",0.001,0)))</f>
        <v/>
      </c>
    </row>
    <row r="71">
      <c r="A71" s="15">
        <f>Bitkiler!A70</f>
        <v/>
      </c>
      <c r="B71" s="16">
        <f>IF(OR(Topraklar!$J$2="Evet",AND(Topraklar!$L$2&lt;&gt;"Evet",Topraklar!$K$2&lt;&gt;Bitkiler!$C$70)),0,MAX(0,1-(Ayarlar!$B$2*ABS(Bitkiler!$D$70-Topraklar!$D$2)+Ayarlar!$B$3*ABS(Bitkiler!$E$70-Topraklar!$E$2)+Ayarlar!$B$4*ABS(Bitkiler!$F$70-Topraklar!$F$2)+Ayarlar!$B$5*ABS(Bitkiler!$G$70-Topraklar!$G$2)+Ayarlar!$B$6*IF(Bitkiler!$H$70=Topraklar!$H$2,0,1))/Ayarlar!$B$7)+IF(Topraklar!$K$2=Bitkiler!$C$70,0.002,IF(Topraklar!$L$2="Evet",0.001,0)))</f>
        <v/>
      </c>
      <c r="C71" s="16">
        <f>IF(OR(Topraklar!$J$3="Evet",AND(Topraklar!$L$3&lt;&gt;"Evet",Topraklar!$K$3&lt;&gt;Bitkiler!$C$70)),0,MAX(0,1-(Ayarlar!$B$2*ABS(Bitkiler!$D$70-Topraklar!$D$3)+Ayarlar!$B$3*ABS(Bitkiler!$E$70-Topraklar!$E$3)+Ayarlar!$B$4*ABS(Bitkiler!$F$70-Topraklar!$F$3)+Ayarlar!$B$5*ABS(Bitkiler!$G$70-Topraklar!$G$3)+Ayarlar!$B$6*IF(Bitkiler!$H$70=Topraklar!$H$3,0,1))/Ayarlar!$B$7)+IF(Topraklar!$K$3=Bitkiler!$C$70,0.002,IF(Topraklar!$L$3="Evet",0.001,0)))</f>
        <v/>
      </c>
      <c r="D71" s="16">
        <f>IF(OR(Topraklar!$J$4="Evet",AND(Topraklar!$L$4&lt;&gt;"Evet",Topraklar!$K$4&lt;&gt;Bitkiler!$C$70)),0,MAX(0,1-(Ayarlar!$B$2*ABS(Bitkiler!$D$70-Topraklar!$D$4)+Ayarlar!$B$3*ABS(Bitkiler!$E$70-Topraklar!$E$4)+Ayarlar!$B$4*ABS(Bitkiler!$F$70-Topraklar!$F$4)+Ayarlar!$B$5*ABS(Bitkiler!$G$70-Topraklar!$G$4)+Ayarlar!$B$6*IF(Bitkiler!$H$70=Topraklar!$H$4,0,1))/Ayarlar!$B$7)+IF(Topraklar!$K$4=Bitkiler!$C$70,0.002,IF(Topraklar!$L$4="Evet",0.001,0)))</f>
        <v/>
      </c>
      <c r="E71" s="16">
        <f>IF(OR(Topraklar!$J$5="Evet",AND(Topraklar!$L$5&lt;&gt;"Evet",Topraklar!$K$5&lt;&gt;Bitkiler!$C$70)),0,MAX(0,1-(Ayarlar!$B$2*ABS(Bitkiler!$D$70-Topraklar!$D$5)+Ayarlar!$B$3*ABS(Bitkiler!$E$70-Topraklar!$E$5)+Ayarlar!$B$4*ABS(Bitkiler!$F$70-Topraklar!$F$5)+Ayarlar!$B$5*ABS(Bitkiler!$G$70-Topraklar!$G$5)+Ayarlar!$B$6*IF(Bitkiler!$H$70=Topraklar!$H$5,0,1))/Ayarlar!$B$7)+IF(Topraklar!$K$5=Bitkiler!$C$70,0.002,IF(Topraklar!$L$5="Evet",0.001,0)))</f>
        <v/>
      </c>
      <c r="F71" s="16">
        <f>IF(OR(Topraklar!$J$6="Evet",AND(Topraklar!$L$6&lt;&gt;"Evet",Topraklar!$K$6&lt;&gt;Bitkiler!$C$70)),0,MAX(0,1-(Ayarlar!$B$2*ABS(Bitkiler!$D$70-Topraklar!$D$6)+Ayarlar!$B$3*ABS(Bitkiler!$E$70-Topraklar!$E$6)+Ayarlar!$B$4*ABS(Bitkiler!$F$70-Topraklar!$F$6)+Ayarlar!$B$5*ABS(Bitkiler!$G$70-Topraklar!$G$6)+Ayarlar!$B$6*IF(Bitkiler!$H$70=Topraklar!$H$6,0,1))/Ayarlar!$B$7)+IF(Topraklar!$K$6=Bitkiler!$C$70,0.002,IF(Topraklar!$L$6="Evet",0.001,0)))</f>
        <v/>
      </c>
      <c r="G71" s="16">
        <f>IF(OR(Topraklar!$J$7="Evet",AND(Topraklar!$L$7&lt;&gt;"Evet",Topraklar!$K$7&lt;&gt;Bitkiler!$C$70)),0,MAX(0,1-(Ayarlar!$B$2*ABS(Bitkiler!$D$70-Topraklar!$D$7)+Ayarlar!$B$3*ABS(Bitkiler!$E$70-Topraklar!$E$7)+Ayarlar!$B$4*ABS(Bitkiler!$F$70-Topraklar!$F$7)+Ayarlar!$B$5*ABS(Bitkiler!$G$70-Topraklar!$G$7)+Ayarlar!$B$6*IF(Bitkiler!$H$70=Topraklar!$H$7,0,1))/Ayarlar!$B$7)+IF(Topraklar!$K$7=Bitkiler!$C$70,0.002,IF(Topraklar!$L$7="Evet",0.001,0)))</f>
        <v/>
      </c>
      <c r="H71" s="16">
        <f>IF(OR(Topraklar!$J$8="Evet",AND(Topraklar!$L$8&lt;&gt;"Evet",Topraklar!$K$8&lt;&gt;Bitkiler!$C$70)),0,MAX(0,1-(Ayarlar!$B$2*ABS(Bitkiler!$D$70-Topraklar!$D$8)+Ayarlar!$B$3*ABS(Bitkiler!$E$70-Topraklar!$E$8)+Ayarlar!$B$4*ABS(Bitkiler!$F$70-Topraklar!$F$8)+Ayarlar!$B$5*ABS(Bitkiler!$G$70-Topraklar!$G$8)+Ayarlar!$B$6*IF(Bitkiler!$H$70=Topraklar!$H$8,0,1))/Ayarlar!$B$7)+IF(Topraklar!$K$8=Bitkiler!$C$70,0.002,IF(Topraklar!$L$8="Evet",0.001,0)))</f>
        <v/>
      </c>
      <c r="I71" s="16">
        <f>IF(OR(Topraklar!$J$9="Evet",AND(Topraklar!$L$9&lt;&gt;"Evet",Topraklar!$K$9&lt;&gt;Bitkiler!$C$70)),0,MAX(0,1-(Ayarlar!$B$2*ABS(Bitkiler!$D$70-Topraklar!$D$9)+Ayarlar!$B$3*ABS(Bitkiler!$E$70-Topraklar!$E$9)+Ayarlar!$B$4*ABS(Bitkiler!$F$70-Topraklar!$F$9)+Ayarlar!$B$5*ABS(Bitkiler!$G$70-Topraklar!$G$9)+Ayarlar!$B$6*IF(Bitkiler!$H$70=Topraklar!$H$9,0,1))/Ayarlar!$B$7)+IF(Topraklar!$K$9=Bitkiler!$C$70,0.002,IF(Topraklar!$L$9="Evet",0.001,0)))</f>
        <v/>
      </c>
      <c r="J71" s="16">
        <f>IF(OR(Topraklar!$J$10="Evet",AND(Topraklar!$L$10&lt;&gt;"Evet",Topraklar!$K$10&lt;&gt;Bitkiler!$C$70)),0,MAX(0,1-(Ayarlar!$B$2*ABS(Bitkiler!$D$70-Topraklar!$D$10)+Ayarlar!$B$3*ABS(Bitkiler!$E$70-Topraklar!$E$10)+Ayarlar!$B$4*ABS(Bitkiler!$F$70-Topraklar!$F$10)+Ayarlar!$B$5*ABS(Bitkiler!$G$70-Topraklar!$G$10)+Ayarlar!$B$6*IF(Bitkiler!$H$70=Topraklar!$H$10,0,1))/Ayarlar!$B$7)+IF(Topraklar!$K$10=Bitkiler!$C$70,0.002,IF(Topraklar!$L$10="Evet",0.001,0)))</f>
        <v/>
      </c>
      <c r="K71" s="16">
        <f>IF(OR(Topraklar!$J$11="Evet",AND(Topraklar!$L$11&lt;&gt;"Evet",Topraklar!$K$11&lt;&gt;Bitkiler!$C$70)),0,MAX(0,1-(Ayarlar!$B$2*ABS(Bitkiler!$D$70-Topraklar!$D$11)+Ayarlar!$B$3*ABS(Bitkiler!$E$70-Topraklar!$E$11)+Ayarlar!$B$4*ABS(Bitkiler!$F$70-Topraklar!$F$11)+Ayarlar!$B$5*ABS(Bitkiler!$G$70-Topraklar!$G$11)+Ayarlar!$B$6*IF(Bitkiler!$H$70=Topraklar!$H$11,0,1))/Ayarlar!$B$7)+IF(Topraklar!$K$11=Bitkiler!$C$70,0.002,IF(Topraklar!$L$11="Evet",0.001,0)))</f>
        <v/>
      </c>
      <c r="L71" s="16">
        <f>IF(OR(Topraklar!$J$12="Evet",AND(Topraklar!$L$12&lt;&gt;"Evet",Topraklar!$K$12&lt;&gt;Bitkiler!$C$70)),0,MAX(0,1-(Ayarlar!$B$2*ABS(Bitkiler!$D$70-Topraklar!$D$12)+Ayarlar!$B$3*ABS(Bitkiler!$E$70-Topraklar!$E$12)+Ayarlar!$B$4*ABS(Bitkiler!$F$70-Topraklar!$F$12)+Ayarlar!$B$5*ABS(Bitkiler!$G$70-Topraklar!$G$12)+Ayarlar!$B$6*IF(Bitkiler!$H$70=Topraklar!$H$12,0,1))/Ayarlar!$B$7)+IF(Topraklar!$K$12=Bitkiler!$C$70,0.002,IF(Topraklar!$L$12="Evet",0.001,0)))</f>
        <v/>
      </c>
      <c r="M71" s="16">
        <f>IF(OR(Topraklar!$J$13="Evet",AND(Topraklar!$L$13&lt;&gt;"Evet",Topraklar!$K$13&lt;&gt;Bitkiler!$C$70)),0,MAX(0,1-(Ayarlar!$B$2*ABS(Bitkiler!$D$70-Topraklar!$D$13)+Ayarlar!$B$3*ABS(Bitkiler!$E$70-Topraklar!$E$13)+Ayarlar!$B$4*ABS(Bitkiler!$F$70-Topraklar!$F$13)+Ayarlar!$B$5*ABS(Bitkiler!$G$70-Topraklar!$G$13)+Ayarlar!$B$6*IF(Bitkiler!$H$70=Topraklar!$H$13,0,1))/Ayarlar!$B$7)+IF(Topraklar!$K$13=Bitkiler!$C$70,0.002,IF(Topraklar!$L$13="Evet",0.001,0)))</f>
        <v/>
      </c>
      <c r="N71" s="16">
        <f>IF(OR(Topraklar!$J$14="Evet",AND(Topraklar!$L$14&lt;&gt;"Evet",Topraklar!$K$14&lt;&gt;Bitkiler!$C$70)),0,MAX(0,1-(Ayarlar!$B$2*ABS(Bitkiler!$D$70-Topraklar!$D$14)+Ayarlar!$B$3*ABS(Bitkiler!$E$70-Topraklar!$E$14)+Ayarlar!$B$4*ABS(Bitkiler!$F$70-Topraklar!$F$14)+Ayarlar!$B$5*ABS(Bitkiler!$G$70-Topraklar!$G$14)+Ayarlar!$B$6*IF(Bitkiler!$H$70=Topraklar!$H$14,0,1))/Ayarlar!$B$7)+IF(Topraklar!$K$14=Bitkiler!$C$70,0.002,IF(Topraklar!$L$14="Evet",0.001,0)))</f>
        <v/>
      </c>
      <c r="O71" s="16">
        <f>IF(OR(Topraklar!$J$15="Evet",AND(Topraklar!$L$15&lt;&gt;"Evet",Topraklar!$K$15&lt;&gt;Bitkiler!$C$70)),0,MAX(0,1-(Ayarlar!$B$2*ABS(Bitkiler!$D$70-Topraklar!$D$15)+Ayarlar!$B$3*ABS(Bitkiler!$E$70-Topraklar!$E$15)+Ayarlar!$B$4*ABS(Bitkiler!$F$70-Topraklar!$F$15)+Ayarlar!$B$5*ABS(Bitkiler!$G$70-Topraklar!$G$15)+Ayarlar!$B$6*IF(Bitkiler!$H$70=Topraklar!$H$15,0,1))/Ayarlar!$B$7)+IF(Topraklar!$K$15=Bitkiler!$C$70,0.002,IF(Topraklar!$L$15="Evet",0.001,0)))</f>
        <v/>
      </c>
      <c r="P71" s="16">
        <f>IF(OR(Topraklar!$J$16="Evet",AND(Topraklar!$L$16&lt;&gt;"Evet",Topraklar!$K$16&lt;&gt;Bitkiler!$C$70)),0,MAX(0,1-(Ayarlar!$B$2*ABS(Bitkiler!$D$70-Topraklar!$D$16)+Ayarlar!$B$3*ABS(Bitkiler!$E$70-Topraklar!$E$16)+Ayarlar!$B$4*ABS(Bitkiler!$F$70-Topraklar!$F$16)+Ayarlar!$B$5*ABS(Bitkiler!$G$70-Topraklar!$G$16)+Ayarlar!$B$6*IF(Bitkiler!$H$70=Topraklar!$H$16,0,1))/Ayarlar!$B$7)+IF(Topraklar!$K$16=Bitkiler!$C$70,0.002,IF(Topraklar!$L$16="Evet",0.001,0)))</f>
        <v/>
      </c>
      <c r="Q71" s="16">
        <f>IF(OR(Topraklar!$J$17="Evet",AND(Topraklar!$L$17&lt;&gt;"Evet",Topraklar!$K$17&lt;&gt;Bitkiler!$C$70)),0,MAX(0,1-(Ayarlar!$B$2*ABS(Bitkiler!$D$70-Topraklar!$D$17)+Ayarlar!$B$3*ABS(Bitkiler!$E$70-Topraklar!$E$17)+Ayarlar!$B$4*ABS(Bitkiler!$F$70-Topraklar!$F$17)+Ayarlar!$B$5*ABS(Bitkiler!$G$70-Topraklar!$G$17)+Ayarlar!$B$6*IF(Bitkiler!$H$70=Topraklar!$H$17,0,1))/Ayarlar!$B$7)+IF(Topraklar!$K$17=Bitkiler!$C$70,0.002,IF(Topraklar!$L$17="Evet",0.001,0)))</f>
        <v/>
      </c>
      <c r="R71" s="16">
        <f>IF(OR(Topraklar!$J$18="Evet",AND(Topraklar!$L$18&lt;&gt;"Evet",Topraklar!$K$18&lt;&gt;Bitkiler!$C$70)),0,MAX(0,1-(Ayarlar!$B$2*ABS(Bitkiler!$D$70-Topraklar!$D$18)+Ayarlar!$B$3*ABS(Bitkiler!$E$70-Topraklar!$E$18)+Ayarlar!$B$4*ABS(Bitkiler!$F$70-Topraklar!$F$18)+Ayarlar!$B$5*ABS(Bitkiler!$G$70-Topraklar!$G$18)+Ayarlar!$B$6*IF(Bitkiler!$H$70=Topraklar!$H$18,0,1))/Ayarlar!$B$7)+IF(Topraklar!$K$18=Bitkiler!$C$70,0.002,IF(Topraklar!$L$18="Evet",0.001,0)))</f>
        <v/>
      </c>
      <c r="S71" s="16">
        <f>IF(OR(Topraklar!$J$19="Evet",AND(Topraklar!$L$19&lt;&gt;"Evet",Topraklar!$K$19&lt;&gt;Bitkiler!$C$70)),0,MAX(0,1-(Ayarlar!$B$2*ABS(Bitkiler!$D$70-Topraklar!$D$19)+Ayarlar!$B$3*ABS(Bitkiler!$E$70-Topraklar!$E$19)+Ayarlar!$B$4*ABS(Bitkiler!$F$70-Topraklar!$F$19)+Ayarlar!$B$5*ABS(Bitkiler!$G$70-Topraklar!$G$19)+Ayarlar!$B$6*IF(Bitkiler!$H$70=Topraklar!$H$19,0,1))/Ayarlar!$B$7)+IF(Topraklar!$K$19=Bitkiler!$C$70,0.002,IF(Topraklar!$L$19="Evet",0.001,0)))</f>
        <v/>
      </c>
      <c r="T71" s="16">
        <f>IF(OR(Topraklar!$J$20="Evet",AND(Topraklar!$L$20&lt;&gt;"Evet",Topraklar!$K$20&lt;&gt;Bitkiler!$C$70)),0,MAX(0,1-(Ayarlar!$B$2*ABS(Bitkiler!$D$70-Topraklar!$D$20)+Ayarlar!$B$3*ABS(Bitkiler!$E$70-Topraklar!$E$20)+Ayarlar!$B$4*ABS(Bitkiler!$F$70-Topraklar!$F$20)+Ayarlar!$B$5*ABS(Bitkiler!$G$70-Topraklar!$G$20)+Ayarlar!$B$6*IF(Bitkiler!$H$70=Topraklar!$H$20,0,1))/Ayarlar!$B$7)+IF(Topraklar!$K$20=Bitkiler!$C$70,0.002,IF(Topraklar!$L$20="Evet",0.001,0)))</f>
        <v/>
      </c>
      <c r="U71" s="16">
        <f>IF(OR(Topraklar!$J$21="Evet",AND(Topraklar!$L$21&lt;&gt;"Evet",Topraklar!$K$21&lt;&gt;Bitkiler!$C$70)),0,MAX(0,1-(Ayarlar!$B$2*ABS(Bitkiler!$D$70-Topraklar!$D$21)+Ayarlar!$B$3*ABS(Bitkiler!$E$70-Topraklar!$E$21)+Ayarlar!$B$4*ABS(Bitkiler!$F$70-Topraklar!$F$21)+Ayarlar!$B$5*ABS(Bitkiler!$G$70-Topraklar!$G$21)+Ayarlar!$B$6*IF(Bitkiler!$H$70=Topraklar!$H$21,0,1))/Ayarlar!$B$7)+IF(Topraklar!$K$21=Bitkiler!$C$70,0.002,IF(Topraklar!$L$21="Evet",0.001,0)))</f>
        <v/>
      </c>
      <c r="V71" s="16">
        <f>IF(OR(Topraklar!$J$22="Evet",AND(Topraklar!$L$22&lt;&gt;"Evet",Topraklar!$K$22&lt;&gt;Bitkiler!$C$70)),0,MAX(0,1-(Ayarlar!$B$2*ABS(Bitkiler!$D$70-Topraklar!$D$22)+Ayarlar!$B$3*ABS(Bitkiler!$E$70-Topraklar!$E$22)+Ayarlar!$B$4*ABS(Bitkiler!$F$70-Topraklar!$F$22)+Ayarlar!$B$5*ABS(Bitkiler!$G$70-Topraklar!$G$22)+Ayarlar!$B$6*IF(Bitkiler!$H$70=Topraklar!$H$22,0,1))/Ayarlar!$B$7)+IF(Topraklar!$K$22=Bitkiler!$C$70,0.002,IF(Topraklar!$L$22="Evet",0.001,0)))</f>
        <v/>
      </c>
      <c r="W71" s="16">
        <f>IF(OR(Topraklar!$J$23="Evet",AND(Topraklar!$L$23&lt;&gt;"Evet",Topraklar!$K$23&lt;&gt;Bitkiler!$C$70)),0,MAX(0,1-(Ayarlar!$B$2*ABS(Bitkiler!$D$70-Topraklar!$D$23)+Ayarlar!$B$3*ABS(Bitkiler!$E$70-Topraklar!$E$23)+Ayarlar!$B$4*ABS(Bitkiler!$F$70-Topraklar!$F$23)+Ayarlar!$B$5*ABS(Bitkiler!$G$70-Topraklar!$G$23)+Ayarlar!$B$6*IF(Bitkiler!$H$70=Topraklar!$H$23,0,1))/Ayarlar!$B$7)+IF(Topraklar!$K$23=Bitkiler!$C$70,0.002,IF(Topraklar!$L$23="Evet",0.001,0)))</f>
        <v/>
      </c>
      <c r="X71" s="16">
        <f>IF(OR(Topraklar!$J$24="Evet",AND(Topraklar!$L$24&lt;&gt;"Evet",Topraklar!$K$24&lt;&gt;Bitkiler!$C$70)),0,MAX(0,1-(Ayarlar!$B$2*ABS(Bitkiler!$D$70-Topraklar!$D$24)+Ayarlar!$B$3*ABS(Bitkiler!$E$70-Topraklar!$E$24)+Ayarlar!$B$4*ABS(Bitkiler!$F$70-Topraklar!$F$24)+Ayarlar!$B$5*ABS(Bitkiler!$G$70-Topraklar!$G$24)+Ayarlar!$B$6*IF(Bitkiler!$H$70=Topraklar!$H$24,0,1))/Ayarlar!$B$7)+IF(Topraklar!$K$24=Bitkiler!$C$70,0.002,IF(Topraklar!$L$24="Evet",0.001,0)))</f>
        <v/>
      </c>
      <c r="Y71" s="16">
        <f>IF(OR(Topraklar!$J$25="Evet",AND(Topraklar!$L$25&lt;&gt;"Evet",Topraklar!$K$25&lt;&gt;Bitkiler!$C$70)),0,MAX(0,1-(Ayarlar!$B$2*ABS(Bitkiler!$D$70-Topraklar!$D$25)+Ayarlar!$B$3*ABS(Bitkiler!$E$70-Topraklar!$E$25)+Ayarlar!$B$4*ABS(Bitkiler!$F$70-Topraklar!$F$25)+Ayarlar!$B$5*ABS(Bitkiler!$G$70-Topraklar!$G$25)+Ayarlar!$B$6*IF(Bitkiler!$H$70=Topraklar!$H$25,0,1))/Ayarlar!$B$7)+IF(Topraklar!$K$25=Bitkiler!$C$70,0.002,IF(Topraklar!$L$25="Evet",0.001,0)))</f>
        <v/>
      </c>
      <c r="Z71" s="16">
        <f>IF(OR(Topraklar!$J$26="Evet",AND(Topraklar!$L$26&lt;&gt;"Evet",Topraklar!$K$26&lt;&gt;Bitkiler!$C$70)),0,MAX(0,1-(Ayarlar!$B$2*ABS(Bitkiler!$D$70-Topraklar!$D$26)+Ayarlar!$B$3*ABS(Bitkiler!$E$70-Topraklar!$E$26)+Ayarlar!$B$4*ABS(Bitkiler!$F$70-Topraklar!$F$26)+Ayarlar!$B$5*ABS(Bitkiler!$G$70-Topraklar!$G$26)+Ayarlar!$B$6*IF(Bitkiler!$H$70=Topraklar!$H$26,0,1))/Ayarlar!$B$7)+IF(Topraklar!$K$26=Bitkiler!$C$70,0.002,IF(Topraklar!$L$26="Evet",0.001,0)))</f>
        <v/>
      </c>
      <c r="AA71" s="16">
        <f>IF(OR(Topraklar!$J$27="Evet",AND(Topraklar!$L$27&lt;&gt;"Evet",Topraklar!$K$27&lt;&gt;Bitkiler!$C$70)),0,MAX(0,1-(Ayarlar!$B$2*ABS(Bitkiler!$D$70-Topraklar!$D$27)+Ayarlar!$B$3*ABS(Bitkiler!$E$70-Topraklar!$E$27)+Ayarlar!$B$4*ABS(Bitkiler!$F$70-Topraklar!$F$27)+Ayarlar!$B$5*ABS(Bitkiler!$G$70-Topraklar!$G$27)+Ayarlar!$B$6*IF(Bitkiler!$H$70=Topraklar!$H$27,0,1))/Ayarlar!$B$7)+IF(Topraklar!$K$27=Bitkiler!$C$70,0.002,IF(Topraklar!$L$27="Evet",0.001,0)))</f>
        <v/>
      </c>
      <c r="AB71" s="16">
        <f>IF(OR(Topraklar!$J$28="Evet",AND(Topraklar!$L$28&lt;&gt;"Evet",Topraklar!$K$28&lt;&gt;Bitkiler!$C$70)),0,MAX(0,1-(Ayarlar!$B$2*ABS(Bitkiler!$D$70-Topraklar!$D$28)+Ayarlar!$B$3*ABS(Bitkiler!$E$70-Topraklar!$E$28)+Ayarlar!$B$4*ABS(Bitkiler!$F$70-Topraklar!$F$28)+Ayarlar!$B$5*ABS(Bitkiler!$G$70-Topraklar!$G$28)+Ayarlar!$B$6*IF(Bitkiler!$H$70=Topraklar!$H$28,0,1))/Ayarlar!$B$7)+IF(Topraklar!$K$28=Bitkiler!$C$70,0.002,IF(Topraklar!$L$28="Evet",0.001,0)))</f>
        <v/>
      </c>
      <c r="AC71" s="16">
        <f>IF(OR(Topraklar!$J$29="Evet",AND(Topraklar!$L$29&lt;&gt;"Evet",Topraklar!$K$29&lt;&gt;Bitkiler!$C$70)),0,MAX(0,1-(Ayarlar!$B$2*ABS(Bitkiler!$D$70-Topraklar!$D$29)+Ayarlar!$B$3*ABS(Bitkiler!$E$70-Topraklar!$E$29)+Ayarlar!$B$4*ABS(Bitkiler!$F$70-Topraklar!$F$29)+Ayarlar!$B$5*ABS(Bitkiler!$G$70-Topraklar!$G$29)+Ayarlar!$B$6*IF(Bitkiler!$H$70=Topraklar!$H$29,0,1))/Ayarlar!$B$7)+IF(Topraklar!$K$29=Bitkiler!$C$70,0.002,IF(Topraklar!$L$29="Evet",0.001,0)))</f>
        <v/>
      </c>
      <c r="AD71" s="16">
        <f>IF(OR(Topraklar!$J$30="Evet",AND(Topraklar!$L$30&lt;&gt;"Evet",Topraklar!$K$30&lt;&gt;Bitkiler!$C$70)),0,MAX(0,1-(Ayarlar!$B$2*ABS(Bitkiler!$D$70-Topraklar!$D$30)+Ayarlar!$B$3*ABS(Bitkiler!$E$70-Topraklar!$E$30)+Ayarlar!$B$4*ABS(Bitkiler!$F$70-Topraklar!$F$30)+Ayarlar!$B$5*ABS(Bitkiler!$G$70-Topraklar!$G$30)+Ayarlar!$B$6*IF(Bitkiler!$H$70=Topraklar!$H$30,0,1))/Ayarlar!$B$7)+IF(Topraklar!$K$30=Bitkiler!$C$70,0.002,IF(Topraklar!$L$30="Evet",0.001,0)))</f>
        <v/>
      </c>
      <c r="AE71" s="16">
        <f>IF(OR(Topraklar!$J$31="Evet",AND(Topraklar!$L$31&lt;&gt;"Evet",Topraklar!$K$31&lt;&gt;Bitkiler!$C$70)),0,MAX(0,1-(Ayarlar!$B$2*ABS(Bitkiler!$D$70-Topraklar!$D$31)+Ayarlar!$B$3*ABS(Bitkiler!$E$70-Topraklar!$E$31)+Ayarlar!$B$4*ABS(Bitkiler!$F$70-Topraklar!$F$31)+Ayarlar!$B$5*ABS(Bitkiler!$G$70-Topraklar!$G$31)+Ayarlar!$B$6*IF(Bitkiler!$H$70=Topraklar!$H$31,0,1))/Ayarlar!$B$7)+IF(Topraklar!$K$31=Bitkiler!$C$70,0.002,IF(Topraklar!$L$31="Evet",0.001,0)))</f>
        <v/>
      </c>
      <c r="AF71" s="16">
        <f>IF(OR(Topraklar!$J$32="Evet",AND(Topraklar!$L$32&lt;&gt;"Evet",Topraklar!$K$32&lt;&gt;Bitkiler!$C$70)),0,MAX(0,1-(Ayarlar!$B$2*ABS(Bitkiler!$D$70-Topraklar!$D$32)+Ayarlar!$B$3*ABS(Bitkiler!$E$70-Topraklar!$E$32)+Ayarlar!$B$4*ABS(Bitkiler!$F$70-Topraklar!$F$32)+Ayarlar!$B$5*ABS(Bitkiler!$G$70-Topraklar!$G$32)+Ayarlar!$B$6*IF(Bitkiler!$H$70=Topraklar!$H$32,0,1))/Ayarlar!$B$7)+IF(Topraklar!$K$32=Bitkiler!$C$70,0.002,IF(Topraklar!$L$32="Evet",0.001,0)))</f>
        <v/>
      </c>
      <c r="AG71" s="16">
        <f>IF(OR(Topraklar!$J$33="Evet",AND(Topraklar!$L$33&lt;&gt;"Evet",Topraklar!$K$33&lt;&gt;Bitkiler!$C$70)),0,MAX(0,1-(Ayarlar!$B$2*ABS(Bitkiler!$D$70-Topraklar!$D$33)+Ayarlar!$B$3*ABS(Bitkiler!$E$70-Topraklar!$E$33)+Ayarlar!$B$4*ABS(Bitkiler!$F$70-Topraklar!$F$33)+Ayarlar!$B$5*ABS(Bitkiler!$G$70-Topraklar!$G$33)+Ayarlar!$B$6*IF(Bitkiler!$H$70=Topraklar!$H$33,0,1))/Ayarlar!$B$7)+IF(Topraklar!$K$33=Bitkiler!$C$70,0.002,IF(Topraklar!$L$33="Evet",0.001,0)))</f>
        <v/>
      </c>
      <c r="AH71" s="16">
        <f>IF(OR(Topraklar!$J$34="Evet",AND(Topraklar!$L$34&lt;&gt;"Evet",Topraklar!$K$34&lt;&gt;Bitkiler!$C$70)),0,MAX(0,1-(Ayarlar!$B$2*ABS(Bitkiler!$D$70-Topraklar!$D$34)+Ayarlar!$B$3*ABS(Bitkiler!$E$70-Topraklar!$E$34)+Ayarlar!$B$4*ABS(Bitkiler!$F$70-Topraklar!$F$34)+Ayarlar!$B$5*ABS(Bitkiler!$G$70-Topraklar!$G$34)+Ayarlar!$B$6*IF(Bitkiler!$H$70=Topraklar!$H$34,0,1))/Ayarlar!$B$7)+IF(Topraklar!$K$34=Bitkiler!$C$70,0.002,IF(Topraklar!$L$34="Evet",0.001,0)))</f>
        <v/>
      </c>
      <c r="AI71" s="16">
        <f>IF(OR(Topraklar!$J$35="Evet",AND(Topraklar!$L$35&lt;&gt;"Evet",Topraklar!$K$35&lt;&gt;Bitkiler!$C$70)),0,MAX(0,1-(Ayarlar!$B$2*ABS(Bitkiler!$D$70-Topraklar!$D$35)+Ayarlar!$B$3*ABS(Bitkiler!$E$70-Topraklar!$E$35)+Ayarlar!$B$4*ABS(Bitkiler!$F$70-Topraklar!$F$35)+Ayarlar!$B$5*ABS(Bitkiler!$G$70-Topraklar!$G$35)+Ayarlar!$B$6*IF(Bitkiler!$H$70=Topraklar!$H$35,0,1))/Ayarlar!$B$7)+IF(Topraklar!$K$35=Bitkiler!$C$70,0.002,IF(Topraklar!$L$35="Evet",0.001,0)))</f>
        <v/>
      </c>
      <c r="AJ71" s="16">
        <f>IF(OR(Topraklar!$J$36="Evet",AND(Topraklar!$L$36&lt;&gt;"Evet",Topraklar!$K$36&lt;&gt;Bitkiler!$C$70)),0,MAX(0,1-(Ayarlar!$B$2*ABS(Bitkiler!$D$70-Topraklar!$D$36)+Ayarlar!$B$3*ABS(Bitkiler!$E$70-Topraklar!$E$36)+Ayarlar!$B$4*ABS(Bitkiler!$F$70-Topraklar!$F$36)+Ayarlar!$B$5*ABS(Bitkiler!$G$70-Topraklar!$G$36)+Ayarlar!$B$6*IF(Bitkiler!$H$70=Topraklar!$H$36,0,1))/Ayarlar!$B$7)+IF(Topraklar!$K$36=Bitkiler!$C$70,0.002,IF(Topraklar!$L$36="Evet",0.001,0)))</f>
        <v/>
      </c>
      <c r="AK71" s="16">
        <f>IF(OR(Topraklar!$J$37="Evet",AND(Topraklar!$L$37&lt;&gt;"Evet",Topraklar!$K$37&lt;&gt;Bitkiler!$C$70)),0,MAX(0,1-(Ayarlar!$B$2*ABS(Bitkiler!$D$70-Topraklar!$D$37)+Ayarlar!$B$3*ABS(Bitkiler!$E$70-Topraklar!$E$37)+Ayarlar!$B$4*ABS(Bitkiler!$F$70-Topraklar!$F$37)+Ayarlar!$B$5*ABS(Bitkiler!$G$70-Topraklar!$G$37)+Ayarlar!$B$6*IF(Bitkiler!$H$70=Topraklar!$H$37,0,1))/Ayarlar!$B$7)+IF(Topraklar!$K$37=Bitkiler!$C$70,0.002,IF(Topraklar!$L$37="Evet",0.001,0)))</f>
        <v/>
      </c>
      <c r="AL71" s="16">
        <f>IF(OR(Topraklar!$J$38="Evet",AND(Topraklar!$L$38&lt;&gt;"Evet",Topraklar!$K$38&lt;&gt;Bitkiler!$C$70)),0,MAX(0,1-(Ayarlar!$B$2*ABS(Bitkiler!$D$70-Topraklar!$D$38)+Ayarlar!$B$3*ABS(Bitkiler!$E$70-Topraklar!$E$38)+Ayarlar!$B$4*ABS(Bitkiler!$F$70-Topraklar!$F$38)+Ayarlar!$B$5*ABS(Bitkiler!$G$70-Topraklar!$G$38)+Ayarlar!$B$6*IF(Bitkiler!$H$70=Topraklar!$H$38,0,1))/Ayarlar!$B$7)+IF(Topraklar!$K$38=Bitkiler!$C$70,0.002,IF(Topraklar!$L$38="Evet",0.001,0)))</f>
        <v/>
      </c>
      <c r="AM71" s="16">
        <f>IF(OR(Topraklar!$J$39="Evet",AND(Topraklar!$L$39&lt;&gt;"Evet",Topraklar!$K$39&lt;&gt;Bitkiler!$C$70)),0,MAX(0,1-(Ayarlar!$B$2*ABS(Bitkiler!$D$70-Topraklar!$D$39)+Ayarlar!$B$3*ABS(Bitkiler!$E$70-Topraklar!$E$39)+Ayarlar!$B$4*ABS(Bitkiler!$F$70-Topraklar!$F$39)+Ayarlar!$B$5*ABS(Bitkiler!$G$70-Topraklar!$G$39)+Ayarlar!$B$6*IF(Bitkiler!$H$70=Topraklar!$H$39,0,1))/Ayarlar!$B$7)+IF(Topraklar!$K$39=Bitkiler!$C$70,0.002,IF(Topraklar!$L$39="Evet",0.001,0)))</f>
        <v/>
      </c>
      <c r="AN71" s="16">
        <f>IF(OR(Topraklar!$J$40="Evet",AND(Topraklar!$L$40&lt;&gt;"Evet",Topraklar!$K$40&lt;&gt;Bitkiler!$C$70)),0,MAX(0,1-(Ayarlar!$B$2*ABS(Bitkiler!$D$70-Topraklar!$D$40)+Ayarlar!$B$3*ABS(Bitkiler!$E$70-Topraklar!$E$40)+Ayarlar!$B$4*ABS(Bitkiler!$F$70-Topraklar!$F$40)+Ayarlar!$B$5*ABS(Bitkiler!$G$70-Topraklar!$G$40)+Ayarlar!$B$6*IF(Bitkiler!$H$70=Topraklar!$H$40,0,1))/Ayarlar!$B$7)+IF(Topraklar!$K$40=Bitkiler!$C$70,0.002,IF(Topraklar!$L$40="Evet",0.001,0)))</f>
        <v/>
      </c>
      <c r="AO71" s="16">
        <f>IF(OR(Topraklar!$J$41="Evet",AND(Topraklar!$L$41&lt;&gt;"Evet",Topraklar!$K$41&lt;&gt;Bitkiler!$C$70)),0,MAX(0,1-(Ayarlar!$B$2*ABS(Bitkiler!$D$70-Topraklar!$D$41)+Ayarlar!$B$3*ABS(Bitkiler!$E$70-Topraklar!$E$41)+Ayarlar!$B$4*ABS(Bitkiler!$F$70-Topraklar!$F$41)+Ayarlar!$B$5*ABS(Bitkiler!$G$70-Topraklar!$G$41)+Ayarlar!$B$6*IF(Bitkiler!$H$70=Topraklar!$H$41,0,1))/Ayarlar!$B$7)+IF(Topraklar!$K$41=Bitkiler!$C$70,0.002,IF(Topraklar!$L$41="Evet",0.001,0)))</f>
        <v/>
      </c>
      <c r="AP71" s="16">
        <f>IF(OR(Topraklar!$J$42="Evet",AND(Topraklar!$L$42&lt;&gt;"Evet",Topraklar!$K$42&lt;&gt;Bitkiler!$C$70)),0,MAX(0,1-(Ayarlar!$B$2*ABS(Bitkiler!$D$70-Topraklar!$D$42)+Ayarlar!$B$3*ABS(Bitkiler!$E$70-Topraklar!$E$42)+Ayarlar!$B$4*ABS(Bitkiler!$F$70-Topraklar!$F$42)+Ayarlar!$B$5*ABS(Bitkiler!$G$70-Topraklar!$G$42)+Ayarlar!$B$6*IF(Bitkiler!$H$70=Topraklar!$H$42,0,1))/Ayarlar!$B$7)+IF(Topraklar!$K$42=Bitkiler!$C$70,0.002,IF(Topraklar!$L$42="Evet",0.001,0)))</f>
        <v/>
      </c>
      <c r="AQ71" s="16">
        <f>IF(OR(Topraklar!$J$43="Evet",AND(Topraklar!$L$43&lt;&gt;"Evet",Topraklar!$K$43&lt;&gt;Bitkiler!$C$70)),0,MAX(0,1-(Ayarlar!$B$2*ABS(Bitkiler!$D$70-Topraklar!$D$43)+Ayarlar!$B$3*ABS(Bitkiler!$E$70-Topraklar!$E$43)+Ayarlar!$B$4*ABS(Bitkiler!$F$70-Topraklar!$F$43)+Ayarlar!$B$5*ABS(Bitkiler!$G$70-Topraklar!$G$43)+Ayarlar!$B$6*IF(Bitkiler!$H$70=Topraklar!$H$43,0,1))/Ayarlar!$B$7)+IF(Topraklar!$K$43=Bitkiler!$C$70,0.002,IF(Topraklar!$L$43="Evet",0.001,0)))</f>
        <v/>
      </c>
      <c r="AR71" s="16">
        <f>IF(OR(Topraklar!$J$44="Evet",AND(Topraklar!$L$44&lt;&gt;"Evet",Topraklar!$K$44&lt;&gt;Bitkiler!$C$70)),0,MAX(0,1-(Ayarlar!$B$2*ABS(Bitkiler!$D$70-Topraklar!$D$44)+Ayarlar!$B$3*ABS(Bitkiler!$E$70-Topraklar!$E$44)+Ayarlar!$B$4*ABS(Bitkiler!$F$70-Topraklar!$F$44)+Ayarlar!$B$5*ABS(Bitkiler!$G$70-Topraklar!$G$44)+Ayarlar!$B$6*IF(Bitkiler!$H$70=Topraklar!$H$44,0,1))/Ayarlar!$B$7)+IF(Topraklar!$K$44=Bitkiler!$C$70,0.002,IF(Topraklar!$L$44="Evet",0.001,0)))</f>
        <v/>
      </c>
      <c r="AS71" s="16">
        <f>IF(OR(Topraklar!$J$45="Evet",AND(Topraklar!$L$45&lt;&gt;"Evet",Topraklar!$K$45&lt;&gt;Bitkiler!$C$70)),0,MAX(0,1-(Ayarlar!$B$2*ABS(Bitkiler!$D$70-Topraklar!$D$45)+Ayarlar!$B$3*ABS(Bitkiler!$E$70-Topraklar!$E$45)+Ayarlar!$B$4*ABS(Bitkiler!$F$70-Topraklar!$F$45)+Ayarlar!$B$5*ABS(Bitkiler!$G$70-Topraklar!$G$45)+Ayarlar!$B$6*IF(Bitkiler!$H$70=Topraklar!$H$45,0,1))/Ayarlar!$B$7)+IF(Topraklar!$K$45=Bitkiler!$C$70,0.002,IF(Topraklar!$L$45="Evet",0.001,0)))</f>
        <v/>
      </c>
      <c r="AT71" s="16">
        <f>IF(OR(Topraklar!$J$46="Evet",AND(Topraklar!$L$46&lt;&gt;"Evet",Topraklar!$K$46&lt;&gt;Bitkiler!$C$70)),0,MAX(0,1-(Ayarlar!$B$2*ABS(Bitkiler!$D$70-Topraklar!$D$46)+Ayarlar!$B$3*ABS(Bitkiler!$E$70-Topraklar!$E$46)+Ayarlar!$B$4*ABS(Bitkiler!$F$70-Topraklar!$F$46)+Ayarlar!$B$5*ABS(Bitkiler!$G$70-Topraklar!$G$46)+Ayarlar!$B$6*IF(Bitkiler!$H$70=Topraklar!$H$46,0,1))/Ayarlar!$B$7)+IF(Topraklar!$K$46=Bitkiler!$C$70,0.002,IF(Topraklar!$L$46="Evet",0.001,0)))</f>
        <v/>
      </c>
      <c r="AU71" s="16">
        <f>IF(OR(Topraklar!$J$47="Evet",AND(Topraklar!$L$47&lt;&gt;"Evet",Topraklar!$K$47&lt;&gt;Bitkiler!$C$70)),0,MAX(0,1-(Ayarlar!$B$2*ABS(Bitkiler!$D$70-Topraklar!$D$47)+Ayarlar!$B$3*ABS(Bitkiler!$E$70-Topraklar!$E$47)+Ayarlar!$B$4*ABS(Bitkiler!$F$70-Topraklar!$F$47)+Ayarlar!$B$5*ABS(Bitkiler!$G$70-Topraklar!$G$47)+Ayarlar!$B$6*IF(Bitkiler!$H$70=Topraklar!$H$47,0,1))/Ayarlar!$B$7)+IF(Topraklar!$K$47=Bitkiler!$C$70,0.002,IF(Topraklar!$L$47="Evet",0.001,0)))</f>
        <v/>
      </c>
      <c r="AV71" s="16">
        <f>IF(OR(Topraklar!$J$48="Evet",AND(Topraklar!$L$48&lt;&gt;"Evet",Topraklar!$K$48&lt;&gt;Bitkiler!$C$70)),0,MAX(0,1-(Ayarlar!$B$2*ABS(Bitkiler!$D$70-Topraklar!$D$48)+Ayarlar!$B$3*ABS(Bitkiler!$E$70-Topraklar!$E$48)+Ayarlar!$B$4*ABS(Bitkiler!$F$70-Topraklar!$F$48)+Ayarlar!$B$5*ABS(Bitkiler!$G$70-Topraklar!$G$48)+Ayarlar!$B$6*IF(Bitkiler!$H$70=Topraklar!$H$48,0,1))/Ayarlar!$B$7)+IF(Topraklar!$K$48=Bitkiler!$C$70,0.002,IF(Topraklar!$L$48="Evet",0.001,0)))</f>
        <v/>
      </c>
      <c r="AW71" s="16">
        <f>IF(OR(Topraklar!$J$49="Evet",AND(Topraklar!$L$49&lt;&gt;"Evet",Topraklar!$K$49&lt;&gt;Bitkiler!$C$70)),0,MAX(0,1-(Ayarlar!$B$2*ABS(Bitkiler!$D$70-Topraklar!$D$49)+Ayarlar!$B$3*ABS(Bitkiler!$E$70-Topraklar!$E$49)+Ayarlar!$B$4*ABS(Bitkiler!$F$70-Topraklar!$F$49)+Ayarlar!$B$5*ABS(Bitkiler!$G$70-Topraklar!$G$49)+Ayarlar!$B$6*IF(Bitkiler!$H$70=Topraklar!$H$49,0,1))/Ayarlar!$B$7)+IF(Topraklar!$K$49=Bitkiler!$C$70,0.002,IF(Topraklar!$L$49="Evet",0.001,0)))</f>
        <v/>
      </c>
      <c r="AX71" s="16">
        <f>IF(OR(Topraklar!$J$50="Evet",AND(Topraklar!$L$50&lt;&gt;"Evet",Topraklar!$K$50&lt;&gt;Bitkiler!$C$70)),0,MAX(0,1-(Ayarlar!$B$2*ABS(Bitkiler!$D$70-Topraklar!$D$50)+Ayarlar!$B$3*ABS(Bitkiler!$E$70-Topraklar!$E$50)+Ayarlar!$B$4*ABS(Bitkiler!$F$70-Topraklar!$F$50)+Ayarlar!$B$5*ABS(Bitkiler!$G$70-Topraklar!$G$50)+Ayarlar!$B$6*IF(Bitkiler!$H$70=Topraklar!$H$50,0,1))/Ayarlar!$B$7)+IF(Topraklar!$K$50=Bitkiler!$C$70,0.002,IF(Topraklar!$L$50="Evet",0.001,0)))</f>
        <v/>
      </c>
      <c r="AY71" s="16">
        <f>IF(OR(Topraklar!$J$51="Evet",AND(Topraklar!$L$51&lt;&gt;"Evet",Topraklar!$K$51&lt;&gt;Bitkiler!$C$70)),0,MAX(0,1-(Ayarlar!$B$2*ABS(Bitkiler!$D$70-Topraklar!$D$51)+Ayarlar!$B$3*ABS(Bitkiler!$E$70-Topraklar!$E$51)+Ayarlar!$B$4*ABS(Bitkiler!$F$70-Topraklar!$F$51)+Ayarlar!$B$5*ABS(Bitkiler!$G$70-Topraklar!$G$51)+Ayarlar!$B$6*IF(Bitkiler!$H$70=Topraklar!$H$51,0,1))/Ayarlar!$B$7)+IF(Topraklar!$K$51=Bitkiler!$C$70,0.002,IF(Topraklar!$L$51="Evet",0.001,0)))</f>
        <v/>
      </c>
    </row>
    <row r="72">
      <c r="A72" s="15">
        <f>Bitkiler!A71</f>
        <v/>
      </c>
      <c r="B72" s="16">
        <f>IF(OR(Topraklar!$J$2="Evet",AND(Topraklar!$L$2&lt;&gt;"Evet",Topraklar!$K$2&lt;&gt;Bitkiler!$C$71)),0,MAX(0,1-(Ayarlar!$B$2*ABS(Bitkiler!$D$71-Topraklar!$D$2)+Ayarlar!$B$3*ABS(Bitkiler!$E$71-Topraklar!$E$2)+Ayarlar!$B$4*ABS(Bitkiler!$F$71-Topraklar!$F$2)+Ayarlar!$B$5*ABS(Bitkiler!$G$71-Topraklar!$G$2)+Ayarlar!$B$6*IF(Bitkiler!$H$71=Topraklar!$H$2,0,1))/Ayarlar!$B$7)+IF(Topraklar!$K$2=Bitkiler!$C$71,0.002,IF(Topraklar!$L$2="Evet",0.001,0)))</f>
        <v/>
      </c>
      <c r="C72" s="16">
        <f>IF(OR(Topraklar!$J$3="Evet",AND(Topraklar!$L$3&lt;&gt;"Evet",Topraklar!$K$3&lt;&gt;Bitkiler!$C$71)),0,MAX(0,1-(Ayarlar!$B$2*ABS(Bitkiler!$D$71-Topraklar!$D$3)+Ayarlar!$B$3*ABS(Bitkiler!$E$71-Topraklar!$E$3)+Ayarlar!$B$4*ABS(Bitkiler!$F$71-Topraklar!$F$3)+Ayarlar!$B$5*ABS(Bitkiler!$G$71-Topraklar!$G$3)+Ayarlar!$B$6*IF(Bitkiler!$H$71=Topraklar!$H$3,0,1))/Ayarlar!$B$7)+IF(Topraklar!$K$3=Bitkiler!$C$71,0.002,IF(Topraklar!$L$3="Evet",0.001,0)))</f>
        <v/>
      </c>
      <c r="D72" s="16">
        <f>IF(OR(Topraklar!$J$4="Evet",AND(Topraklar!$L$4&lt;&gt;"Evet",Topraklar!$K$4&lt;&gt;Bitkiler!$C$71)),0,MAX(0,1-(Ayarlar!$B$2*ABS(Bitkiler!$D$71-Topraklar!$D$4)+Ayarlar!$B$3*ABS(Bitkiler!$E$71-Topraklar!$E$4)+Ayarlar!$B$4*ABS(Bitkiler!$F$71-Topraklar!$F$4)+Ayarlar!$B$5*ABS(Bitkiler!$G$71-Topraklar!$G$4)+Ayarlar!$B$6*IF(Bitkiler!$H$71=Topraklar!$H$4,0,1))/Ayarlar!$B$7)+IF(Topraklar!$K$4=Bitkiler!$C$71,0.002,IF(Topraklar!$L$4="Evet",0.001,0)))</f>
        <v/>
      </c>
      <c r="E72" s="16">
        <f>IF(OR(Topraklar!$J$5="Evet",AND(Topraklar!$L$5&lt;&gt;"Evet",Topraklar!$K$5&lt;&gt;Bitkiler!$C$71)),0,MAX(0,1-(Ayarlar!$B$2*ABS(Bitkiler!$D$71-Topraklar!$D$5)+Ayarlar!$B$3*ABS(Bitkiler!$E$71-Topraklar!$E$5)+Ayarlar!$B$4*ABS(Bitkiler!$F$71-Topraklar!$F$5)+Ayarlar!$B$5*ABS(Bitkiler!$G$71-Topraklar!$G$5)+Ayarlar!$B$6*IF(Bitkiler!$H$71=Topraklar!$H$5,0,1))/Ayarlar!$B$7)+IF(Topraklar!$K$5=Bitkiler!$C$71,0.002,IF(Topraklar!$L$5="Evet",0.001,0)))</f>
        <v/>
      </c>
      <c r="F72" s="16">
        <f>IF(OR(Topraklar!$J$6="Evet",AND(Topraklar!$L$6&lt;&gt;"Evet",Topraklar!$K$6&lt;&gt;Bitkiler!$C$71)),0,MAX(0,1-(Ayarlar!$B$2*ABS(Bitkiler!$D$71-Topraklar!$D$6)+Ayarlar!$B$3*ABS(Bitkiler!$E$71-Topraklar!$E$6)+Ayarlar!$B$4*ABS(Bitkiler!$F$71-Topraklar!$F$6)+Ayarlar!$B$5*ABS(Bitkiler!$G$71-Topraklar!$G$6)+Ayarlar!$B$6*IF(Bitkiler!$H$71=Topraklar!$H$6,0,1))/Ayarlar!$B$7)+IF(Topraklar!$K$6=Bitkiler!$C$71,0.002,IF(Topraklar!$L$6="Evet",0.001,0)))</f>
        <v/>
      </c>
      <c r="G72" s="16">
        <f>IF(OR(Topraklar!$J$7="Evet",AND(Topraklar!$L$7&lt;&gt;"Evet",Topraklar!$K$7&lt;&gt;Bitkiler!$C$71)),0,MAX(0,1-(Ayarlar!$B$2*ABS(Bitkiler!$D$71-Topraklar!$D$7)+Ayarlar!$B$3*ABS(Bitkiler!$E$71-Topraklar!$E$7)+Ayarlar!$B$4*ABS(Bitkiler!$F$71-Topraklar!$F$7)+Ayarlar!$B$5*ABS(Bitkiler!$G$71-Topraklar!$G$7)+Ayarlar!$B$6*IF(Bitkiler!$H$71=Topraklar!$H$7,0,1))/Ayarlar!$B$7)+IF(Topraklar!$K$7=Bitkiler!$C$71,0.002,IF(Topraklar!$L$7="Evet",0.001,0)))</f>
        <v/>
      </c>
      <c r="H72" s="16">
        <f>IF(OR(Topraklar!$J$8="Evet",AND(Topraklar!$L$8&lt;&gt;"Evet",Topraklar!$K$8&lt;&gt;Bitkiler!$C$71)),0,MAX(0,1-(Ayarlar!$B$2*ABS(Bitkiler!$D$71-Topraklar!$D$8)+Ayarlar!$B$3*ABS(Bitkiler!$E$71-Topraklar!$E$8)+Ayarlar!$B$4*ABS(Bitkiler!$F$71-Topraklar!$F$8)+Ayarlar!$B$5*ABS(Bitkiler!$G$71-Topraklar!$G$8)+Ayarlar!$B$6*IF(Bitkiler!$H$71=Topraklar!$H$8,0,1))/Ayarlar!$B$7)+IF(Topraklar!$K$8=Bitkiler!$C$71,0.002,IF(Topraklar!$L$8="Evet",0.001,0)))</f>
        <v/>
      </c>
      <c r="I72" s="16">
        <f>IF(OR(Topraklar!$J$9="Evet",AND(Topraklar!$L$9&lt;&gt;"Evet",Topraklar!$K$9&lt;&gt;Bitkiler!$C$71)),0,MAX(0,1-(Ayarlar!$B$2*ABS(Bitkiler!$D$71-Topraklar!$D$9)+Ayarlar!$B$3*ABS(Bitkiler!$E$71-Topraklar!$E$9)+Ayarlar!$B$4*ABS(Bitkiler!$F$71-Topraklar!$F$9)+Ayarlar!$B$5*ABS(Bitkiler!$G$71-Topraklar!$G$9)+Ayarlar!$B$6*IF(Bitkiler!$H$71=Topraklar!$H$9,0,1))/Ayarlar!$B$7)+IF(Topraklar!$K$9=Bitkiler!$C$71,0.002,IF(Topraklar!$L$9="Evet",0.001,0)))</f>
        <v/>
      </c>
      <c r="J72" s="16">
        <f>IF(OR(Topraklar!$J$10="Evet",AND(Topraklar!$L$10&lt;&gt;"Evet",Topraklar!$K$10&lt;&gt;Bitkiler!$C$71)),0,MAX(0,1-(Ayarlar!$B$2*ABS(Bitkiler!$D$71-Topraklar!$D$10)+Ayarlar!$B$3*ABS(Bitkiler!$E$71-Topraklar!$E$10)+Ayarlar!$B$4*ABS(Bitkiler!$F$71-Topraklar!$F$10)+Ayarlar!$B$5*ABS(Bitkiler!$G$71-Topraklar!$G$10)+Ayarlar!$B$6*IF(Bitkiler!$H$71=Topraklar!$H$10,0,1))/Ayarlar!$B$7)+IF(Topraklar!$K$10=Bitkiler!$C$71,0.002,IF(Topraklar!$L$10="Evet",0.001,0)))</f>
        <v/>
      </c>
      <c r="K72" s="16">
        <f>IF(OR(Topraklar!$J$11="Evet",AND(Topraklar!$L$11&lt;&gt;"Evet",Topraklar!$K$11&lt;&gt;Bitkiler!$C$71)),0,MAX(0,1-(Ayarlar!$B$2*ABS(Bitkiler!$D$71-Topraklar!$D$11)+Ayarlar!$B$3*ABS(Bitkiler!$E$71-Topraklar!$E$11)+Ayarlar!$B$4*ABS(Bitkiler!$F$71-Topraklar!$F$11)+Ayarlar!$B$5*ABS(Bitkiler!$G$71-Topraklar!$G$11)+Ayarlar!$B$6*IF(Bitkiler!$H$71=Topraklar!$H$11,0,1))/Ayarlar!$B$7)+IF(Topraklar!$K$11=Bitkiler!$C$71,0.002,IF(Topraklar!$L$11="Evet",0.001,0)))</f>
        <v/>
      </c>
      <c r="L72" s="16">
        <f>IF(OR(Topraklar!$J$12="Evet",AND(Topraklar!$L$12&lt;&gt;"Evet",Topraklar!$K$12&lt;&gt;Bitkiler!$C$71)),0,MAX(0,1-(Ayarlar!$B$2*ABS(Bitkiler!$D$71-Topraklar!$D$12)+Ayarlar!$B$3*ABS(Bitkiler!$E$71-Topraklar!$E$12)+Ayarlar!$B$4*ABS(Bitkiler!$F$71-Topraklar!$F$12)+Ayarlar!$B$5*ABS(Bitkiler!$G$71-Topraklar!$G$12)+Ayarlar!$B$6*IF(Bitkiler!$H$71=Topraklar!$H$12,0,1))/Ayarlar!$B$7)+IF(Topraklar!$K$12=Bitkiler!$C$71,0.002,IF(Topraklar!$L$12="Evet",0.001,0)))</f>
        <v/>
      </c>
      <c r="M72" s="16">
        <f>IF(OR(Topraklar!$J$13="Evet",AND(Topraklar!$L$13&lt;&gt;"Evet",Topraklar!$K$13&lt;&gt;Bitkiler!$C$71)),0,MAX(0,1-(Ayarlar!$B$2*ABS(Bitkiler!$D$71-Topraklar!$D$13)+Ayarlar!$B$3*ABS(Bitkiler!$E$71-Topraklar!$E$13)+Ayarlar!$B$4*ABS(Bitkiler!$F$71-Topraklar!$F$13)+Ayarlar!$B$5*ABS(Bitkiler!$G$71-Topraklar!$G$13)+Ayarlar!$B$6*IF(Bitkiler!$H$71=Topraklar!$H$13,0,1))/Ayarlar!$B$7)+IF(Topraklar!$K$13=Bitkiler!$C$71,0.002,IF(Topraklar!$L$13="Evet",0.001,0)))</f>
        <v/>
      </c>
      <c r="N72" s="16">
        <f>IF(OR(Topraklar!$J$14="Evet",AND(Topraklar!$L$14&lt;&gt;"Evet",Topraklar!$K$14&lt;&gt;Bitkiler!$C$71)),0,MAX(0,1-(Ayarlar!$B$2*ABS(Bitkiler!$D$71-Topraklar!$D$14)+Ayarlar!$B$3*ABS(Bitkiler!$E$71-Topraklar!$E$14)+Ayarlar!$B$4*ABS(Bitkiler!$F$71-Topraklar!$F$14)+Ayarlar!$B$5*ABS(Bitkiler!$G$71-Topraklar!$G$14)+Ayarlar!$B$6*IF(Bitkiler!$H$71=Topraklar!$H$14,0,1))/Ayarlar!$B$7)+IF(Topraklar!$K$14=Bitkiler!$C$71,0.002,IF(Topraklar!$L$14="Evet",0.001,0)))</f>
        <v/>
      </c>
      <c r="O72" s="16">
        <f>IF(OR(Topraklar!$J$15="Evet",AND(Topraklar!$L$15&lt;&gt;"Evet",Topraklar!$K$15&lt;&gt;Bitkiler!$C$71)),0,MAX(0,1-(Ayarlar!$B$2*ABS(Bitkiler!$D$71-Topraklar!$D$15)+Ayarlar!$B$3*ABS(Bitkiler!$E$71-Topraklar!$E$15)+Ayarlar!$B$4*ABS(Bitkiler!$F$71-Topraklar!$F$15)+Ayarlar!$B$5*ABS(Bitkiler!$G$71-Topraklar!$G$15)+Ayarlar!$B$6*IF(Bitkiler!$H$71=Topraklar!$H$15,0,1))/Ayarlar!$B$7)+IF(Topraklar!$K$15=Bitkiler!$C$71,0.002,IF(Topraklar!$L$15="Evet",0.001,0)))</f>
        <v/>
      </c>
      <c r="P72" s="16">
        <f>IF(OR(Topraklar!$J$16="Evet",AND(Topraklar!$L$16&lt;&gt;"Evet",Topraklar!$K$16&lt;&gt;Bitkiler!$C$71)),0,MAX(0,1-(Ayarlar!$B$2*ABS(Bitkiler!$D$71-Topraklar!$D$16)+Ayarlar!$B$3*ABS(Bitkiler!$E$71-Topraklar!$E$16)+Ayarlar!$B$4*ABS(Bitkiler!$F$71-Topraklar!$F$16)+Ayarlar!$B$5*ABS(Bitkiler!$G$71-Topraklar!$G$16)+Ayarlar!$B$6*IF(Bitkiler!$H$71=Topraklar!$H$16,0,1))/Ayarlar!$B$7)+IF(Topraklar!$K$16=Bitkiler!$C$71,0.002,IF(Topraklar!$L$16="Evet",0.001,0)))</f>
        <v/>
      </c>
      <c r="Q72" s="16">
        <f>IF(OR(Topraklar!$J$17="Evet",AND(Topraklar!$L$17&lt;&gt;"Evet",Topraklar!$K$17&lt;&gt;Bitkiler!$C$71)),0,MAX(0,1-(Ayarlar!$B$2*ABS(Bitkiler!$D$71-Topraklar!$D$17)+Ayarlar!$B$3*ABS(Bitkiler!$E$71-Topraklar!$E$17)+Ayarlar!$B$4*ABS(Bitkiler!$F$71-Topraklar!$F$17)+Ayarlar!$B$5*ABS(Bitkiler!$G$71-Topraklar!$G$17)+Ayarlar!$B$6*IF(Bitkiler!$H$71=Topraklar!$H$17,0,1))/Ayarlar!$B$7)+IF(Topraklar!$K$17=Bitkiler!$C$71,0.002,IF(Topraklar!$L$17="Evet",0.001,0)))</f>
        <v/>
      </c>
      <c r="R72" s="16">
        <f>IF(OR(Topraklar!$J$18="Evet",AND(Topraklar!$L$18&lt;&gt;"Evet",Topraklar!$K$18&lt;&gt;Bitkiler!$C$71)),0,MAX(0,1-(Ayarlar!$B$2*ABS(Bitkiler!$D$71-Topraklar!$D$18)+Ayarlar!$B$3*ABS(Bitkiler!$E$71-Topraklar!$E$18)+Ayarlar!$B$4*ABS(Bitkiler!$F$71-Topraklar!$F$18)+Ayarlar!$B$5*ABS(Bitkiler!$G$71-Topraklar!$G$18)+Ayarlar!$B$6*IF(Bitkiler!$H$71=Topraklar!$H$18,0,1))/Ayarlar!$B$7)+IF(Topraklar!$K$18=Bitkiler!$C$71,0.002,IF(Topraklar!$L$18="Evet",0.001,0)))</f>
        <v/>
      </c>
      <c r="S72" s="16">
        <f>IF(OR(Topraklar!$J$19="Evet",AND(Topraklar!$L$19&lt;&gt;"Evet",Topraklar!$K$19&lt;&gt;Bitkiler!$C$71)),0,MAX(0,1-(Ayarlar!$B$2*ABS(Bitkiler!$D$71-Topraklar!$D$19)+Ayarlar!$B$3*ABS(Bitkiler!$E$71-Topraklar!$E$19)+Ayarlar!$B$4*ABS(Bitkiler!$F$71-Topraklar!$F$19)+Ayarlar!$B$5*ABS(Bitkiler!$G$71-Topraklar!$G$19)+Ayarlar!$B$6*IF(Bitkiler!$H$71=Topraklar!$H$19,0,1))/Ayarlar!$B$7)+IF(Topraklar!$K$19=Bitkiler!$C$71,0.002,IF(Topraklar!$L$19="Evet",0.001,0)))</f>
        <v/>
      </c>
      <c r="T72" s="16">
        <f>IF(OR(Topraklar!$J$20="Evet",AND(Topraklar!$L$20&lt;&gt;"Evet",Topraklar!$K$20&lt;&gt;Bitkiler!$C$71)),0,MAX(0,1-(Ayarlar!$B$2*ABS(Bitkiler!$D$71-Topraklar!$D$20)+Ayarlar!$B$3*ABS(Bitkiler!$E$71-Topraklar!$E$20)+Ayarlar!$B$4*ABS(Bitkiler!$F$71-Topraklar!$F$20)+Ayarlar!$B$5*ABS(Bitkiler!$G$71-Topraklar!$G$20)+Ayarlar!$B$6*IF(Bitkiler!$H$71=Topraklar!$H$20,0,1))/Ayarlar!$B$7)+IF(Topraklar!$K$20=Bitkiler!$C$71,0.002,IF(Topraklar!$L$20="Evet",0.001,0)))</f>
        <v/>
      </c>
      <c r="U72" s="16">
        <f>IF(OR(Topraklar!$J$21="Evet",AND(Topraklar!$L$21&lt;&gt;"Evet",Topraklar!$K$21&lt;&gt;Bitkiler!$C$71)),0,MAX(0,1-(Ayarlar!$B$2*ABS(Bitkiler!$D$71-Topraklar!$D$21)+Ayarlar!$B$3*ABS(Bitkiler!$E$71-Topraklar!$E$21)+Ayarlar!$B$4*ABS(Bitkiler!$F$71-Topraklar!$F$21)+Ayarlar!$B$5*ABS(Bitkiler!$G$71-Topraklar!$G$21)+Ayarlar!$B$6*IF(Bitkiler!$H$71=Topraklar!$H$21,0,1))/Ayarlar!$B$7)+IF(Topraklar!$K$21=Bitkiler!$C$71,0.002,IF(Topraklar!$L$21="Evet",0.001,0)))</f>
        <v/>
      </c>
      <c r="V72" s="16">
        <f>IF(OR(Topraklar!$J$22="Evet",AND(Topraklar!$L$22&lt;&gt;"Evet",Topraklar!$K$22&lt;&gt;Bitkiler!$C$71)),0,MAX(0,1-(Ayarlar!$B$2*ABS(Bitkiler!$D$71-Topraklar!$D$22)+Ayarlar!$B$3*ABS(Bitkiler!$E$71-Topraklar!$E$22)+Ayarlar!$B$4*ABS(Bitkiler!$F$71-Topraklar!$F$22)+Ayarlar!$B$5*ABS(Bitkiler!$G$71-Topraklar!$G$22)+Ayarlar!$B$6*IF(Bitkiler!$H$71=Topraklar!$H$22,0,1))/Ayarlar!$B$7)+IF(Topraklar!$K$22=Bitkiler!$C$71,0.002,IF(Topraklar!$L$22="Evet",0.001,0)))</f>
        <v/>
      </c>
      <c r="W72" s="16">
        <f>IF(OR(Topraklar!$J$23="Evet",AND(Topraklar!$L$23&lt;&gt;"Evet",Topraklar!$K$23&lt;&gt;Bitkiler!$C$71)),0,MAX(0,1-(Ayarlar!$B$2*ABS(Bitkiler!$D$71-Topraklar!$D$23)+Ayarlar!$B$3*ABS(Bitkiler!$E$71-Topraklar!$E$23)+Ayarlar!$B$4*ABS(Bitkiler!$F$71-Topraklar!$F$23)+Ayarlar!$B$5*ABS(Bitkiler!$G$71-Topraklar!$G$23)+Ayarlar!$B$6*IF(Bitkiler!$H$71=Topraklar!$H$23,0,1))/Ayarlar!$B$7)+IF(Topraklar!$K$23=Bitkiler!$C$71,0.002,IF(Topraklar!$L$23="Evet",0.001,0)))</f>
        <v/>
      </c>
      <c r="X72" s="16">
        <f>IF(OR(Topraklar!$J$24="Evet",AND(Topraklar!$L$24&lt;&gt;"Evet",Topraklar!$K$24&lt;&gt;Bitkiler!$C$71)),0,MAX(0,1-(Ayarlar!$B$2*ABS(Bitkiler!$D$71-Topraklar!$D$24)+Ayarlar!$B$3*ABS(Bitkiler!$E$71-Topraklar!$E$24)+Ayarlar!$B$4*ABS(Bitkiler!$F$71-Topraklar!$F$24)+Ayarlar!$B$5*ABS(Bitkiler!$G$71-Topraklar!$G$24)+Ayarlar!$B$6*IF(Bitkiler!$H$71=Topraklar!$H$24,0,1))/Ayarlar!$B$7)+IF(Topraklar!$K$24=Bitkiler!$C$71,0.002,IF(Topraklar!$L$24="Evet",0.001,0)))</f>
        <v/>
      </c>
      <c r="Y72" s="16">
        <f>IF(OR(Topraklar!$J$25="Evet",AND(Topraklar!$L$25&lt;&gt;"Evet",Topraklar!$K$25&lt;&gt;Bitkiler!$C$71)),0,MAX(0,1-(Ayarlar!$B$2*ABS(Bitkiler!$D$71-Topraklar!$D$25)+Ayarlar!$B$3*ABS(Bitkiler!$E$71-Topraklar!$E$25)+Ayarlar!$B$4*ABS(Bitkiler!$F$71-Topraklar!$F$25)+Ayarlar!$B$5*ABS(Bitkiler!$G$71-Topraklar!$G$25)+Ayarlar!$B$6*IF(Bitkiler!$H$71=Topraklar!$H$25,0,1))/Ayarlar!$B$7)+IF(Topraklar!$K$25=Bitkiler!$C$71,0.002,IF(Topraklar!$L$25="Evet",0.001,0)))</f>
        <v/>
      </c>
      <c r="Z72" s="16">
        <f>IF(OR(Topraklar!$J$26="Evet",AND(Topraklar!$L$26&lt;&gt;"Evet",Topraklar!$K$26&lt;&gt;Bitkiler!$C$71)),0,MAX(0,1-(Ayarlar!$B$2*ABS(Bitkiler!$D$71-Topraklar!$D$26)+Ayarlar!$B$3*ABS(Bitkiler!$E$71-Topraklar!$E$26)+Ayarlar!$B$4*ABS(Bitkiler!$F$71-Topraklar!$F$26)+Ayarlar!$B$5*ABS(Bitkiler!$G$71-Topraklar!$G$26)+Ayarlar!$B$6*IF(Bitkiler!$H$71=Topraklar!$H$26,0,1))/Ayarlar!$B$7)+IF(Topraklar!$K$26=Bitkiler!$C$71,0.002,IF(Topraklar!$L$26="Evet",0.001,0)))</f>
        <v/>
      </c>
      <c r="AA72" s="16">
        <f>IF(OR(Topraklar!$J$27="Evet",AND(Topraklar!$L$27&lt;&gt;"Evet",Topraklar!$K$27&lt;&gt;Bitkiler!$C$71)),0,MAX(0,1-(Ayarlar!$B$2*ABS(Bitkiler!$D$71-Topraklar!$D$27)+Ayarlar!$B$3*ABS(Bitkiler!$E$71-Topraklar!$E$27)+Ayarlar!$B$4*ABS(Bitkiler!$F$71-Topraklar!$F$27)+Ayarlar!$B$5*ABS(Bitkiler!$G$71-Topraklar!$G$27)+Ayarlar!$B$6*IF(Bitkiler!$H$71=Topraklar!$H$27,0,1))/Ayarlar!$B$7)+IF(Topraklar!$K$27=Bitkiler!$C$71,0.002,IF(Topraklar!$L$27="Evet",0.001,0)))</f>
        <v/>
      </c>
      <c r="AB72" s="16">
        <f>IF(OR(Topraklar!$J$28="Evet",AND(Topraklar!$L$28&lt;&gt;"Evet",Topraklar!$K$28&lt;&gt;Bitkiler!$C$71)),0,MAX(0,1-(Ayarlar!$B$2*ABS(Bitkiler!$D$71-Topraklar!$D$28)+Ayarlar!$B$3*ABS(Bitkiler!$E$71-Topraklar!$E$28)+Ayarlar!$B$4*ABS(Bitkiler!$F$71-Topraklar!$F$28)+Ayarlar!$B$5*ABS(Bitkiler!$G$71-Topraklar!$G$28)+Ayarlar!$B$6*IF(Bitkiler!$H$71=Topraklar!$H$28,0,1))/Ayarlar!$B$7)+IF(Topraklar!$K$28=Bitkiler!$C$71,0.002,IF(Topraklar!$L$28="Evet",0.001,0)))</f>
        <v/>
      </c>
      <c r="AC72" s="16">
        <f>IF(OR(Topraklar!$J$29="Evet",AND(Topraklar!$L$29&lt;&gt;"Evet",Topraklar!$K$29&lt;&gt;Bitkiler!$C$71)),0,MAX(0,1-(Ayarlar!$B$2*ABS(Bitkiler!$D$71-Topraklar!$D$29)+Ayarlar!$B$3*ABS(Bitkiler!$E$71-Topraklar!$E$29)+Ayarlar!$B$4*ABS(Bitkiler!$F$71-Topraklar!$F$29)+Ayarlar!$B$5*ABS(Bitkiler!$G$71-Topraklar!$G$29)+Ayarlar!$B$6*IF(Bitkiler!$H$71=Topraklar!$H$29,0,1))/Ayarlar!$B$7)+IF(Topraklar!$K$29=Bitkiler!$C$71,0.002,IF(Topraklar!$L$29="Evet",0.001,0)))</f>
        <v/>
      </c>
      <c r="AD72" s="16">
        <f>IF(OR(Topraklar!$J$30="Evet",AND(Topraklar!$L$30&lt;&gt;"Evet",Topraklar!$K$30&lt;&gt;Bitkiler!$C$71)),0,MAX(0,1-(Ayarlar!$B$2*ABS(Bitkiler!$D$71-Topraklar!$D$30)+Ayarlar!$B$3*ABS(Bitkiler!$E$71-Topraklar!$E$30)+Ayarlar!$B$4*ABS(Bitkiler!$F$71-Topraklar!$F$30)+Ayarlar!$B$5*ABS(Bitkiler!$G$71-Topraklar!$G$30)+Ayarlar!$B$6*IF(Bitkiler!$H$71=Topraklar!$H$30,0,1))/Ayarlar!$B$7)+IF(Topraklar!$K$30=Bitkiler!$C$71,0.002,IF(Topraklar!$L$30="Evet",0.001,0)))</f>
        <v/>
      </c>
      <c r="AE72" s="16">
        <f>IF(OR(Topraklar!$J$31="Evet",AND(Topraklar!$L$31&lt;&gt;"Evet",Topraklar!$K$31&lt;&gt;Bitkiler!$C$71)),0,MAX(0,1-(Ayarlar!$B$2*ABS(Bitkiler!$D$71-Topraklar!$D$31)+Ayarlar!$B$3*ABS(Bitkiler!$E$71-Topraklar!$E$31)+Ayarlar!$B$4*ABS(Bitkiler!$F$71-Topraklar!$F$31)+Ayarlar!$B$5*ABS(Bitkiler!$G$71-Topraklar!$G$31)+Ayarlar!$B$6*IF(Bitkiler!$H$71=Topraklar!$H$31,0,1))/Ayarlar!$B$7)+IF(Topraklar!$K$31=Bitkiler!$C$71,0.002,IF(Topraklar!$L$31="Evet",0.001,0)))</f>
        <v/>
      </c>
      <c r="AF72" s="16">
        <f>IF(OR(Topraklar!$J$32="Evet",AND(Topraklar!$L$32&lt;&gt;"Evet",Topraklar!$K$32&lt;&gt;Bitkiler!$C$71)),0,MAX(0,1-(Ayarlar!$B$2*ABS(Bitkiler!$D$71-Topraklar!$D$32)+Ayarlar!$B$3*ABS(Bitkiler!$E$71-Topraklar!$E$32)+Ayarlar!$B$4*ABS(Bitkiler!$F$71-Topraklar!$F$32)+Ayarlar!$B$5*ABS(Bitkiler!$G$71-Topraklar!$G$32)+Ayarlar!$B$6*IF(Bitkiler!$H$71=Topraklar!$H$32,0,1))/Ayarlar!$B$7)+IF(Topraklar!$K$32=Bitkiler!$C$71,0.002,IF(Topraklar!$L$32="Evet",0.001,0)))</f>
        <v/>
      </c>
      <c r="AG72" s="16">
        <f>IF(OR(Topraklar!$J$33="Evet",AND(Topraklar!$L$33&lt;&gt;"Evet",Topraklar!$K$33&lt;&gt;Bitkiler!$C$71)),0,MAX(0,1-(Ayarlar!$B$2*ABS(Bitkiler!$D$71-Topraklar!$D$33)+Ayarlar!$B$3*ABS(Bitkiler!$E$71-Topraklar!$E$33)+Ayarlar!$B$4*ABS(Bitkiler!$F$71-Topraklar!$F$33)+Ayarlar!$B$5*ABS(Bitkiler!$G$71-Topraklar!$G$33)+Ayarlar!$B$6*IF(Bitkiler!$H$71=Topraklar!$H$33,0,1))/Ayarlar!$B$7)+IF(Topraklar!$K$33=Bitkiler!$C$71,0.002,IF(Topraklar!$L$33="Evet",0.001,0)))</f>
        <v/>
      </c>
      <c r="AH72" s="16">
        <f>IF(OR(Topraklar!$J$34="Evet",AND(Topraklar!$L$34&lt;&gt;"Evet",Topraklar!$K$34&lt;&gt;Bitkiler!$C$71)),0,MAX(0,1-(Ayarlar!$B$2*ABS(Bitkiler!$D$71-Topraklar!$D$34)+Ayarlar!$B$3*ABS(Bitkiler!$E$71-Topraklar!$E$34)+Ayarlar!$B$4*ABS(Bitkiler!$F$71-Topraklar!$F$34)+Ayarlar!$B$5*ABS(Bitkiler!$G$71-Topraklar!$G$34)+Ayarlar!$B$6*IF(Bitkiler!$H$71=Topraklar!$H$34,0,1))/Ayarlar!$B$7)+IF(Topraklar!$K$34=Bitkiler!$C$71,0.002,IF(Topraklar!$L$34="Evet",0.001,0)))</f>
        <v/>
      </c>
      <c r="AI72" s="16">
        <f>IF(OR(Topraklar!$J$35="Evet",AND(Topraklar!$L$35&lt;&gt;"Evet",Topraklar!$K$35&lt;&gt;Bitkiler!$C$71)),0,MAX(0,1-(Ayarlar!$B$2*ABS(Bitkiler!$D$71-Topraklar!$D$35)+Ayarlar!$B$3*ABS(Bitkiler!$E$71-Topraklar!$E$35)+Ayarlar!$B$4*ABS(Bitkiler!$F$71-Topraklar!$F$35)+Ayarlar!$B$5*ABS(Bitkiler!$G$71-Topraklar!$G$35)+Ayarlar!$B$6*IF(Bitkiler!$H$71=Topraklar!$H$35,0,1))/Ayarlar!$B$7)+IF(Topraklar!$K$35=Bitkiler!$C$71,0.002,IF(Topraklar!$L$35="Evet",0.001,0)))</f>
        <v/>
      </c>
      <c r="AJ72" s="16">
        <f>IF(OR(Topraklar!$J$36="Evet",AND(Topraklar!$L$36&lt;&gt;"Evet",Topraklar!$K$36&lt;&gt;Bitkiler!$C$71)),0,MAX(0,1-(Ayarlar!$B$2*ABS(Bitkiler!$D$71-Topraklar!$D$36)+Ayarlar!$B$3*ABS(Bitkiler!$E$71-Topraklar!$E$36)+Ayarlar!$B$4*ABS(Bitkiler!$F$71-Topraklar!$F$36)+Ayarlar!$B$5*ABS(Bitkiler!$G$71-Topraklar!$G$36)+Ayarlar!$B$6*IF(Bitkiler!$H$71=Topraklar!$H$36,0,1))/Ayarlar!$B$7)+IF(Topraklar!$K$36=Bitkiler!$C$71,0.002,IF(Topraklar!$L$36="Evet",0.001,0)))</f>
        <v/>
      </c>
      <c r="AK72" s="16">
        <f>IF(OR(Topraklar!$J$37="Evet",AND(Topraklar!$L$37&lt;&gt;"Evet",Topraklar!$K$37&lt;&gt;Bitkiler!$C$71)),0,MAX(0,1-(Ayarlar!$B$2*ABS(Bitkiler!$D$71-Topraklar!$D$37)+Ayarlar!$B$3*ABS(Bitkiler!$E$71-Topraklar!$E$37)+Ayarlar!$B$4*ABS(Bitkiler!$F$71-Topraklar!$F$37)+Ayarlar!$B$5*ABS(Bitkiler!$G$71-Topraklar!$G$37)+Ayarlar!$B$6*IF(Bitkiler!$H$71=Topraklar!$H$37,0,1))/Ayarlar!$B$7)+IF(Topraklar!$K$37=Bitkiler!$C$71,0.002,IF(Topraklar!$L$37="Evet",0.001,0)))</f>
        <v/>
      </c>
      <c r="AL72" s="16">
        <f>IF(OR(Topraklar!$J$38="Evet",AND(Topraklar!$L$38&lt;&gt;"Evet",Topraklar!$K$38&lt;&gt;Bitkiler!$C$71)),0,MAX(0,1-(Ayarlar!$B$2*ABS(Bitkiler!$D$71-Topraklar!$D$38)+Ayarlar!$B$3*ABS(Bitkiler!$E$71-Topraklar!$E$38)+Ayarlar!$B$4*ABS(Bitkiler!$F$71-Topraklar!$F$38)+Ayarlar!$B$5*ABS(Bitkiler!$G$71-Topraklar!$G$38)+Ayarlar!$B$6*IF(Bitkiler!$H$71=Topraklar!$H$38,0,1))/Ayarlar!$B$7)+IF(Topraklar!$K$38=Bitkiler!$C$71,0.002,IF(Topraklar!$L$38="Evet",0.001,0)))</f>
        <v/>
      </c>
      <c r="AM72" s="16">
        <f>IF(OR(Topraklar!$J$39="Evet",AND(Topraklar!$L$39&lt;&gt;"Evet",Topraklar!$K$39&lt;&gt;Bitkiler!$C$71)),0,MAX(0,1-(Ayarlar!$B$2*ABS(Bitkiler!$D$71-Topraklar!$D$39)+Ayarlar!$B$3*ABS(Bitkiler!$E$71-Topraklar!$E$39)+Ayarlar!$B$4*ABS(Bitkiler!$F$71-Topraklar!$F$39)+Ayarlar!$B$5*ABS(Bitkiler!$G$71-Topraklar!$G$39)+Ayarlar!$B$6*IF(Bitkiler!$H$71=Topraklar!$H$39,0,1))/Ayarlar!$B$7)+IF(Topraklar!$K$39=Bitkiler!$C$71,0.002,IF(Topraklar!$L$39="Evet",0.001,0)))</f>
        <v/>
      </c>
      <c r="AN72" s="16">
        <f>IF(OR(Topraklar!$J$40="Evet",AND(Topraklar!$L$40&lt;&gt;"Evet",Topraklar!$K$40&lt;&gt;Bitkiler!$C$71)),0,MAX(0,1-(Ayarlar!$B$2*ABS(Bitkiler!$D$71-Topraklar!$D$40)+Ayarlar!$B$3*ABS(Bitkiler!$E$71-Topraklar!$E$40)+Ayarlar!$B$4*ABS(Bitkiler!$F$71-Topraklar!$F$40)+Ayarlar!$B$5*ABS(Bitkiler!$G$71-Topraklar!$G$40)+Ayarlar!$B$6*IF(Bitkiler!$H$71=Topraklar!$H$40,0,1))/Ayarlar!$B$7)+IF(Topraklar!$K$40=Bitkiler!$C$71,0.002,IF(Topraklar!$L$40="Evet",0.001,0)))</f>
        <v/>
      </c>
      <c r="AO72" s="16">
        <f>IF(OR(Topraklar!$J$41="Evet",AND(Topraklar!$L$41&lt;&gt;"Evet",Topraklar!$K$41&lt;&gt;Bitkiler!$C$71)),0,MAX(0,1-(Ayarlar!$B$2*ABS(Bitkiler!$D$71-Topraklar!$D$41)+Ayarlar!$B$3*ABS(Bitkiler!$E$71-Topraklar!$E$41)+Ayarlar!$B$4*ABS(Bitkiler!$F$71-Topraklar!$F$41)+Ayarlar!$B$5*ABS(Bitkiler!$G$71-Topraklar!$G$41)+Ayarlar!$B$6*IF(Bitkiler!$H$71=Topraklar!$H$41,0,1))/Ayarlar!$B$7)+IF(Topraklar!$K$41=Bitkiler!$C$71,0.002,IF(Topraklar!$L$41="Evet",0.001,0)))</f>
        <v/>
      </c>
      <c r="AP72" s="16">
        <f>IF(OR(Topraklar!$J$42="Evet",AND(Topraklar!$L$42&lt;&gt;"Evet",Topraklar!$K$42&lt;&gt;Bitkiler!$C$71)),0,MAX(0,1-(Ayarlar!$B$2*ABS(Bitkiler!$D$71-Topraklar!$D$42)+Ayarlar!$B$3*ABS(Bitkiler!$E$71-Topraklar!$E$42)+Ayarlar!$B$4*ABS(Bitkiler!$F$71-Topraklar!$F$42)+Ayarlar!$B$5*ABS(Bitkiler!$G$71-Topraklar!$G$42)+Ayarlar!$B$6*IF(Bitkiler!$H$71=Topraklar!$H$42,0,1))/Ayarlar!$B$7)+IF(Topraklar!$K$42=Bitkiler!$C$71,0.002,IF(Topraklar!$L$42="Evet",0.001,0)))</f>
        <v/>
      </c>
      <c r="AQ72" s="16">
        <f>IF(OR(Topraklar!$J$43="Evet",AND(Topraklar!$L$43&lt;&gt;"Evet",Topraklar!$K$43&lt;&gt;Bitkiler!$C$71)),0,MAX(0,1-(Ayarlar!$B$2*ABS(Bitkiler!$D$71-Topraklar!$D$43)+Ayarlar!$B$3*ABS(Bitkiler!$E$71-Topraklar!$E$43)+Ayarlar!$B$4*ABS(Bitkiler!$F$71-Topraklar!$F$43)+Ayarlar!$B$5*ABS(Bitkiler!$G$71-Topraklar!$G$43)+Ayarlar!$B$6*IF(Bitkiler!$H$71=Topraklar!$H$43,0,1))/Ayarlar!$B$7)+IF(Topraklar!$K$43=Bitkiler!$C$71,0.002,IF(Topraklar!$L$43="Evet",0.001,0)))</f>
        <v/>
      </c>
      <c r="AR72" s="16">
        <f>IF(OR(Topraklar!$J$44="Evet",AND(Topraklar!$L$44&lt;&gt;"Evet",Topraklar!$K$44&lt;&gt;Bitkiler!$C$71)),0,MAX(0,1-(Ayarlar!$B$2*ABS(Bitkiler!$D$71-Topraklar!$D$44)+Ayarlar!$B$3*ABS(Bitkiler!$E$71-Topraklar!$E$44)+Ayarlar!$B$4*ABS(Bitkiler!$F$71-Topraklar!$F$44)+Ayarlar!$B$5*ABS(Bitkiler!$G$71-Topraklar!$G$44)+Ayarlar!$B$6*IF(Bitkiler!$H$71=Topraklar!$H$44,0,1))/Ayarlar!$B$7)+IF(Topraklar!$K$44=Bitkiler!$C$71,0.002,IF(Topraklar!$L$44="Evet",0.001,0)))</f>
        <v/>
      </c>
      <c r="AS72" s="16">
        <f>IF(OR(Topraklar!$J$45="Evet",AND(Topraklar!$L$45&lt;&gt;"Evet",Topraklar!$K$45&lt;&gt;Bitkiler!$C$71)),0,MAX(0,1-(Ayarlar!$B$2*ABS(Bitkiler!$D$71-Topraklar!$D$45)+Ayarlar!$B$3*ABS(Bitkiler!$E$71-Topraklar!$E$45)+Ayarlar!$B$4*ABS(Bitkiler!$F$71-Topraklar!$F$45)+Ayarlar!$B$5*ABS(Bitkiler!$G$71-Topraklar!$G$45)+Ayarlar!$B$6*IF(Bitkiler!$H$71=Topraklar!$H$45,0,1))/Ayarlar!$B$7)+IF(Topraklar!$K$45=Bitkiler!$C$71,0.002,IF(Topraklar!$L$45="Evet",0.001,0)))</f>
        <v/>
      </c>
      <c r="AT72" s="16">
        <f>IF(OR(Topraklar!$J$46="Evet",AND(Topraklar!$L$46&lt;&gt;"Evet",Topraklar!$K$46&lt;&gt;Bitkiler!$C$71)),0,MAX(0,1-(Ayarlar!$B$2*ABS(Bitkiler!$D$71-Topraklar!$D$46)+Ayarlar!$B$3*ABS(Bitkiler!$E$71-Topraklar!$E$46)+Ayarlar!$B$4*ABS(Bitkiler!$F$71-Topraklar!$F$46)+Ayarlar!$B$5*ABS(Bitkiler!$G$71-Topraklar!$G$46)+Ayarlar!$B$6*IF(Bitkiler!$H$71=Topraklar!$H$46,0,1))/Ayarlar!$B$7)+IF(Topraklar!$K$46=Bitkiler!$C$71,0.002,IF(Topraklar!$L$46="Evet",0.001,0)))</f>
        <v/>
      </c>
      <c r="AU72" s="16">
        <f>IF(OR(Topraklar!$J$47="Evet",AND(Topraklar!$L$47&lt;&gt;"Evet",Topraklar!$K$47&lt;&gt;Bitkiler!$C$71)),0,MAX(0,1-(Ayarlar!$B$2*ABS(Bitkiler!$D$71-Topraklar!$D$47)+Ayarlar!$B$3*ABS(Bitkiler!$E$71-Topraklar!$E$47)+Ayarlar!$B$4*ABS(Bitkiler!$F$71-Topraklar!$F$47)+Ayarlar!$B$5*ABS(Bitkiler!$G$71-Topraklar!$G$47)+Ayarlar!$B$6*IF(Bitkiler!$H$71=Topraklar!$H$47,0,1))/Ayarlar!$B$7)+IF(Topraklar!$K$47=Bitkiler!$C$71,0.002,IF(Topraklar!$L$47="Evet",0.001,0)))</f>
        <v/>
      </c>
      <c r="AV72" s="16">
        <f>IF(OR(Topraklar!$J$48="Evet",AND(Topraklar!$L$48&lt;&gt;"Evet",Topraklar!$K$48&lt;&gt;Bitkiler!$C$71)),0,MAX(0,1-(Ayarlar!$B$2*ABS(Bitkiler!$D$71-Topraklar!$D$48)+Ayarlar!$B$3*ABS(Bitkiler!$E$71-Topraklar!$E$48)+Ayarlar!$B$4*ABS(Bitkiler!$F$71-Topraklar!$F$48)+Ayarlar!$B$5*ABS(Bitkiler!$G$71-Topraklar!$G$48)+Ayarlar!$B$6*IF(Bitkiler!$H$71=Topraklar!$H$48,0,1))/Ayarlar!$B$7)+IF(Topraklar!$K$48=Bitkiler!$C$71,0.002,IF(Topraklar!$L$48="Evet",0.001,0)))</f>
        <v/>
      </c>
      <c r="AW72" s="16">
        <f>IF(OR(Topraklar!$J$49="Evet",AND(Topraklar!$L$49&lt;&gt;"Evet",Topraklar!$K$49&lt;&gt;Bitkiler!$C$71)),0,MAX(0,1-(Ayarlar!$B$2*ABS(Bitkiler!$D$71-Topraklar!$D$49)+Ayarlar!$B$3*ABS(Bitkiler!$E$71-Topraklar!$E$49)+Ayarlar!$B$4*ABS(Bitkiler!$F$71-Topraklar!$F$49)+Ayarlar!$B$5*ABS(Bitkiler!$G$71-Topraklar!$G$49)+Ayarlar!$B$6*IF(Bitkiler!$H$71=Topraklar!$H$49,0,1))/Ayarlar!$B$7)+IF(Topraklar!$K$49=Bitkiler!$C$71,0.002,IF(Topraklar!$L$49="Evet",0.001,0)))</f>
        <v/>
      </c>
      <c r="AX72" s="16">
        <f>IF(OR(Topraklar!$J$50="Evet",AND(Topraklar!$L$50&lt;&gt;"Evet",Topraklar!$K$50&lt;&gt;Bitkiler!$C$71)),0,MAX(0,1-(Ayarlar!$B$2*ABS(Bitkiler!$D$71-Topraklar!$D$50)+Ayarlar!$B$3*ABS(Bitkiler!$E$71-Topraklar!$E$50)+Ayarlar!$B$4*ABS(Bitkiler!$F$71-Topraklar!$F$50)+Ayarlar!$B$5*ABS(Bitkiler!$G$71-Topraklar!$G$50)+Ayarlar!$B$6*IF(Bitkiler!$H$71=Topraklar!$H$50,0,1))/Ayarlar!$B$7)+IF(Topraklar!$K$50=Bitkiler!$C$71,0.002,IF(Topraklar!$L$50="Evet",0.001,0)))</f>
        <v/>
      </c>
      <c r="AY72" s="16">
        <f>IF(OR(Topraklar!$J$51="Evet",AND(Topraklar!$L$51&lt;&gt;"Evet",Topraklar!$K$51&lt;&gt;Bitkiler!$C$71)),0,MAX(0,1-(Ayarlar!$B$2*ABS(Bitkiler!$D$71-Topraklar!$D$51)+Ayarlar!$B$3*ABS(Bitkiler!$E$71-Topraklar!$E$51)+Ayarlar!$B$4*ABS(Bitkiler!$F$71-Topraklar!$F$51)+Ayarlar!$B$5*ABS(Bitkiler!$G$71-Topraklar!$G$51)+Ayarlar!$B$6*IF(Bitkiler!$H$71=Topraklar!$H$51,0,1))/Ayarlar!$B$7)+IF(Topraklar!$K$51=Bitkiler!$C$71,0.002,IF(Topraklar!$L$51="Evet",0.001,0)))</f>
        <v/>
      </c>
    </row>
    <row r="73">
      <c r="A73" s="15">
        <f>Bitkiler!A72</f>
        <v/>
      </c>
      <c r="B73" s="16">
        <f>IF(OR(Topraklar!$J$2="Evet",AND(Topraklar!$L$2&lt;&gt;"Evet",Topraklar!$K$2&lt;&gt;Bitkiler!$C$72)),0,MAX(0,1-(Ayarlar!$B$2*ABS(Bitkiler!$D$72-Topraklar!$D$2)+Ayarlar!$B$3*ABS(Bitkiler!$E$72-Topraklar!$E$2)+Ayarlar!$B$4*ABS(Bitkiler!$F$72-Topraklar!$F$2)+Ayarlar!$B$5*ABS(Bitkiler!$G$72-Topraklar!$G$2)+Ayarlar!$B$6*IF(Bitkiler!$H$72=Topraklar!$H$2,0,1))/Ayarlar!$B$7)+IF(Topraklar!$K$2=Bitkiler!$C$72,0.002,IF(Topraklar!$L$2="Evet",0.001,0)))</f>
        <v/>
      </c>
      <c r="C73" s="16">
        <f>IF(OR(Topraklar!$J$3="Evet",AND(Topraklar!$L$3&lt;&gt;"Evet",Topraklar!$K$3&lt;&gt;Bitkiler!$C$72)),0,MAX(0,1-(Ayarlar!$B$2*ABS(Bitkiler!$D$72-Topraklar!$D$3)+Ayarlar!$B$3*ABS(Bitkiler!$E$72-Topraklar!$E$3)+Ayarlar!$B$4*ABS(Bitkiler!$F$72-Topraklar!$F$3)+Ayarlar!$B$5*ABS(Bitkiler!$G$72-Topraklar!$G$3)+Ayarlar!$B$6*IF(Bitkiler!$H$72=Topraklar!$H$3,0,1))/Ayarlar!$B$7)+IF(Topraklar!$K$3=Bitkiler!$C$72,0.002,IF(Topraklar!$L$3="Evet",0.001,0)))</f>
        <v/>
      </c>
      <c r="D73" s="16">
        <f>IF(OR(Topraklar!$J$4="Evet",AND(Topraklar!$L$4&lt;&gt;"Evet",Topraklar!$K$4&lt;&gt;Bitkiler!$C$72)),0,MAX(0,1-(Ayarlar!$B$2*ABS(Bitkiler!$D$72-Topraklar!$D$4)+Ayarlar!$B$3*ABS(Bitkiler!$E$72-Topraklar!$E$4)+Ayarlar!$B$4*ABS(Bitkiler!$F$72-Topraklar!$F$4)+Ayarlar!$B$5*ABS(Bitkiler!$G$72-Topraklar!$G$4)+Ayarlar!$B$6*IF(Bitkiler!$H$72=Topraklar!$H$4,0,1))/Ayarlar!$B$7)+IF(Topraklar!$K$4=Bitkiler!$C$72,0.002,IF(Topraklar!$L$4="Evet",0.001,0)))</f>
        <v/>
      </c>
      <c r="E73" s="16">
        <f>IF(OR(Topraklar!$J$5="Evet",AND(Topraklar!$L$5&lt;&gt;"Evet",Topraklar!$K$5&lt;&gt;Bitkiler!$C$72)),0,MAX(0,1-(Ayarlar!$B$2*ABS(Bitkiler!$D$72-Topraklar!$D$5)+Ayarlar!$B$3*ABS(Bitkiler!$E$72-Topraklar!$E$5)+Ayarlar!$B$4*ABS(Bitkiler!$F$72-Topraklar!$F$5)+Ayarlar!$B$5*ABS(Bitkiler!$G$72-Topraklar!$G$5)+Ayarlar!$B$6*IF(Bitkiler!$H$72=Topraklar!$H$5,0,1))/Ayarlar!$B$7)+IF(Topraklar!$K$5=Bitkiler!$C$72,0.002,IF(Topraklar!$L$5="Evet",0.001,0)))</f>
        <v/>
      </c>
      <c r="F73" s="16">
        <f>IF(OR(Topraklar!$J$6="Evet",AND(Topraklar!$L$6&lt;&gt;"Evet",Topraklar!$K$6&lt;&gt;Bitkiler!$C$72)),0,MAX(0,1-(Ayarlar!$B$2*ABS(Bitkiler!$D$72-Topraklar!$D$6)+Ayarlar!$B$3*ABS(Bitkiler!$E$72-Topraklar!$E$6)+Ayarlar!$B$4*ABS(Bitkiler!$F$72-Topraklar!$F$6)+Ayarlar!$B$5*ABS(Bitkiler!$G$72-Topraklar!$G$6)+Ayarlar!$B$6*IF(Bitkiler!$H$72=Topraklar!$H$6,0,1))/Ayarlar!$B$7)+IF(Topraklar!$K$6=Bitkiler!$C$72,0.002,IF(Topraklar!$L$6="Evet",0.001,0)))</f>
        <v/>
      </c>
      <c r="G73" s="16">
        <f>IF(OR(Topraklar!$J$7="Evet",AND(Topraklar!$L$7&lt;&gt;"Evet",Topraklar!$K$7&lt;&gt;Bitkiler!$C$72)),0,MAX(0,1-(Ayarlar!$B$2*ABS(Bitkiler!$D$72-Topraklar!$D$7)+Ayarlar!$B$3*ABS(Bitkiler!$E$72-Topraklar!$E$7)+Ayarlar!$B$4*ABS(Bitkiler!$F$72-Topraklar!$F$7)+Ayarlar!$B$5*ABS(Bitkiler!$G$72-Topraklar!$G$7)+Ayarlar!$B$6*IF(Bitkiler!$H$72=Topraklar!$H$7,0,1))/Ayarlar!$B$7)+IF(Topraklar!$K$7=Bitkiler!$C$72,0.002,IF(Topraklar!$L$7="Evet",0.001,0)))</f>
        <v/>
      </c>
      <c r="H73" s="16">
        <f>IF(OR(Topraklar!$J$8="Evet",AND(Topraklar!$L$8&lt;&gt;"Evet",Topraklar!$K$8&lt;&gt;Bitkiler!$C$72)),0,MAX(0,1-(Ayarlar!$B$2*ABS(Bitkiler!$D$72-Topraklar!$D$8)+Ayarlar!$B$3*ABS(Bitkiler!$E$72-Topraklar!$E$8)+Ayarlar!$B$4*ABS(Bitkiler!$F$72-Topraklar!$F$8)+Ayarlar!$B$5*ABS(Bitkiler!$G$72-Topraklar!$G$8)+Ayarlar!$B$6*IF(Bitkiler!$H$72=Topraklar!$H$8,0,1))/Ayarlar!$B$7)+IF(Topraklar!$K$8=Bitkiler!$C$72,0.002,IF(Topraklar!$L$8="Evet",0.001,0)))</f>
        <v/>
      </c>
      <c r="I73" s="16">
        <f>IF(OR(Topraklar!$J$9="Evet",AND(Topraklar!$L$9&lt;&gt;"Evet",Topraklar!$K$9&lt;&gt;Bitkiler!$C$72)),0,MAX(0,1-(Ayarlar!$B$2*ABS(Bitkiler!$D$72-Topraklar!$D$9)+Ayarlar!$B$3*ABS(Bitkiler!$E$72-Topraklar!$E$9)+Ayarlar!$B$4*ABS(Bitkiler!$F$72-Topraklar!$F$9)+Ayarlar!$B$5*ABS(Bitkiler!$G$72-Topraklar!$G$9)+Ayarlar!$B$6*IF(Bitkiler!$H$72=Topraklar!$H$9,0,1))/Ayarlar!$B$7)+IF(Topraklar!$K$9=Bitkiler!$C$72,0.002,IF(Topraklar!$L$9="Evet",0.001,0)))</f>
        <v/>
      </c>
      <c r="J73" s="16">
        <f>IF(OR(Topraklar!$J$10="Evet",AND(Topraklar!$L$10&lt;&gt;"Evet",Topraklar!$K$10&lt;&gt;Bitkiler!$C$72)),0,MAX(0,1-(Ayarlar!$B$2*ABS(Bitkiler!$D$72-Topraklar!$D$10)+Ayarlar!$B$3*ABS(Bitkiler!$E$72-Topraklar!$E$10)+Ayarlar!$B$4*ABS(Bitkiler!$F$72-Topraklar!$F$10)+Ayarlar!$B$5*ABS(Bitkiler!$G$72-Topraklar!$G$10)+Ayarlar!$B$6*IF(Bitkiler!$H$72=Topraklar!$H$10,0,1))/Ayarlar!$B$7)+IF(Topraklar!$K$10=Bitkiler!$C$72,0.002,IF(Topraklar!$L$10="Evet",0.001,0)))</f>
        <v/>
      </c>
      <c r="K73" s="16">
        <f>IF(OR(Topraklar!$J$11="Evet",AND(Topraklar!$L$11&lt;&gt;"Evet",Topraklar!$K$11&lt;&gt;Bitkiler!$C$72)),0,MAX(0,1-(Ayarlar!$B$2*ABS(Bitkiler!$D$72-Topraklar!$D$11)+Ayarlar!$B$3*ABS(Bitkiler!$E$72-Topraklar!$E$11)+Ayarlar!$B$4*ABS(Bitkiler!$F$72-Topraklar!$F$11)+Ayarlar!$B$5*ABS(Bitkiler!$G$72-Topraklar!$G$11)+Ayarlar!$B$6*IF(Bitkiler!$H$72=Topraklar!$H$11,0,1))/Ayarlar!$B$7)+IF(Topraklar!$K$11=Bitkiler!$C$72,0.002,IF(Topraklar!$L$11="Evet",0.001,0)))</f>
        <v/>
      </c>
      <c r="L73" s="16">
        <f>IF(OR(Topraklar!$J$12="Evet",AND(Topraklar!$L$12&lt;&gt;"Evet",Topraklar!$K$12&lt;&gt;Bitkiler!$C$72)),0,MAX(0,1-(Ayarlar!$B$2*ABS(Bitkiler!$D$72-Topraklar!$D$12)+Ayarlar!$B$3*ABS(Bitkiler!$E$72-Topraklar!$E$12)+Ayarlar!$B$4*ABS(Bitkiler!$F$72-Topraklar!$F$12)+Ayarlar!$B$5*ABS(Bitkiler!$G$72-Topraklar!$G$12)+Ayarlar!$B$6*IF(Bitkiler!$H$72=Topraklar!$H$12,0,1))/Ayarlar!$B$7)+IF(Topraklar!$K$12=Bitkiler!$C$72,0.002,IF(Topraklar!$L$12="Evet",0.001,0)))</f>
        <v/>
      </c>
      <c r="M73" s="16">
        <f>IF(OR(Topraklar!$J$13="Evet",AND(Topraklar!$L$13&lt;&gt;"Evet",Topraklar!$K$13&lt;&gt;Bitkiler!$C$72)),0,MAX(0,1-(Ayarlar!$B$2*ABS(Bitkiler!$D$72-Topraklar!$D$13)+Ayarlar!$B$3*ABS(Bitkiler!$E$72-Topraklar!$E$13)+Ayarlar!$B$4*ABS(Bitkiler!$F$72-Topraklar!$F$13)+Ayarlar!$B$5*ABS(Bitkiler!$G$72-Topraklar!$G$13)+Ayarlar!$B$6*IF(Bitkiler!$H$72=Topraklar!$H$13,0,1))/Ayarlar!$B$7)+IF(Topraklar!$K$13=Bitkiler!$C$72,0.002,IF(Topraklar!$L$13="Evet",0.001,0)))</f>
        <v/>
      </c>
      <c r="N73" s="16">
        <f>IF(OR(Topraklar!$J$14="Evet",AND(Topraklar!$L$14&lt;&gt;"Evet",Topraklar!$K$14&lt;&gt;Bitkiler!$C$72)),0,MAX(0,1-(Ayarlar!$B$2*ABS(Bitkiler!$D$72-Topraklar!$D$14)+Ayarlar!$B$3*ABS(Bitkiler!$E$72-Topraklar!$E$14)+Ayarlar!$B$4*ABS(Bitkiler!$F$72-Topraklar!$F$14)+Ayarlar!$B$5*ABS(Bitkiler!$G$72-Topraklar!$G$14)+Ayarlar!$B$6*IF(Bitkiler!$H$72=Topraklar!$H$14,0,1))/Ayarlar!$B$7)+IF(Topraklar!$K$14=Bitkiler!$C$72,0.002,IF(Topraklar!$L$14="Evet",0.001,0)))</f>
        <v/>
      </c>
      <c r="O73" s="16">
        <f>IF(OR(Topraklar!$J$15="Evet",AND(Topraklar!$L$15&lt;&gt;"Evet",Topraklar!$K$15&lt;&gt;Bitkiler!$C$72)),0,MAX(0,1-(Ayarlar!$B$2*ABS(Bitkiler!$D$72-Topraklar!$D$15)+Ayarlar!$B$3*ABS(Bitkiler!$E$72-Topraklar!$E$15)+Ayarlar!$B$4*ABS(Bitkiler!$F$72-Topraklar!$F$15)+Ayarlar!$B$5*ABS(Bitkiler!$G$72-Topraklar!$G$15)+Ayarlar!$B$6*IF(Bitkiler!$H$72=Topraklar!$H$15,0,1))/Ayarlar!$B$7)+IF(Topraklar!$K$15=Bitkiler!$C$72,0.002,IF(Topraklar!$L$15="Evet",0.001,0)))</f>
        <v/>
      </c>
      <c r="P73" s="16">
        <f>IF(OR(Topraklar!$J$16="Evet",AND(Topraklar!$L$16&lt;&gt;"Evet",Topraklar!$K$16&lt;&gt;Bitkiler!$C$72)),0,MAX(0,1-(Ayarlar!$B$2*ABS(Bitkiler!$D$72-Topraklar!$D$16)+Ayarlar!$B$3*ABS(Bitkiler!$E$72-Topraklar!$E$16)+Ayarlar!$B$4*ABS(Bitkiler!$F$72-Topraklar!$F$16)+Ayarlar!$B$5*ABS(Bitkiler!$G$72-Topraklar!$G$16)+Ayarlar!$B$6*IF(Bitkiler!$H$72=Topraklar!$H$16,0,1))/Ayarlar!$B$7)+IF(Topraklar!$K$16=Bitkiler!$C$72,0.002,IF(Topraklar!$L$16="Evet",0.001,0)))</f>
        <v/>
      </c>
      <c r="Q73" s="16">
        <f>IF(OR(Topraklar!$J$17="Evet",AND(Topraklar!$L$17&lt;&gt;"Evet",Topraklar!$K$17&lt;&gt;Bitkiler!$C$72)),0,MAX(0,1-(Ayarlar!$B$2*ABS(Bitkiler!$D$72-Topraklar!$D$17)+Ayarlar!$B$3*ABS(Bitkiler!$E$72-Topraklar!$E$17)+Ayarlar!$B$4*ABS(Bitkiler!$F$72-Topraklar!$F$17)+Ayarlar!$B$5*ABS(Bitkiler!$G$72-Topraklar!$G$17)+Ayarlar!$B$6*IF(Bitkiler!$H$72=Topraklar!$H$17,0,1))/Ayarlar!$B$7)+IF(Topraklar!$K$17=Bitkiler!$C$72,0.002,IF(Topraklar!$L$17="Evet",0.001,0)))</f>
        <v/>
      </c>
      <c r="R73" s="16">
        <f>IF(OR(Topraklar!$J$18="Evet",AND(Topraklar!$L$18&lt;&gt;"Evet",Topraklar!$K$18&lt;&gt;Bitkiler!$C$72)),0,MAX(0,1-(Ayarlar!$B$2*ABS(Bitkiler!$D$72-Topraklar!$D$18)+Ayarlar!$B$3*ABS(Bitkiler!$E$72-Topraklar!$E$18)+Ayarlar!$B$4*ABS(Bitkiler!$F$72-Topraklar!$F$18)+Ayarlar!$B$5*ABS(Bitkiler!$G$72-Topraklar!$G$18)+Ayarlar!$B$6*IF(Bitkiler!$H$72=Topraklar!$H$18,0,1))/Ayarlar!$B$7)+IF(Topraklar!$K$18=Bitkiler!$C$72,0.002,IF(Topraklar!$L$18="Evet",0.001,0)))</f>
        <v/>
      </c>
      <c r="S73" s="16">
        <f>IF(OR(Topraklar!$J$19="Evet",AND(Topraklar!$L$19&lt;&gt;"Evet",Topraklar!$K$19&lt;&gt;Bitkiler!$C$72)),0,MAX(0,1-(Ayarlar!$B$2*ABS(Bitkiler!$D$72-Topraklar!$D$19)+Ayarlar!$B$3*ABS(Bitkiler!$E$72-Topraklar!$E$19)+Ayarlar!$B$4*ABS(Bitkiler!$F$72-Topraklar!$F$19)+Ayarlar!$B$5*ABS(Bitkiler!$G$72-Topraklar!$G$19)+Ayarlar!$B$6*IF(Bitkiler!$H$72=Topraklar!$H$19,0,1))/Ayarlar!$B$7)+IF(Topraklar!$K$19=Bitkiler!$C$72,0.002,IF(Topraklar!$L$19="Evet",0.001,0)))</f>
        <v/>
      </c>
      <c r="T73" s="16">
        <f>IF(OR(Topraklar!$J$20="Evet",AND(Topraklar!$L$20&lt;&gt;"Evet",Topraklar!$K$20&lt;&gt;Bitkiler!$C$72)),0,MAX(0,1-(Ayarlar!$B$2*ABS(Bitkiler!$D$72-Topraklar!$D$20)+Ayarlar!$B$3*ABS(Bitkiler!$E$72-Topraklar!$E$20)+Ayarlar!$B$4*ABS(Bitkiler!$F$72-Topraklar!$F$20)+Ayarlar!$B$5*ABS(Bitkiler!$G$72-Topraklar!$G$20)+Ayarlar!$B$6*IF(Bitkiler!$H$72=Topraklar!$H$20,0,1))/Ayarlar!$B$7)+IF(Topraklar!$K$20=Bitkiler!$C$72,0.002,IF(Topraklar!$L$20="Evet",0.001,0)))</f>
        <v/>
      </c>
      <c r="U73" s="16">
        <f>IF(OR(Topraklar!$J$21="Evet",AND(Topraklar!$L$21&lt;&gt;"Evet",Topraklar!$K$21&lt;&gt;Bitkiler!$C$72)),0,MAX(0,1-(Ayarlar!$B$2*ABS(Bitkiler!$D$72-Topraklar!$D$21)+Ayarlar!$B$3*ABS(Bitkiler!$E$72-Topraklar!$E$21)+Ayarlar!$B$4*ABS(Bitkiler!$F$72-Topraklar!$F$21)+Ayarlar!$B$5*ABS(Bitkiler!$G$72-Topraklar!$G$21)+Ayarlar!$B$6*IF(Bitkiler!$H$72=Topraklar!$H$21,0,1))/Ayarlar!$B$7)+IF(Topraklar!$K$21=Bitkiler!$C$72,0.002,IF(Topraklar!$L$21="Evet",0.001,0)))</f>
        <v/>
      </c>
      <c r="V73" s="16">
        <f>IF(OR(Topraklar!$J$22="Evet",AND(Topraklar!$L$22&lt;&gt;"Evet",Topraklar!$K$22&lt;&gt;Bitkiler!$C$72)),0,MAX(0,1-(Ayarlar!$B$2*ABS(Bitkiler!$D$72-Topraklar!$D$22)+Ayarlar!$B$3*ABS(Bitkiler!$E$72-Topraklar!$E$22)+Ayarlar!$B$4*ABS(Bitkiler!$F$72-Topraklar!$F$22)+Ayarlar!$B$5*ABS(Bitkiler!$G$72-Topraklar!$G$22)+Ayarlar!$B$6*IF(Bitkiler!$H$72=Topraklar!$H$22,0,1))/Ayarlar!$B$7)+IF(Topraklar!$K$22=Bitkiler!$C$72,0.002,IF(Topraklar!$L$22="Evet",0.001,0)))</f>
        <v/>
      </c>
      <c r="W73" s="16">
        <f>IF(OR(Topraklar!$J$23="Evet",AND(Topraklar!$L$23&lt;&gt;"Evet",Topraklar!$K$23&lt;&gt;Bitkiler!$C$72)),0,MAX(0,1-(Ayarlar!$B$2*ABS(Bitkiler!$D$72-Topraklar!$D$23)+Ayarlar!$B$3*ABS(Bitkiler!$E$72-Topraklar!$E$23)+Ayarlar!$B$4*ABS(Bitkiler!$F$72-Topraklar!$F$23)+Ayarlar!$B$5*ABS(Bitkiler!$G$72-Topraklar!$G$23)+Ayarlar!$B$6*IF(Bitkiler!$H$72=Topraklar!$H$23,0,1))/Ayarlar!$B$7)+IF(Topraklar!$K$23=Bitkiler!$C$72,0.002,IF(Topraklar!$L$23="Evet",0.001,0)))</f>
        <v/>
      </c>
      <c r="X73" s="16">
        <f>IF(OR(Topraklar!$J$24="Evet",AND(Topraklar!$L$24&lt;&gt;"Evet",Topraklar!$K$24&lt;&gt;Bitkiler!$C$72)),0,MAX(0,1-(Ayarlar!$B$2*ABS(Bitkiler!$D$72-Topraklar!$D$24)+Ayarlar!$B$3*ABS(Bitkiler!$E$72-Topraklar!$E$24)+Ayarlar!$B$4*ABS(Bitkiler!$F$72-Topraklar!$F$24)+Ayarlar!$B$5*ABS(Bitkiler!$G$72-Topraklar!$G$24)+Ayarlar!$B$6*IF(Bitkiler!$H$72=Topraklar!$H$24,0,1))/Ayarlar!$B$7)+IF(Topraklar!$K$24=Bitkiler!$C$72,0.002,IF(Topraklar!$L$24="Evet",0.001,0)))</f>
        <v/>
      </c>
      <c r="Y73" s="16">
        <f>IF(OR(Topraklar!$J$25="Evet",AND(Topraklar!$L$25&lt;&gt;"Evet",Topraklar!$K$25&lt;&gt;Bitkiler!$C$72)),0,MAX(0,1-(Ayarlar!$B$2*ABS(Bitkiler!$D$72-Topraklar!$D$25)+Ayarlar!$B$3*ABS(Bitkiler!$E$72-Topraklar!$E$25)+Ayarlar!$B$4*ABS(Bitkiler!$F$72-Topraklar!$F$25)+Ayarlar!$B$5*ABS(Bitkiler!$G$72-Topraklar!$G$25)+Ayarlar!$B$6*IF(Bitkiler!$H$72=Topraklar!$H$25,0,1))/Ayarlar!$B$7)+IF(Topraklar!$K$25=Bitkiler!$C$72,0.002,IF(Topraklar!$L$25="Evet",0.001,0)))</f>
        <v/>
      </c>
      <c r="Z73" s="16">
        <f>IF(OR(Topraklar!$J$26="Evet",AND(Topraklar!$L$26&lt;&gt;"Evet",Topraklar!$K$26&lt;&gt;Bitkiler!$C$72)),0,MAX(0,1-(Ayarlar!$B$2*ABS(Bitkiler!$D$72-Topraklar!$D$26)+Ayarlar!$B$3*ABS(Bitkiler!$E$72-Topraklar!$E$26)+Ayarlar!$B$4*ABS(Bitkiler!$F$72-Topraklar!$F$26)+Ayarlar!$B$5*ABS(Bitkiler!$G$72-Topraklar!$G$26)+Ayarlar!$B$6*IF(Bitkiler!$H$72=Topraklar!$H$26,0,1))/Ayarlar!$B$7)+IF(Topraklar!$K$26=Bitkiler!$C$72,0.002,IF(Topraklar!$L$26="Evet",0.001,0)))</f>
        <v/>
      </c>
      <c r="AA73" s="16">
        <f>IF(OR(Topraklar!$J$27="Evet",AND(Topraklar!$L$27&lt;&gt;"Evet",Topraklar!$K$27&lt;&gt;Bitkiler!$C$72)),0,MAX(0,1-(Ayarlar!$B$2*ABS(Bitkiler!$D$72-Topraklar!$D$27)+Ayarlar!$B$3*ABS(Bitkiler!$E$72-Topraklar!$E$27)+Ayarlar!$B$4*ABS(Bitkiler!$F$72-Topraklar!$F$27)+Ayarlar!$B$5*ABS(Bitkiler!$G$72-Topraklar!$G$27)+Ayarlar!$B$6*IF(Bitkiler!$H$72=Topraklar!$H$27,0,1))/Ayarlar!$B$7)+IF(Topraklar!$K$27=Bitkiler!$C$72,0.002,IF(Topraklar!$L$27="Evet",0.001,0)))</f>
        <v/>
      </c>
      <c r="AB73" s="16">
        <f>IF(OR(Topraklar!$J$28="Evet",AND(Topraklar!$L$28&lt;&gt;"Evet",Topraklar!$K$28&lt;&gt;Bitkiler!$C$72)),0,MAX(0,1-(Ayarlar!$B$2*ABS(Bitkiler!$D$72-Topraklar!$D$28)+Ayarlar!$B$3*ABS(Bitkiler!$E$72-Topraklar!$E$28)+Ayarlar!$B$4*ABS(Bitkiler!$F$72-Topraklar!$F$28)+Ayarlar!$B$5*ABS(Bitkiler!$G$72-Topraklar!$G$28)+Ayarlar!$B$6*IF(Bitkiler!$H$72=Topraklar!$H$28,0,1))/Ayarlar!$B$7)+IF(Topraklar!$K$28=Bitkiler!$C$72,0.002,IF(Topraklar!$L$28="Evet",0.001,0)))</f>
        <v/>
      </c>
      <c r="AC73" s="16">
        <f>IF(OR(Topraklar!$J$29="Evet",AND(Topraklar!$L$29&lt;&gt;"Evet",Topraklar!$K$29&lt;&gt;Bitkiler!$C$72)),0,MAX(0,1-(Ayarlar!$B$2*ABS(Bitkiler!$D$72-Topraklar!$D$29)+Ayarlar!$B$3*ABS(Bitkiler!$E$72-Topraklar!$E$29)+Ayarlar!$B$4*ABS(Bitkiler!$F$72-Topraklar!$F$29)+Ayarlar!$B$5*ABS(Bitkiler!$G$72-Topraklar!$G$29)+Ayarlar!$B$6*IF(Bitkiler!$H$72=Topraklar!$H$29,0,1))/Ayarlar!$B$7)+IF(Topraklar!$K$29=Bitkiler!$C$72,0.002,IF(Topraklar!$L$29="Evet",0.001,0)))</f>
        <v/>
      </c>
      <c r="AD73" s="16">
        <f>IF(OR(Topraklar!$J$30="Evet",AND(Topraklar!$L$30&lt;&gt;"Evet",Topraklar!$K$30&lt;&gt;Bitkiler!$C$72)),0,MAX(0,1-(Ayarlar!$B$2*ABS(Bitkiler!$D$72-Topraklar!$D$30)+Ayarlar!$B$3*ABS(Bitkiler!$E$72-Topraklar!$E$30)+Ayarlar!$B$4*ABS(Bitkiler!$F$72-Topraklar!$F$30)+Ayarlar!$B$5*ABS(Bitkiler!$G$72-Topraklar!$G$30)+Ayarlar!$B$6*IF(Bitkiler!$H$72=Topraklar!$H$30,0,1))/Ayarlar!$B$7)+IF(Topraklar!$K$30=Bitkiler!$C$72,0.002,IF(Topraklar!$L$30="Evet",0.001,0)))</f>
        <v/>
      </c>
      <c r="AE73" s="16">
        <f>IF(OR(Topraklar!$J$31="Evet",AND(Topraklar!$L$31&lt;&gt;"Evet",Topraklar!$K$31&lt;&gt;Bitkiler!$C$72)),0,MAX(0,1-(Ayarlar!$B$2*ABS(Bitkiler!$D$72-Topraklar!$D$31)+Ayarlar!$B$3*ABS(Bitkiler!$E$72-Topraklar!$E$31)+Ayarlar!$B$4*ABS(Bitkiler!$F$72-Topraklar!$F$31)+Ayarlar!$B$5*ABS(Bitkiler!$G$72-Topraklar!$G$31)+Ayarlar!$B$6*IF(Bitkiler!$H$72=Topraklar!$H$31,0,1))/Ayarlar!$B$7)+IF(Topraklar!$K$31=Bitkiler!$C$72,0.002,IF(Topraklar!$L$31="Evet",0.001,0)))</f>
        <v/>
      </c>
      <c r="AF73" s="16">
        <f>IF(OR(Topraklar!$J$32="Evet",AND(Topraklar!$L$32&lt;&gt;"Evet",Topraklar!$K$32&lt;&gt;Bitkiler!$C$72)),0,MAX(0,1-(Ayarlar!$B$2*ABS(Bitkiler!$D$72-Topraklar!$D$32)+Ayarlar!$B$3*ABS(Bitkiler!$E$72-Topraklar!$E$32)+Ayarlar!$B$4*ABS(Bitkiler!$F$72-Topraklar!$F$32)+Ayarlar!$B$5*ABS(Bitkiler!$G$72-Topraklar!$G$32)+Ayarlar!$B$6*IF(Bitkiler!$H$72=Topraklar!$H$32,0,1))/Ayarlar!$B$7)+IF(Topraklar!$K$32=Bitkiler!$C$72,0.002,IF(Topraklar!$L$32="Evet",0.001,0)))</f>
        <v/>
      </c>
      <c r="AG73" s="16">
        <f>IF(OR(Topraklar!$J$33="Evet",AND(Topraklar!$L$33&lt;&gt;"Evet",Topraklar!$K$33&lt;&gt;Bitkiler!$C$72)),0,MAX(0,1-(Ayarlar!$B$2*ABS(Bitkiler!$D$72-Topraklar!$D$33)+Ayarlar!$B$3*ABS(Bitkiler!$E$72-Topraklar!$E$33)+Ayarlar!$B$4*ABS(Bitkiler!$F$72-Topraklar!$F$33)+Ayarlar!$B$5*ABS(Bitkiler!$G$72-Topraklar!$G$33)+Ayarlar!$B$6*IF(Bitkiler!$H$72=Topraklar!$H$33,0,1))/Ayarlar!$B$7)+IF(Topraklar!$K$33=Bitkiler!$C$72,0.002,IF(Topraklar!$L$33="Evet",0.001,0)))</f>
        <v/>
      </c>
      <c r="AH73" s="16">
        <f>IF(OR(Topraklar!$J$34="Evet",AND(Topraklar!$L$34&lt;&gt;"Evet",Topraklar!$K$34&lt;&gt;Bitkiler!$C$72)),0,MAX(0,1-(Ayarlar!$B$2*ABS(Bitkiler!$D$72-Topraklar!$D$34)+Ayarlar!$B$3*ABS(Bitkiler!$E$72-Topraklar!$E$34)+Ayarlar!$B$4*ABS(Bitkiler!$F$72-Topraklar!$F$34)+Ayarlar!$B$5*ABS(Bitkiler!$G$72-Topraklar!$G$34)+Ayarlar!$B$6*IF(Bitkiler!$H$72=Topraklar!$H$34,0,1))/Ayarlar!$B$7)+IF(Topraklar!$K$34=Bitkiler!$C$72,0.002,IF(Topraklar!$L$34="Evet",0.001,0)))</f>
        <v/>
      </c>
      <c r="AI73" s="16">
        <f>IF(OR(Topraklar!$J$35="Evet",AND(Topraklar!$L$35&lt;&gt;"Evet",Topraklar!$K$35&lt;&gt;Bitkiler!$C$72)),0,MAX(0,1-(Ayarlar!$B$2*ABS(Bitkiler!$D$72-Topraklar!$D$35)+Ayarlar!$B$3*ABS(Bitkiler!$E$72-Topraklar!$E$35)+Ayarlar!$B$4*ABS(Bitkiler!$F$72-Topraklar!$F$35)+Ayarlar!$B$5*ABS(Bitkiler!$G$72-Topraklar!$G$35)+Ayarlar!$B$6*IF(Bitkiler!$H$72=Topraklar!$H$35,0,1))/Ayarlar!$B$7)+IF(Topraklar!$K$35=Bitkiler!$C$72,0.002,IF(Topraklar!$L$35="Evet",0.001,0)))</f>
        <v/>
      </c>
      <c r="AJ73" s="16">
        <f>IF(OR(Topraklar!$J$36="Evet",AND(Topraklar!$L$36&lt;&gt;"Evet",Topraklar!$K$36&lt;&gt;Bitkiler!$C$72)),0,MAX(0,1-(Ayarlar!$B$2*ABS(Bitkiler!$D$72-Topraklar!$D$36)+Ayarlar!$B$3*ABS(Bitkiler!$E$72-Topraklar!$E$36)+Ayarlar!$B$4*ABS(Bitkiler!$F$72-Topraklar!$F$36)+Ayarlar!$B$5*ABS(Bitkiler!$G$72-Topraklar!$G$36)+Ayarlar!$B$6*IF(Bitkiler!$H$72=Topraklar!$H$36,0,1))/Ayarlar!$B$7)+IF(Topraklar!$K$36=Bitkiler!$C$72,0.002,IF(Topraklar!$L$36="Evet",0.001,0)))</f>
        <v/>
      </c>
      <c r="AK73" s="16">
        <f>IF(OR(Topraklar!$J$37="Evet",AND(Topraklar!$L$37&lt;&gt;"Evet",Topraklar!$K$37&lt;&gt;Bitkiler!$C$72)),0,MAX(0,1-(Ayarlar!$B$2*ABS(Bitkiler!$D$72-Topraklar!$D$37)+Ayarlar!$B$3*ABS(Bitkiler!$E$72-Topraklar!$E$37)+Ayarlar!$B$4*ABS(Bitkiler!$F$72-Topraklar!$F$37)+Ayarlar!$B$5*ABS(Bitkiler!$G$72-Topraklar!$G$37)+Ayarlar!$B$6*IF(Bitkiler!$H$72=Topraklar!$H$37,0,1))/Ayarlar!$B$7)+IF(Topraklar!$K$37=Bitkiler!$C$72,0.002,IF(Topraklar!$L$37="Evet",0.001,0)))</f>
        <v/>
      </c>
      <c r="AL73" s="16">
        <f>IF(OR(Topraklar!$J$38="Evet",AND(Topraklar!$L$38&lt;&gt;"Evet",Topraklar!$K$38&lt;&gt;Bitkiler!$C$72)),0,MAX(0,1-(Ayarlar!$B$2*ABS(Bitkiler!$D$72-Topraklar!$D$38)+Ayarlar!$B$3*ABS(Bitkiler!$E$72-Topraklar!$E$38)+Ayarlar!$B$4*ABS(Bitkiler!$F$72-Topraklar!$F$38)+Ayarlar!$B$5*ABS(Bitkiler!$G$72-Topraklar!$G$38)+Ayarlar!$B$6*IF(Bitkiler!$H$72=Topraklar!$H$38,0,1))/Ayarlar!$B$7)+IF(Topraklar!$K$38=Bitkiler!$C$72,0.002,IF(Topraklar!$L$38="Evet",0.001,0)))</f>
        <v/>
      </c>
      <c r="AM73" s="16">
        <f>IF(OR(Topraklar!$J$39="Evet",AND(Topraklar!$L$39&lt;&gt;"Evet",Topraklar!$K$39&lt;&gt;Bitkiler!$C$72)),0,MAX(0,1-(Ayarlar!$B$2*ABS(Bitkiler!$D$72-Topraklar!$D$39)+Ayarlar!$B$3*ABS(Bitkiler!$E$72-Topraklar!$E$39)+Ayarlar!$B$4*ABS(Bitkiler!$F$72-Topraklar!$F$39)+Ayarlar!$B$5*ABS(Bitkiler!$G$72-Topraklar!$G$39)+Ayarlar!$B$6*IF(Bitkiler!$H$72=Topraklar!$H$39,0,1))/Ayarlar!$B$7)+IF(Topraklar!$K$39=Bitkiler!$C$72,0.002,IF(Topraklar!$L$39="Evet",0.001,0)))</f>
        <v/>
      </c>
      <c r="AN73" s="16">
        <f>IF(OR(Topraklar!$J$40="Evet",AND(Topraklar!$L$40&lt;&gt;"Evet",Topraklar!$K$40&lt;&gt;Bitkiler!$C$72)),0,MAX(0,1-(Ayarlar!$B$2*ABS(Bitkiler!$D$72-Topraklar!$D$40)+Ayarlar!$B$3*ABS(Bitkiler!$E$72-Topraklar!$E$40)+Ayarlar!$B$4*ABS(Bitkiler!$F$72-Topraklar!$F$40)+Ayarlar!$B$5*ABS(Bitkiler!$G$72-Topraklar!$G$40)+Ayarlar!$B$6*IF(Bitkiler!$H$72=Topraklar!$H$40,0,1))/Ayarlar!$B$7)+IF(Topraklar!$K$40=Bitkiler!$C$72,0.002,IF(Topraklar!$L$40="Evet",0.001,0)))</f>
        <v/>
      </c>
      <c r="AO73" s="16">
        <f>IF(OR(Topraklar!$J$41="Evet",AND(Topraklar!$L$41&lt;&gt;"Evet",Topraklar!$K$41&lt;&gt;Bitkiler!$C$72)),0,MAX(0,1-(Ayarlar!$B$2*ABS(Bitkiler!$D$72-Topraklar!$D$41)+Ayarlar!$B$3*ABS(Bitkiler!$E$72-Topraklar!$E$41)+Ayarlar!$B$4*ABS(Bitkiler!$F$72-Topraklar!$F$41)+Ayarlar!$B$5*ABS(Bitkiler!$G$72-Topraklar!$G$41)+Ayarlar!$B$6*IF(Bitkiler!$H$72=Topraklar!$H$41,0,1))/Ayarlar!$B$7)+IF(Topraklar!$K$41=Bitkiler!$C$72,0.002,IF(Topraklar!$L$41="Evet",0.001,0)))</f>
        <v/>
      </c>
      <c r="AP73" s="16">
        <f>IF(OR(Topraklar!$J$42="Evet",AND(Topraklar!$L$42&lt;&gt;"Evet",Topraklar!$K$42&lt;&gt;Bitkiler!$C$72)),0,MAX(0,1-(Ayarlar!$B$2*ABS(Bitkiler!$D$72-Topraklar!$D$42)+Ayarlar!$B$3*ABS(Bitkiler!$E$72-Topraklar!$E$42)+Ayarlar!$B$4*ABS(Bitkiler!$F$72-Topraklar!$F$42)+Ayarlar!$B$5*ABS(Bitkiler!$G$72-Topraklar!$G$42)+Ayarlar!$B$6*IF(Bitkiler!$H$72=Topraklar!$H$42,0,1))/Ayarlar!$B$7)+IF(Topraklar!$K$42=Bitkiler!$C$72,0.002,IF(Topraklar!$L$42="Evet",0.001,0)))</f>
        <v/>
      </c>
      <c r="AQ73" s="16">
        <f>IF(OR(Topraklar!$J$43="Evet",AND(Topraklar!$L$43&lt;&gt;"Evet",Topraklar!$K$43&lt;&gt;Bitkiler!$C$72)),0,MAX(0,1-(Ayarlar!$B$2*ABS(Bitkiler!$D$72-Topraklar!$D$43)+Ayarlar!$B$3*ABS(Bitkiler!$E$72-Topraklar!$E$43)+Ayarlar!$B$4*ABS(Bitkiler!$F$72-Topraklar!$F$43)+Ayarlar!$B$5*ABS(Bitkiler!$G$72-Topraklar!$G$43)+Ayarlar!$B$6*IF(Bitkiler!$H$72=Topraklar!$H$43,0,1))/Ayarlar!$B$7)+IF(Topraklar!$K$43=Bitkiler!$C$72,0.002,IF(Topraklar!$L$43="Evet",0.001,0)))</f>
        <v/>
      </c>
      <c r="AR73" s="16">
        <f>IF(OR(Topraklar!$J$44="Evet",AND(Topraklar!$L$44&lt;&gt;"Evet",Topraklar!$K$44&lt;&gt;Bitkiler!$C$72)),0,MAX(0,1-(Ayarlar!$B$2*ABS(Bitkiler!$D$72-Topraklar!$D$44)+Ayarlar!$B$3*ABS(Bitkiler!$E$72-Topraklar!$E$44)+Ayarlar!$B$4*ABS(Bitkiler!$F$72-Topraklar!$F$44)+Ayarlar!$B$5*ABS(Bitkiler!$G$72-Topraklar!$G$44)+Ayarlar!$B$6*IF(Bitkiler!$H$72=Topraklar!$H$44,0,1))/Ayarlar!$B$7)+IF(Topraklar!$K$44=Bitkiler!$C$72,0.002,IF(Topraklar!$L$44="Evet",0.001,0)))</f>
        <v/>
      </c>
      <c r="AS73" s="16">
        <f>IF(OR(Topraklar!$J$45="Evet",AND(Topraklar!$L$45&lt;&gt;"Evet",Topraklar!$K$45&lt;&gt;Bitkiler!$C$72)),0,MAX(0,1-(Ayarlar!$B$2*ABS(Bitkiler!$D$72-Topraklar!$D$45)+Ayarlar!$B$3*ABS(Bitkiler!$E$72-Topraklar!$E$45)+Ayarlar!$B$4*ABS(Bitkiler!$F$72-Topraklar!$F$45)+Ayarlar!$B$5*ABS(Bitkiler!$G$72-Topraklar!$G$45)+Ayarlar!$B$6*IF(Bitkiler!$H$72=Topraklar!$H$45,0,1))/Ayarlar!$B$7)+IF(Topraklar!$K$45=Bitkiler!$C$72,0.002,IF(Topraklar!$L$45="Evet",0.001,0)))</f>
        <v/>
      </c>
      <c r="AT73" s="16">
        <f>IF(OR(Topraklar!$J$46="Evet",AND(Topraklar!$L$46&lt;&gt;"Evet",Topraklar!$K$46&lt;&gt;Bitkiler!$C$72)),0,MAX(0,1-(Ayarlar!$B$2*ABS(Bitkiler!$D$72-Topraklar!$D$46)+Ayarlar!$B$3*ABS(Bitkiler!$E$72-Topraklar!$E$46)+Ayarlar!$B$4*ABS(Bitkiler!$F$72-Topraklar!$F$46)+Ayarlar!$B$5*ABS(Bitkiler!$G$72-Topraklar!$G$46)+Ayarlar!$B$6*IF(Bitkiler!$H$72=Topraklar!$H$46,0,1))/Ayarlar!$B$7)+IF(Topraklar!$K$46=Bitkiler!$C$72,0.002,IF(Topraklar!$L$46="Evet",0.001,0)))</f>
        <v/>
      </c>
      <c r="AU73" s="16">
        <f>IF(OR(Topraklar!$J$47="Evet",AND(Topraklar!$L$47&lt;&gt;"Evet",Topraklar!$K$47&lt;&gt;Bitkiler!$C$72)),0,MAX(0,1-(Ayarlar!$B$2*ABS(Bitkiler!$D$72-Topraklar!$D$47)+Ayarlar!$B$3*ABS(Bitkiler!$E$72-Topraklar!$E$47)+Ayarlar!$B$4*ABS(Bitkiler!$F$72-Topraklar!$F$47)+Ayarlar!$B$5*ABS(Bitkiler!$G$72-Topraklar!$G$47)+Ayarlar!$B$6*IF(Bitkiler!$H$72=Topraklar!$H$47,0,1))/Ayarlar!$B$7)+IF(Topraklar!$K$47=Bitkiler!$C$72,0.002,IF(Topraklar!$L$47="Evet",0.001,0)))</f>
        <v/>
      </c>
      <c r="AV73" s="16">
        <f>IF(OR(Topraklar!$J$48="Evet",AND(Topraklar!$L$48&lt;&gt;"Evet",Topraklar!$K$48&lt;&gt;Bitkiler!$C$72)),0,MAX(0,1-(Ayarlar!$B$2*ABS(Bitkiler!$D$72-Topraklar!$D$48)+Ayarlar!$B$3*ABS(Bitkiler!$E$72-Topraklar!$E$48)+Ayarlar!$B$4*ABS(Bitkiler!$F$72-Topraklar!$F$48)+Ayarlar!$B$5*ABS(Bitkiler!$G$72-Topraklar!$G$48)+Ayarlar!$B$6*IF(Bitkiler!$H$72=Topraklar!$H$48,0,1))/Ayarlar!$B$7)+IF(Topraklar!$K$48=Bitkiler!$C$72,0.002,IF(Topraklar!$L$48="Evet",0.001,0)))</f>
        <v/>
      </c>
      <c r="AW73" s="16">
        <f>IF(OR(Topraklar!$J$49="Evet",AND(Topraklar!$L$49&lt;&gt;"Evet",Topraklar!$K$49&lt;&gt;Bitkiler!$C$72)),0,MAX(0,1-(Ayarlar!$B$2*ABS(Bitkiler!$D$72-Topraklar!$D$49)+Ayarlar!$B$3*ABS(Bitkiler!$E$72-Topraklar!$E$49)+Ayarlar!$B$4*ABS(Bitkiler!$F$72-Topraklar!$F$49)+Ayarlar!$B$5*ABS(Bitkiler!$G$72-Topraklar!$G$49)+Ayarlar!$B$6*IF(Bitkiler!$H$72=Topraklar!$H$49,0,1))/Ayarlar!$B$7)+IF(Topraklar!$K$49=Bitkiler!$C$72,0.002,IF(Topraklar!$L$49="Evet",0.001,0)))</f>
        <v/>
      </c>
      <c r="AX73" s="16">
        <f>IF(OR(Topraklar!$J$50="Evet",AND(Topraklar!$L$50&lt;&gt;"Evet",Topraklar!$K$50&lt;&gt;Bitkiler!$C$72)),0,MAX(0,1-(Ayarlar!$B$2*ABS(Bitkiler!$D$72-Topraklar!$D$50)+Ayarlar!$B$3*ABS(Bitkiler!$E$72-Topraklar!$E$50)+Ayarlar!$B$4*ABS(Bitkiler!$F$72-Topraklar!$F$50)+Ayarlar!$B$5*ABS(Bitkiler!$G$72-Topraklar!$G$50)+Ayarlar!$B$6*IF(Bitkiler!$H$72=Topraklar!$H$50,0,1))/Ayarlar!$B$7)+IF(Topraklar!$K$50=Bitkiler!$C$72,0.002,IF(Topraklar!$L$50="Evet",0.001,0)))</f>
        <v/>
      </c>
      <c r="AY73" s="16">
        <f>IF(OR(Topraklar!$J$51="Evet",AND(Topraklar!$L$51&lt;&gt;"Evet",Topraklar!$K$51&lt;&gt;Bitkiler!$C$72)),0,MAX(0,1-(Ayarlar!$B$2*ABS(Bitkiler!$D$72-Topraklar!$D$51)+Ayarlar!$B$3*ABS(Bitkiler!$E$72-Topraklar!$E$51)+Ayarlar!$B$4*ABS(Bitkiler!$F$72-Topraklar!$F$51)+Ayarlar!$B$5*ABS(Bitkiler!$G$72-Topraklar!$G$51)+Ayarlar!$B$6*IF(Bitkiler!$H$72=Topraklar!$H$51,0,1))/Ayarlar!$B$7)+IF(Topraklar!$K$51=Bitkiler!$C$72,0.002,IF(Topraklar!$L$51="Evet",0.001,0)))</f>
        <v/>
      </c>
    </row>
    <row r="74">
      <c r="A74" s="15">
        <f>Bitkiler!A73</f>
        <v/>
      </c>
      <c r="B74" s="16">
        <f>IF(OR(Topraklar!$J$2="Evet",AND(Topraklar!$L$2&lt;&gt;"Evet",Topraklar!$K$2&lt;&gt;Bitkiler!$C$73)),0,MAX(0,1-(Ayarlar!$B$2*ABS(Bitkiler!$D$73-Topraklar!$D$2)+Ayarlar!$B$3*ABS(Bitkiler!$E$73-Topraklar!$E$2)+Ayarlar!$B$4*ABS(Bitkiler!$F$73-Topraklar!$F$2)+Ayarlar!$B$5*ABS(Bitkiler!$G$73-Topraklar!$G$2)+Ayarlar!$B$6*IF(Bitkiler!$H$73=Topraklar!$H$2,0,1))/Ayarlar!$B$7)+IF(Topraklar!$K$2=Bitkiler!$C$73,0.002,IF(Topraklar!$L$2="Evet",0.001,0)))</f>
        <v/>
      </c>
      <c r="C74" s="16">
        <f>IF(OR(Topraklar!$J$3="Evet",AND(Topraklar!$L$3&lt;&gt;"Evet",Topraklar!$K$3&lt;&gt;Bitkiler!$C$73)),0,MAX(0,1-(Ayarlar!$B$2*ABS(Bitkiler!$D$73-Topraklar!$D$3)+Ayarlar!$B$3*ABS(Bitkiler!$E$73-Topraklar!$E$3)+Ayarlar!$B$4*ABS(Bitkiler!$F$73-Topraklar!$F$3)+Ayarlar!$B$5*ABS(Bitkiler!$G$73-Topraklar!$G$3)+Ayarlar!$B$6*IF(Bitkiler!$H$73=Topraklar!$H$3,0,1))/Ayarlar!$B$7)+IF(Topraklar!$K$3=Bitkiler!$C$73,0.002,IF(Topraklar!$L$3="Evet",0.001,0)))</f>
        <v/>
      </c>
      <c r="D74" s="16">
        <f>IF(OR(Topraklar!$J$4="Evet",AND(Topraklar!$L$4&lt;&gt;"Evet",Topraklar!$K$4&lt;&gt;Bitkiler!$C$73)),0,MAX(0,1-(Ayarlar!$B$2*ABS(Bitkiler!$D$73-Topraklar!$D$4)+Ayarlar!$B$3*ABS(Bitkiler!$E$73-Topraklar!$E$4)+Ayarlar!$B$4*ABS(Bitkiler!$F$73-Topraklar!$F$4)+Ayarlar!$B$5*ABS(Bitkiler!$G$73-Topraklar!$G$4)+Ayarlar!$B$6*IF(Bitkiler!$H$73=Topraklar!$H$4,0,1))/Ayarlar!$B$7)+IF(Topraklar!$K$4=Bitkiler!$C$73,0.002,IF(Topraklar!$L$4="Evet",0.001,0)))</f>
        <v/>
      </c>
      <c r="E74" s="16">
        <f>IF(OR(Topraklar!$J$5="Evet",AND(Topraklar!$L$5&lt;&gt;"Evet",Topraklar!$K$5&lt;&gt;Bitkiler!$C$73)),0,MAX(0,1-(Ayarlar!$B$2*ABS(Bitkiler!$D$73-Topraklar!$D$5)+Ayarlar!$B$3*ABS(Bitkiler!$E$73-Topraklar!$E$5)+Ayarlar!$B$4*ABS(Bitkiler!$F$73-Topraklar!$F$5)+Ayarlar!$B$5*ABS(Bitkiler!$G$73-Topraklar!$G$5)+Ayarlar!$B$6*IF(Bitkiler!$H$73=Topraklar!$H$5,0,1))/Ayarlar!$B$7)+IF(Topraklar!$K$5=Bitkiler!$C$73,0.002,IF(Topraklar!$L$5="Evet",0.001,0)))</f>
        <v/>
      </c>
      <c r="F74" s="16">
        <f>IF(OR(Topraklar!$J$6="Evet",AND(Topraklar!$L$6&lt;&gt;"Evet",Topraklar!$K$6&lt;&gt;Bitkiler!$C$73)),0,MAX(0,1-(Ayarlar!$B$2*ABS(Bitkiler!$D$73-Topraklar!$D$6)+Ayarlar!$B$3*ABS(Bitkiler!$E$73-Topraklar!$E$6)+Ayarlar!$B$4*ABS(Bitkiler!$F$73-Topraklar!$F$6)+Ayarlar!$B$5*ABS(Bitkiler!$G$73-Topraklar!$G$6)+Ayarlar!$B$6*IF(Bitkiler!$H$73=Topraklar!$H$6,0,1))/Ayarlar!$B$7)+IF(Topraklar!$K$6=Bitkiler!$C$73,0.002,IF(Topraklar!$L$6="Evet",0.001,0)))</f>
        <v/>
      </c>
      <c r="G74" s="16">
        <f>IF(OR(Topraklar!$J$7="Evet",AND(Topraklar!$L$7&lt;&gt;"Evet",Topraklar!$K$7&lt;&gt;Bitkiler!$C$73)),0,MAX(0,1-(Ayarlar!$B$2*ABS(Bitkiler!$D$73-Topraklar!$D$7)+Ayarlar!$B$3*ABS(Bitkiler!$E$73-Topraklar!$E$7)+Ayarlar!$B$4*ABS(Bitkiler!$F$73-Topraklar!$F$7)+Ayarlar!$B$5*ABS(Bitkiler!$G$73-Topraklar!$G$7)+Ayarlar!$B$6*IF(Bitkiler!$H$73=Topraklar!$H$7,0,1))/Ayarlar!$B$7)+IF(Topraklar!$K$7=Bitkiler!$C$73,0.002,IF(Topraklar!$L$7="Evet",0.001,0)))</f>
        <v/>
      </c>
      <c r="H74" s="16">
        <f>IF(OR(Topraklar!$J$8="Evet",AND(Topraklar!$L$8&lt;&gt;"Evet",Topraklar!$K$8&lt;&gt;Bitkiler!$C$73)),0,MAX(0,1-(Ayarlar!$B$2*ABS(Bitkiler!$D$73-Topraklar!$D$8)+Ayarlar!$B$3*ABS(Bitkiler!$E$73-Topraklar!$E$8)+Ayarlar!$B$4*ABS(Bitkiler!$F$73-Topraklar!$F$8)+Ayarlar!$B$5*ABS(Bitkiler!$G$73-Topraklar!$G$8)+Ayarlar!$B$6*IF(Bitkiler!$H$73=Topraklar!$H$8,0,1))/Ayarlar!$B$7)+IF(Topraklar!$K$8=Bitkiler!$C$73,0.002,IF(Topraklar!$L$8="Evet",0.001,0)))</f>
        <v/>
      </c>
      <c r="I74" s="16">
        <f>IF(OR(Topraklar!$J$9="Evet",AND(Topraklar!$L$9&lt;&gt;"Evet",Topraklar!$K$9&lt;&gt;Bitkiler!$C$73)),0,MAX(0,1-(Ayarlar!$B$2*ABS(Bitkiler!$D$73-Topraklar!$D$9)+Ayarlar!$B$3*ABS(Bitkiler!$E$73-Topraklar!$E$9)+Ayarlar!$B$4*ABS(Bitkiler!$F$73-Topraklar!$F$9)+Ayarlar!$B$5*ABS(Bitkiler!$G$73-Topraklar!$G$9)+Ayarlar!$B$6*IF(Bitkiler!$H$73=Topraklar!$H$9,0,1))/Ayarlar!$B$7)+IF(Topraklar!$K$9=Bitkiler!$C$73,0.002,IF(Topraklar!$L$9="Evet",0.001,0)))</f>
        <v/>
      </c>
      <c r="J74" s="16">
        <f>IF(OR(Topraklar!$J$10="Evet",AND(Topraklar!$L$10&lt;&gt;"Evet",Topraklar!$K$10&lt;&gt;Bitkiler!$C$73)),0,MAX(0,1-(Ayarlar!$B$2*ABS(Bitkiler!$D$73-Topraklar!$D$10)+Ayarlar!$B$3*ABS(Bitkiler!$E$73-Topraklar!$E$10)+Ayarlar!$B$4*ABS(Bitkiler!$F$73-Topraklar!$F$10)+Ayarlar!$B$5*ABS(Bitkiler!$G$73-Topraklar!$G$10)+Ayarlar!$B$6*IF(Bitkiler!$H$73=Topraklar!$H$10,0,1))/Ayarlar!$B$7)+IF(Topraklar!$K$10=Bitkiler!$C$73,0.002,IF(Topraklar!$L$10="Evet",0.001,0)))</f>
        <v/>
      </c>
      <c r="K74" s="16">
        <f>IF(OR(Topraklar!$J$11="Evet",AND(Topraklar!$L$11&lt;&gt;"Evet",Topraklar!$K$11&lt;&gt;Bitkiler!$C$73)),0,MAX(0,1-(Ayarlar!$B$2*ABS(Bitkiler!$D$73-Topraklar!$D$11)+Ayarlar!$B$3*ABS(Bitkiler!$E$73-Topraklar!$E$11)+Ayarlar!$B$4*ABS(Bitkiler!$F$73-Topraklar!$F$11)+Ayarlar!$B$5*ABS(Bitkiler!$G$73-Topraklar!$G$11)+Ayarlar!$B$6*IF(Bitkiler!$H$73=Topraklar!$H$11,0,1))/Ayarlar!$B$7)+IF(Topraklar!$K$11=Bitkiler!$C$73,0.002,IF(Topraklar!$L$11="Evet",0.001,0)))</f>
        <v/>
      </c>
      <c r="L74" s="16">
        <f>IF(OR(Topraklar!$J$12="Evet",AND(Topraklar!$L$12&lt;&gt;"Evet",Topraklar!$K$12&lt;&gt;Bitkiler!$C$73)),0,MAX(0,1-(Ayarlar!$B$2*ABS(Bitkiler!$D$73-Topraklar!$D$12)+Ayarlar!$B$3*ABS(Bitkiler!$E$73-Topraklar!$E$12)+Ayarlar!$B$4*ABS(Bitkiler!$F$73-Topraklar!$F$12)+Ayarlar!$B$5*ABS(Bitkiler!$G$73-Topraklar!$G$12)+Ayarlar!$B$6*IF(Bitkiler!$H$73=Topraklar!$H$12,0,1))/Ayarlar!$B$7)+IF(Topraklar!$K$12=Bitkiler!$C$73,0.002,IF(Topraklar!$L$12="Evet",0.001,0)))</f>
        <v/>
      </c>
      <c r="M74" s="16">
        <f>IF(OR(Topraklar!$J$13="Evet",AND(Topraklar!$L$13&lt;&gt;"Evet",Topraklar!$K$13&lt;&gt;Bitkiler!$C$73)),0,MAX(0,1-(Ayarlar!$B$2*ABS(Bitkiler!$D$73-Topraklar!$D$13)+Ayarlar!$B$3*ABS(Bitkiler!$E$73-Topraklar!$E$13)+Ayarlar!$B$4*ABS(Bitkiler!$F$73-Topraklar!$F$13)+Ayarlar!$B$5*ABS(Bitkiler!$G$73-Topraklar!$G$13)+Ayarlar!$B$6*IF(Bitkiler!$H$73=Topraklar!$H$13,0,1))/Ayarlar!$B$7)+IF(Topraklar!$K$13=Bitkiler!$C$73,0.002,IF(Topraklar!$L$13="Evet",0.001,0)))</f>
        <v/>
      </c>
      <c r="N74" s="16">
        <f>IF(OR(Topraklar!$J$14="Evet",AND(Topraklar!$L$14&lt;&gt;"Evet",Topraklar!$K$14&lt;&gt;Bitkiler!$C$73)),0,MAX(0,1-(Ayarlar!$B$2*ABS(Bitkiler!$D$73-Topraklar!$D$14)+Ayarlar!$B$3*ABS(Bitkiler!$E$73-Topraklar!$E$14)+Ayarlar!$B$4*ABS(Bitkiler!$F$73-Topraklar!$F$14)+Ayarlar!$B$5*ABS(Bitkiler!$G$73-Topraklar!$G$14)+Ayarlar!$B$6*IF(Bitkiler!$H$73=Topraklar!$H$14,0,1))/Ayarlar!$B$7)+IF(Topraklar!$K$14=Bitkiler!$C$73,0.002,IF(Topraklar!$L$14="Evet",0.001,0)))</f>
        <v/>
      </c>
      <c r="O74" s="16">
        <f>IF(OR(Topraklar!$J$15="Evet",AND(Topraklar!$L$15&lt;&gt;"Evet",Topraklar!$K$15&lt;&gt;Bitkiler!$C$73)),0,MAX(0,1-(Ayarlar!$B$2*ABS(Bitkiler!$D$73-Topraklar!$D$15)+Ayarlar!$B$3*ABS(Bitkiler!$E$73-Topraklar!$E$15)+Ayarlar!$B$4*ABS(Bitkiler!$F$73-Topraklar!$F$15)+Ayarlar!$B$5*ABS(Bitkiler!$G$73-Topraklar!$G$15)+Ayarlar!$B$6*IF(Bitkiler!$H$73=Topraklar!$H$15,0,1))/Ayarlar!$B$7)+IF(Topraklar!$K$15=Bitkiler!$C$73,0.002,IF(Topraklar!$L$15="Evet",0.001,0)))</f>
        <v/>
      </c>
      <c r="P74" s="16">
        <f>IF(OR(Topraklar!$J$16="Evet",AND(Topraklar!$L$16&lt;&gt;"Evet",Topraklar!$K$16&lt;&gt;Bitkiler!$C$73)),0,MAX(0,1-(Ayarlar!$B$2*ABS(Bitkiler!$D$73-Topraklar!$D$16)+Ayarlar!$B$3*ABS(Bitkiler!$E$73-Topraklar!$E$16)+Ayarlar!$B$4*ABS(Bitkiler!$F$73-Topraklar!$F$16)+Ayarlar!$B$5*ABS(Bitkiler!$G$73-Topraklar!$G$16)+Ayarlar!$B$6*IF(Bitkiler!$H$73=Topraklar!$H$16,0,1))/Ayarlar!$B$7)+IF(Topraklar!$K$16=Bitkiler!$C$73,0.002,IF(Topraklar!$L$16="Evet",0.001,0)))</f>
        <v/>
      </c>
      <c r="Q74" s="16">
        <f>IF(OR(Topraklar!$J$17="Evet",AND(Topraklar!$L$17&lt;&gt;"Evet",Topraklar!$K$17&lt;&gt;Bitkiler!$C$73)),0,MAX(0,1-(Ayarlar!$B$2*ABS(Bitkiler!$D$73-Topraklar!$D$17)+Ayarlar!$B$3*ABS(Bitkiler!$E$73-Topraklar!$E$17)+Ayarlar!$B$4*ABS(Bitkiler!$F$73-Topraklar!$F$17)+Ayarlar!$B$5*ABS(Bitkiler!$G$73-Topraklar!$G$17)+Ayarlar!$B$6*IF(Bitkiler!$H$73=Topraklar!$H$17,0,1))/Ayarlar!$B$7)+IF(Topraklar!$K$17=Bitkiler!$C$73,0.002,IF(Topraklar!$L$17="Evet",0.001,0)))</f>
        <v/>
      </c>
      <c r="R74" s="16">
        <f>IF(OR(Topraklar!$J$18="Evet",AND(Topraklar!$L$18&lt;&gt;"Evet",Topraklar!$K$18&lt;&gt;Bitkiler!$C$73)),0,MAX(0,1-(Ayarlar!$B$2*ABS(Bitkiler!$D$73-Topraklar!$D$18)+Ayarlar!$B$3*ABS(Bitkiler!$E$73-Topraklar!$E$18)+Ayarlar!$B$4*ABS(Bitkiler!$F$73-Topraklar!$F$18)+Ayarlar!$B$5*ABS(Bitkiler!$G$73-Topraklar!$G$18)+Ayarlar!$B$6*IF(Bitkiler!$H$73=Topraklar!$H$18,0,1))/Ayarlar!$B$7)+IF(Topraklar!$K$18=Bitkiler!$C$73,0.002,IF(Topraklar!$L$18="Evet",0.001,0)))</f>
        <v/>
      </c>
      <c r="S74" s="16">
        <f>IF(OR(Topraklar!$J$19="Evet",AND(Topraklar!$L$19&lt;&gt;"Evet",Topraklar!$K$19&lt;&gt;Bitkiler!$C$73)),0,MAX(0,1-(Ayarlar!$B$2*ABS(Bitkiler!$D$73-Topraklar!$D$19)+Ayarlar!$B$3*ABS(Bitkiler!$E$73-Topraklar!$E$19)+Ayarlar!$B$4*ABS(Bitkiler!$F$73-Topraklar!$F$19)+Ayarlar!$B$5*ABS(Bitkiler!$G$73-Topraklar!$G$19)+Ayarlar!$B$6*IF(Bitkiler!$H$73=Topraklar!$H$19,0,1))/Ayarlar!$B$7)+IF(Topraklar!$K$19=Bitkiler!$C$73,0.002,IF(Topraklar!$L$19="Evet",0.001,0)))</f>
        <v/>
      </c>
      <c r="T74" s="16">
        <f>IF(OR(Topraklar!$J$20="Evet",AND(Topraklar!$L$20&lt;&gt;"Evet",Topraklar!$K$20&lt;&gt;Bitkiler!$C$73)),0,MAX(0,1-(Ayarlar!$B$2*ABS(Bitkiler!$D$73-Topraklar!$D$20)+Ayarlar!$B$3*ABS(Bitkiler!$E$73-Topraklar!$E$20)+Ayarlar!$B$4*ABS(Bitkiler!$F$73-Topraklar!$F$20)+Ayarlar!$B$5*ABS(Bitkiler!$G$73-Topraklar!$G$20)+Ayarlar!$B$6*IF(Bitkiler!$H$73=Topraklar!$H$20,0,1))/Ayarlar!$B$7)+IF(Topraklar!$K$20=Bitkiler!$C$73,0.002,IF(Topraklar!$L$20="Evet",0.001,0)))</f>
        <v/>
      </c>
      <c r="U74" s="16">
        <f>IF(OR(Topraklar!$J$21="Evet",AND(Topraklar!$L$21&lt;&gt;"Evet",Topraklar!$K$21&lt;&gt;Bitkiler!$C$73)),0,MAX(0,1-(Ayarlar!$B$2*ABS(Bitkiler!$D$73-Topraklar!$D$21)+Ayarlar!$B$3*ABS(Bitkiler!$E$73-Topraklar!$E$21)+Ayarlar!$B$4*ABS(Bitkiler!$F$73-Topraklar!$F$21)+Ayarlar!$B$5*ABS(Bitkiler!$G$73-Topraklar!$G$21)+Ayarlar!$B$6*IF(Bitkiler!$H$73=Topraklar!$H$21,0,1))/Ayarlar!$B$7)+IF(Topraklar!$K$21=Bitkiler!$C$73,0.002,IF(Topraklar!$L$21="Evet",0.001,0)))</f>
        <v/>
      </c>
      <c r="V74" s="16">
        <f>IF(OR(Topraklar!$J$22="Evet",AND(Topraklar!$L$22&lt;&gt;"Evet",Topraklar!$K$22&lt;&gt;Bitkiler!$C$73)),0,MAX(0,1-(Ayarlar!$B$2*ABS(Bitkiler!$D$73-Topraklar!$D$22)+Ayarlar!$B$3*ABS(Bitkiler!$E$73-Topraklar!$E$22)+Ayarlar!$B$4*ABS(Bitkiler!$F$73-Topraklar!$F$22)+Ayarlar!$B$5*ABS(Bitkiler!$G$73-Topraklar!$G$22)+Ayarlar!$B$6*IF(Bitkiler!$H$73=Topraklar!$H$22,0,1))/Ayarlar!$B$7)+IF(Topraklar!$K$22=Bitkiler!$C$73,0.002,IF(Topraklar!$L$22="Evet",0.001,0)))</f>
        <v/>
      </c>
      <c r="W74" s="16">
        <f>IF(OR(Topraklar!$J$23="Evet",AND(Topraklar!$L$23&lt;&gt;"Evet",Topraklar!$K$23&lt;&gt;Bitkiler!$C$73)),0,MAX(0,1-(Ayarlar!$B$2*ABS(Bitkiler!$D$73-Topraklar!$D$23)+Ayarlar!$B$3*ABS(Bitkiler!$E$73-Topraklar!$E$23)+Ayarlar!$B$4*ABS(Bitkiler!$F$73-Topraklar!$F$23)+Ayarlar!$B$5*ABS(Bitkiler!$G$73-Topraklar!$G$23)+Ayarlar!$B$6*IF(Bitkiler!$H$73=Topraklar!$H$23,0,1))/Ayarlar!$B$7)+IF(Topraklar!$K$23=Bitkiler!$C$73,0.002,IF(Topraklar!$L$23="Evet",0.001,0)))</f>
        <v/>
      </c>
      <c r="X74" s="16">
        <f>IF(OR(Topraklar!$J$24="Evet",AND(Topraklar!$L$24&lt;&gt;"Evet",Topraklar!$K$24&lt;&gt;Bitkiler!$C$73)),0,MAX(0,1-(Ayarlar!$B$2*ABS(Bitkiler!$D$73-Topraklar!$D$24)+Ayarlar!$B$3*ABS(Bitkiler!$E$73-Topraklar!$E$24)+Ayarlar!$B$4*ABS(Bitkiler!$F$73-Topraklar!$F$24)+Ayarlar!$B$5*ABS(Bitkiler!$G$73-Topraklar!$G$24)+Ayarlar!$B$6*IF(Bitkiler!$H$73=Topraklar!$H$24,0,1))/Ayarlar!$B$7)+IF(Topraklar!$K$24=Bitkiler!$C$73,0.002,IF(Topraklar!$L$24="Evet",0.001,0)))</f>
        <v/>
      </c>
      <c r="Y74" s="16">
        <f>IF(OR(Topraklar!$J$25="Evet",AND(Topraklar!$L$25&lt;&gt;"Evet",Topraklar!$K$25&lt;&gt;Bitkiler!$C$73)),0,MAX(0,1-(Ayarlar!$B$2*ABS(Bitkiler!$D$73-Topraklar!$D$25)+Ayarlar!$B$3*ABS(Bitkiler!$E$73-Topraklar!$E$25)+Ayarlar!$B$4*ABS(Bitkiler!$F$73-Topraklar!$F$25)+Ayarlar!$B$5*ABS(Bitkiler!$G$73-Topraklar!$G$25)+Ayarlar!$B$6*IF(Bitkiler!$H$73=Topraklar!$H$25,0,1))/Ayarlar!$B$7)+IF(Topraklar!$K$25=Bitkiler!$C$73,0.002,IF(Topraklar!$L$25="Evet",0.001,0)))</f>
        <v/>
      </c>
      <c r="Z74" s="16">
        <f>IF(OR(Topraklar!$J$26="Evet",AND(Topraklar!$L$26&lt;&gt;"Evet",Topraklar!$K$26&lt;&gt;Bitkiler!$C$73)),0,MAX(0,1-(Ayarlar!$B$2*ABS(Bitkiler!$D$73-Topraklar!$D$26)+Ayarlar!$B$3*ABS(Bitkiler!$E$73-Topraklar!$E$26)+Ayarlar!$B$4*ABS(Bitkiler!$F$73-Topraklar!$F$26)+Ayarlar!$B$5*ABS(Bitkiler!$G$73-Topraklar!$G$26)+Ayarlar!$B$6*IF(Bitkiler!$H$73=Topraklar!$H$26,0,1))/Ayarlar!$B$7)+IF(Topraklar!$K$26=Bitkiler!$C$73,0.002,IF(Topraklar!$L$26="Evet",0.001,0)))</f>
        <v/>
      </c>
      <c r="AA74" s="16">
        <f>IF(OR(Topraklar!$J$27="Evet",AND(Topraklar!$L$27&lt;&gt;"Evet",Topraklar!$K$27&lt;&gt;Bitkiler!$C$73)),0,MAX(0,1-(Ayarlar!$B$2*ABS(Bitkiler!$D$73-Topraklar!$D$27)+Ayarlar!$B$3*ABS(Bitkiler!$E$73-Topraklar!$E$27)+Ayarlar!$B$4*ABS(Bitkiler!$F$73-Topraklar!$F$27)+Ayarlar!$B$5*ABS(Bitkiler!$G$73-Topraklar!$G$27)+Ayarlar!$B$6*IF(Bitkiler!$H$73=Topraklar!$H$27,0,1))/Ayarlar!$B$7)+IF(Topraklar!$K$27=Bitkiler!$C$73,0.002,IF(Topraklar!$L$27="Evet",0.001,0)))</f>
        <v/>
      </c>
      <c r="AB74" s="16">
        <f>IF(OR(Topraklar!$J$28="Evet",AND(Topraklar!$L$28&lt;&gt;"Evet",Topraklar!$K$28&lt;&gt;Bitkiler!$C$73)),0,MAX(0,1-(Ayarlar!$B$2*ABS(Bitkiler!$D$73-Topraklar!$D$28)+Ayarlar!$B$3*ABS(Bitkiler!$E$73-Topraklar!$E$28)+Ayarlar!$B$4*ABS(Bitkiler!$F$73-Topraklar!$F$28)+Ayarlar!$B$5*ABS(Bitkiler!$G$73-Topraklar!$G$28)+Ayarlar!$B$6*IF(Bitkiler!$H$73=Topraklar!$H$28,0,1))/Ayarlar!$B$7)+IF(Topraklar!$K$28=Bitkiler!$C$73,0.002,IF(Topraklar!$L$28="Evet",0.001,0)))</f>
        <v/>
      </c>
      <c r="AC74" s="16">
        <f>IF(OR(Topraklar!$J$29="Evet",AND(Topraklar!$L$29&lt;&gt;"Evet",Topraklar!$K$29&lt;&gt;Bitkiler!$C$73)),0,MAX(0,1-(Ayarlar!$B$2*ABS(Bitkiler!$D$73-Topraklar!$D$29)+Ayarlar!$B$3*ABS(Bitkiler!$E$73-Topraklar!$E$29)+Ayarlar!$B$4*ABS(Bitkiler!$F$73-Topraklar!$F$29)+Ayarlar!$B$5*ABS(Bitkiler!$G$73-Topraklar!$G$29)+Ayarlar!$B$6*IF(Bitkiler!$H$73=Topraklar!$H$29,0,1))/Ayarlar!$B$7)+IF(Topraklar!$K$29=Bitkiler!$C$73,0.002,IF(Topraklar!$L$29="Evet",0.001,0)))</f>
        <v/>
      </c>
      <c r="AD74" s="16">
        <f>IF(OR(Topraklar!$J$30="Evet",AND(Topraklar!$L$30&lt;&gt;"Evet",Topraklar!$K$30&lt;&gt;Bitkiler!$C$73)),0,MAX(0,1-(Ayarlar!$B$2*ABS(Bitkiler!$D$73-Topraklar!$D$30)+Ayarlar!$B$3*ABS(Bitkiler!$E$73-Topraklar!$E$30)+Ayarlar!$B$4*ABS(Bitkiler!$F$73-Topraklar!$F$30)+Ayarlar!$B$5*ABS(Bitkiler!$G$73-Topraklar!$G$30)+Ayarlar!$B$6*IF(Bitkiler!$H$73=Topraklar!$H$30,0,1))/Ayarlar!$B$7)+IF(Topraklar!$K$30=Bitkiler!$C$73,0.002,IF(Topraklar!$L$30="Evet",0.001,0)))</f>
        <v/>
      </c>
      <c r="AE74" s="16">
        <f>IF(OR(Topraklar!$J$31="Evet",AND(Topraklar!$L$31&lt;&gt;"Evet",Topraklar!$K$31&lt;&gt;Bitkiler!$C$73)),0,MAX(0,1-(Ayarlar!$B$2*ABS(Bitkiler!$D$73-Topraklar!$D$31)+Ayarlar!$B$3*ABS(Bitkiler!$E$73-Topraklar!$E$31)+Ayarlar!$B$4*ABS(Bitkiler!$F$73-Topraklar!$F$31)+Ayarlar!$B$5*ABS(Bitkiler!$G$73-Topraklar!$G$31)+Ayarlar!$B$6*IF(Bitkiler!$H$73=Topraklar!$H$31,0,1))/Ayarlar!$B$7)+IF(Topraklar!$K$31=Bitkiler!$C$73,0.002,IF(Topraklar!$L$31="Evet",0.001,0)))</f>
        <v/>
      </c>
      <c r="AF74" s="16">
        <f>IF(OR(Topraklar!$J$32="Evet",AND(Topraklar!$L$32&lt;&gt;"Evet",Topraklar!$K$32&lt;&gt;Bitkiler!$C$73)),0,MAX(0,1-(Ayarlar!$B$2*ABS(Bitkiler!$D$73-Topraklar!$D$32)+Ayarlar!$B$3*ABS(Bitkiler!$E$73-Topraklar!$E$32)+Ayarlar!$B$4*ABS(Bitkiler!$F$73-Topraklar!$F$32)+Ayarlar!$B$5*ABS(Bitkiler!$G$73-Topraklar!$G$32)+Ayarlar!$B$6*IF(Bitkiler!$H$73=Topraklar!$H$32,0,1))/Ayarlar!$B$7)+IF(Topraklar!$K$32=Bitkiler!$C$73,0.002,IF(Topraklar!$L$32="Evet",0.001,0)))</f>
        <v/>
      </c>
      <c r="AG74" s="16">
        <f>IF(OR(Topraklar!$J$33="Evet",AND(Topraklar!$L$33&lt;&gt;"Evet",Topraklar!$K$33&lt;&gt;Bitkiler!$C$73)),0,MAX(0,1-(Ayarlar!$B$2*ABS(Bitkiler!$D$73-Topraklar!$D$33)+Ayarlar!$B$3*ABS(Bitkiler!$E$73-Topraklar!$E$33)+Ayarlar!$B$4*ABS(Bitkiler!$F$73-Topraklar!$F$33)+Ayarlar!$B$5*ABS(Bitkiler!$G$73-Topraklar!$G$33)+Ayarlar!$B$6*IF(Bitkiler!$H$73=Topraklar!$H$33,0,1))/Ayarlar!$B$7)+IF(Topraklar!$K$33=Bitkiler!$C$73,0.002,IF(Topraklar!$L$33="Evet",0.001,0)))</f>
        <v/>
      </c>
      <c r="AH74" s="16">
        <f>IF(OR(Topraklar!$J$34="Evet",AND(Topraklar!$L$34&lt;&gt;"Evet",Topraklar!$K$34&lt;&gt;Bitkiler!$C$73)),0,MAX(0,1-(Ayarlar!$B$2*ABS(Bitkiler!$D$73-Topraklar!$D$34)+Ayarlar!$B$3*ABS(Bitkiler!$E$73-Topraklar!$E$34)+Ayarlar!$B$4*ABS(Bitkiler!$F$73-Topraklar!$F$34)+Ayarlar!$B$5*ABS(Bitkiler!$G$73-Topraklar!$G$34)+Ayarlar!$B$6*IF(Bitkiler!$H$73=Topraklar!$H$34,0,1))/Ayarlar!$B$7)+IF(Topraklar!$K$34=Bitkiler!$C$73,0.002,IF(Topraklar!$L$34="Evet",0.001,0)))</f>
        <v/>
      </c>
      <c r="AI74" s="16">
        <f>IF(OR(Topraklar!$J$35="Evet",AND(Topraklar!$L$35&lt;&gt;"Evet",Topraklar!$K$35&lt;&gt;Bitkiler!$C$73)),0,MAX(0,1-(Ayarlar!$B$2*ABS(Bitkiler!$D$73-Topraklar!$D$35)+Ayarlar!$B$3*ABS(Bitkiler!$E$73-Topraklar!$E$35)+Ayarlar!$B$4*ABS(Bitkiler!$F$73-Topraklar!$F$35)+Ayarlar!$B$5*ABS(Bitkiler!$G$73-Topraklar!$G$35)+Ayarlar!$B$6*IF(Bitkiler!$H$73=Topraklar!$H$35,0,1))/Ayarlar!$B$7)+IF(Topraklar!$K$35=Bitkiler!$C$73,0.002,IF(Topraklar!$L$35="Evet",0.001,0)))</f>
        <v/>
      </c>
      <c r="AJ74" s="16">
        <f>IF(OR(Topraklar!$J$36="Evet",AND(Topraklar!$L$36&lt;&gt;"Evet",Topraklar!$K$36&lt;&gt;Bitkiler!$C$73)),0,MAX(0,1-(Ayarlar!$B$2*ABS(Bitkiler!$D$73-Topraklar!$D$36)+Ayarlar!$B$3*ABS(Bitkiler!$E$73-Topraklar!$E$36)+Ayarlar!$B$4*ABS(Bitkiler!$F$73-Topraklar!$F$36)+Ayarlar!$B$5*ABS(Bitkiler!$G$73-Topraklar!$G$36)+Ayarlar!$B$6*IF(Bitkiler!$H$73=Topraklar!$H$36,0,1))/Ayarlar!$B$7)+IF(Topraklar!$K$36=Bitkiler!$C$73,0.002,IF(Topraklar!$L$36="Evet",0.001,0)))</f>
        <v/>
      </c>
      <c r="AK74" s="16">
        <f>IF(OR(Topraklar!$J$37="Evet",AND(Topraklar!$L$37&lt;&gt;"Evet",Topraklar!$K$37&lt;&gt;Bitkiler!$C$73)),0,MAX(0,1-(Ayarlar!$B$2*ABS(Bitkiler!$D$73-Topraklar!$D$37)+Ayarlar!$B$3*ABS(Bitkiler!$E$73-Topraklar!$E$37)+Ayarlar!$B$4*ABS(Bitkiler!$F$73-Topraklar!$F$37)+Ayarlar!$B$5*ABS(Bitkiler!$G$73-Topraklar!$G$37)+Ayarlar!$B$6*IF(Bitkiler!$H$73=Topraklar!$H$37,0,1))/Ayarlar!$B$7)+IF(Topraklar!$K$37=Bitkiler!$C$73,0.002,IF(Topraklar!$L$37="Evet",0.001,0)))</f>
        <v/>
      </c>
      <c r="AL74" s="16">
        <f>IF(OR(Topraklar!$J$38="Evet",AND(Topraklar!$L$38&lt;&gt;"Evet",Topraklar!$K$38&lt;&gt;Bitkiler!$C$73)),0,MAX(0,1-(Ayarlar!$B$2*ABS(Bitkiler!$D$73-Topraklar!$D$38)+Ayarlar!$B$3*ABS(Bitkiler!$E$73-Topraklar!$E$38)+Ayarlar!$B$4*ABS(Bitkiler!$F$73-Topraklar!$F$38)+Ayarlar!$B$5*ABS(Bitkiler!$G$73-Topraklar!$G$38)+Ayarlar!$B$6*IF(Bitkiler!$H$73=Topraklar!$H$38,0,1))/Ayarlar!$B$7)+IF(Topraklar!$K$38=Bitkiler!$C$73,0.002,IF(Topraklar!$L$38="Evet",0.001,0)))</f>
        <v/>
      </c>
      <c r="AM74" s="16">
        <f>IF(OR(Topraklar!$J$39="Evet",AND(Topraklar!$L$39&lt;&gt;"Evet",Topraklar!$K$39&lt;&gt;Bitkiler!$C$73)),0,MAX(0,1-(Ayarlar!$B$2*ABS(Bitkiler!$D$73-Topraklar!$D$39)+Ayarlar!$B$3*ABS(Bitkiler!$E$73-Topraklar!$E$39)+Ayarlar!$B$4*ABS(Bitkiler!$F$73-Topraklar!$F$39)+Ayarlar!$B$5*ABS(Bitkiler!$G$73-Topraklar!$G$39)+Ayarlar!$B$6*IF(Bitkiler!$H$73=Topraklar!$H$39,0,1))/Ayarlar!$B$7)+IF(Topraklar!$K$39=Bitkiler!$C$73,0.002,IF(Topraklar!$L$39="Evet",0.001,0)))</f>
        <v/>
      </c>
      <c r="AN74" s="16">
        <f>IF(OR(Topraklar!$J$40="Evet",AND(Topraklar!$L$40&lt;&gt;"Evet",Topraklar!$K$40&lt;&gt;Bitkiler!$C$73)),0,MAX(0,1-(Ayarlar!$B$2*ABS(Bitkiler!$D$73-Topraklar!$D$40)+Ayarlar!$B$3*ABS(Bitkiler!$E$73-Topraklar!$E$40)+Ayarlar!$B$4*ABS(Bitkiler!$F$73-Topraklar!$F$40)+Ayarlar!$B$5*ABS(Bitkiler!$G$73-Topraklar!$G$40)+Ayarlar!$B$6*IF(Bitkiler!$H$73=Topraklar!$H$40,0,1))/Ayarlar!$B$7)+IF(Topraklar!$K$40=Bitkiler!$C$73,0.002,IF(Topraklar!$L$40="Evet",0.001,0)))</f>
        <v/>
      </c>
      <c r="AO74" s="16">
        <f>IF(OR(Topraklar!$J$41="Evet",AND(Topraklar!$L$41&lt;&gt;"Evet",Topraklar!$K$41&lt;&gt;Bitkiler!$C$73)),0,MAX(0,1-(Ayarlar!$B$2*ABS(Bitkiler!$D$73-Topraklar!$D$41)+Ayarlar!$B$3*ABS(Bitkiler!$E$73-Topraklar!$E$41)+Ayarlar!$B$4*ABS(Bitkiler!$F$73-Topraklar!$F$41)+Ayarlar!$B$5*ABS(Bitkiler!$G$73-Topraklar!$G$41)+Ayarlar!$B$6*IF(Bitkiler!$H$73=Topraklar!$H$41,0,1))/Ayarlar!$B$7)+IF(Topraklar!$K$41=Bitkiler!$C$73,0.002,IF(Topraklar!$L$41="Evet",0.001,0)))</f>
        <v/>
      </c>
      <c r="AP74" s="16">
        <f>IF(OR(Topraklar!$J$42="Evet",AND(Topraklar!$L$42&lt;&gt;"Evet",Topraklar!$K$42&lt;&gt;Bitkiler!$C$73)),0,MAX(0,1-(Ayarlar!$B$2*ABS(Bitkiler!$D$73-Topraklar!$D$42)+Ayarlar!$B$3*ABS(Bitkiler!$E$73-Topraklar!$E$42)+Ayarlar!$B$4*ABS(Bitkiler!$F$73-Topraklar!$F$42)+Ayarlar!$B$5*ABS(Bitkiler!$G$73-Topraklar!$G$42)+Ayarlar!$B$6*IF(Bitkiler!$H$73=Topraklar!$H$42,0,1))/Ayarlar!$B$7)+IF(Topraklar!$K$42=Bitkiler!$C$73,0.002,IF(Topraklar!$L$42="Evet",0.001,0)))</f>
        <v/>
      </c>
      <c r="AQ74" s="16">
        <f>IF(OR(Topraklar!$J$43="Evet",AND(Topraklar!$L$43&lt;&gt;"Evet",Topraklar!$K$43&lt;&gt;Bitkiler!$C$73)),0,MAX(0,1-(Ayarlar!$B$2*ABS(Bitkiler!$D$73-Topraklar!$D$43)+Ayarlar!$B$3*ABS(Bitkiler!$E$73-Topraklar!$E$43)+Ayarlar!$B$4*ABS(Bitkiler!$F$73-Topraklar!$F$43)+Ayarlar!$B$5*ABS(Bitkiler!$G$73-Topraklar!$G$43)+Ayarlar!$B$6*IF(Bitkiler!$H$73=Topraklar!$H$43,0,1))/Ayarlar!$B$7)+IF(Topraklar!$K$43=Bitkiler!$C$73,0.002,IF(Topraklar!$L$43="Evet",0.001,0)))</f>
        <v/>
      </c>
      <c r="AR74" s="16">
        <f>IF(OR(Topraklar!$J$44="Evet",AND(Topraklar!$L$44&lt;&gt;"Evet",Topraklar!$K$44&lt;&gt;Bitkiler!$C$73)),0,MAX(0,1-(Ayarlar!$B$2*ABS(Bitkiler!$D$73-Topraklar!$D$44)+Ayarlar!$B$3*ABS(Bitkiler!$E$73-Topraklar!$E$44)+Ayarlar!$B$4*ABS(Bitkiler!$F$73-Topraklar!$F$44)+Ayarlar!$B$5*ABS(Bitkiler!$G$73-Topraklar!$G$44)+Ayarlar!$B$6*IF(Bitkiler!$H$73=Topraklar!$H$44,0,1))/Ayarlar!$B$7)+IF(Topraklar!$K$44=Bitkiler!$C$73,0.002,IF(Topraklar!$L$44="Evet",0.001,0)))</f>
        <v/>
      </c>
      <c r="AS74" s="16">
        <f>IF(OR(Topraklar!$J$45="Evet",AND(Topraklar!$L$45&lt;&gt;"Evet",Topraklar!$K$45&lt;&gt;Bitkiler!$C$73)),0,MAX(0,1-(Ayarlar!$B$2*ABS(Bitkiler!$D$73-Topraklar!$D$45)+Ayarlar!$B$3*ABS(Bitkiler!$E$73-Topraklar!$E$45)+Ayarlar!$B$4*ABS(Bitkiler!$F$73-Topraklar!$F$45)+Ayarlar!$B$5*ABS(Bitkiler!$G$73-Topraklar!$G$45)+Ayarlar!$B$6*IF(Bitkiler!$H$73=Topraklar!$H$45,0,1))/Ayarlar!$B$7)+IF(Topraklar!$K$45=Bitkiler!$C$73,0.002,IF(Topraklar!$L$45="Evet",0.001,0)))</f>
        <v/>
      </c>
      <c r="AT74" s="16">
        <f>IF(OR(Topraklar!$J$46="Evet",AND(Topraklar!$L$46&lt;&gt;"Evet",Topraklar!$K$46&lt;&gt;Bitkiler!$C$73)),0,MAX(0,1-(Ayarlar!$B$2*ABS(Bitkiler!$D$73-Topraklar!$D$46)+Ayarlar!$B$3*ABS(Bitkiler!$E$73-Topraklar!$E$46)+Ayarlar!$B$4*ABS(Bitkiler!$F$73-Topraklar!$F$46)+Ayarlar!$B$5*ABS(Bitkiler!$G$73-Topraklar!$G$46)+Ayarlar!$B$6*IF(Bitkiler!$H$73=Topraklar!$H$46,0,1))/Ayarlar!$B$7)+IF(Topraklar!$K$46=Bitkiler!$C$73,0.002,IF(Topraklar!$L$46="Evet",0.001,0)))</f>
        <v/>
      </c>
      <c r="AU74" s="16">
        <f>IF(OR(Topraklar!$J$47="Evet",AND(Topraklar!$L$47&lt;&gt;"Evet",Topraklar!$K$47&lt;&gt;Bitkiler!$C$73)),0,MAX(0,1-(Ayarlar!$B$2*ABS(Bitkiler!$D$73-Topraklar!$D$47)+Ayarlar!$B$3*ABS(Bitkiler!$E$73-Topraklar!$E$47)+Ayarlar!$B$4*ABS(Bitkiler!$F$73-Topraklar!$F$47)+Ayarlar!$B$5*ABS(Bitkiler!$G$73-Topraklar!$G$47)+Ayarlar!$B$6*IF(Bitkiler!$H$73=Topraklar!$H$47,0,1))/Ayarlar!$B$7)+IF(Topraklar!$K$47=Bitkiler!$C$73,0.002,IF(Topraklar!$L$47="Evet",0.001,0)))</f>
        <v/>
      </c>
      <c r="AV74" s="16">
        <f>IF(OR(Topraklar!$J$48="Evet",AND(Topraklar!$L$48&lt;&gt;"Evet",Topraklar!$K$48&lt;&gt;Bitkiler!$C$73)),0,MAX(0,1-(Ayarlar!$B$2*ABS(Bitkiler!$D$73-Topraklar!$D$48)+Ayarlar!$B$3*ABS(Bitkiler!$E$73-Topraklar!$E$48)+Ayarlar!$B$4*ABS(Bitkiler!$F$73-Topraklar!$F$48)+Ayarlar!$B$5*ABS(Bitkiler!$G$73-Topraklar!$G$48)+Ayarlar!$B$6*IF(Bitkiler!$H$73=Topraklar!$H$48,0,1))/Ayarlar!$B$7)+IF(Topraklar!$K$48=Bitkiler!$C$73,0.002,IF(Topraklar!$L$48="Evet",0.001,0)))</f>
        <v/>
      </c>
      <c r="AW74" s="16">
        <f>IF(OR(Topraklar!$J$49="Evet",AND(Topraklar!$L$49&lt;&gt;"Evet",Topraklar!$K$49&lt;&gt;Bitkiler!$C$73)),0,MAX(0,1-(Ayarlar!$B$2*ABS(Bitkiler!$D$73-Topraklar!$D$49)+Ayarlar!$B$3*ABS(Bitkiler!$E$73-Topraklar!$E$49)+Ayarlar!$B$4*ABS(Bitkiler!$F$73-Topraklar!$F$49)+Ayarlar!$B$5*ABS(Bitkiler!$G$73-Topraklar!$G$49)+Ayarlar!$B$6*IF(Bitkiler!$H$73=Topraklar!$H$49,0,1))/Ayarlar!$B$7)+IF(Topraklar!$K$49=Bitkiler!$C$73,0.002,IF(Topraklar!$L$49="Evet",0.001,0)))</f>
        <v/>
      </c>
      <c r="AX74" s="16">
        <f>IF(OR(Topraklar!$J$50="Evet",AND(Topraklar!$L$50&lt;&gt;"Evet",Topraklar!$K$50&lt;&gt;Bitkiler!$C$73)),0,MAX(0,1-(Ayarlar!$B$2*ABS(Bitkiler!$D$73-Topraklar!$D$50)+Ayarlar!$B$3*ABS(Bitkiler!$E$73-Topraklar!$E$50)+Ayarlar!$B$4*ABS(Bitkiler!$F$73-Topraklar!$F$50)+Ayarlar!$B$5*ABS(Bitkiler!$G$73-Topraklar!$G$50)+Ayarlar!$B$6*IF(Bitkiler!$H$73=Topraklar!$H$50,0,1))/Ayarlar!$B$7)+IF(Topraklar!$K$50=Bitkiler!$C$73,0.002,IF(Topraklar!$L$50="Evet",0.001,0)))</f>
        <v/>
      </c>
      <c r="AY74" s="16">
        <f>IF(OR(Topraklar!$J$51="Evet",AND(Topraklar!$L$51&lt;&gt;"Evet",Topraklar!$K$51&lt;&gt;Bitkiler!$C$73)),0,MAX(0,1-(Ayarlar!$B$2*ABS(Bitkiler!$D$73-Topraklar!$D$51)+Ayarlar!$B$3*ABS(Bitkiler!$E$73-Topraklar!$E$51)+Ayarlar!$B$4*ABS(Bitkiler!$F$73-Topraklar!$F$51)+Ayarlar!$B$5*ABS(Bitkiler!$G$73-Topraklar!$G$51)+Ayarlar!$B$6*IF(Bitkiler!$H$73=Topraklar!$H$51,0,1))/Ayarlar!$B$7)+IF(Topraklar!$K$51=Bitkiler!$C$73,0.002,IF(Topraklar!$L$51="Evet",0.001,0)))</f>
        <v/>
      </c>
    </row>
    <row r="75">
      <c r="A75" s="15">
        <f>Bitkiler!A74</f>
        <v/>
      </c>
      <c r="B75" s="16">
        <f>IF(OR(Topraklar!$J$2="Evet",AND(Topraklar!$L$2&lt;&gt;"Evet",Topraklar!$K$2&lt;&gt;Bitkiler!$C$74)),0,MAX(0,1-(Ayarlar!$B$2*ABS(Bitkiler!$D$74-Topraklar!$D$2)+Ayarlar!$B$3*ABS(Bitkiler!$E$74-Topraklar!$E$2)+Ayarlar!$B$4*ABS(Bitkiler!$F$74-Topraklar!$F$2)+Ayarlar!$B$5*ABS(Bitkiler!$G$74-Topraklar!$G$2)+Ayarlar!$B$6*IF(Bitkiler!$H$74=Topraklar!$H$2,0,1))/Ayarlar!$B$7)+IF(Topraklar!$K$2=Bitkiler!$C$74,0.002,IF(Topraklar!$L$2="Evet",0.001,0)))</f>
        <v/>
      </c>
      <c r="C75" s="16">
        <f>IF(OR(Topraklar!$J$3="Evet",AND(Topraklar!$L$3&lt;&gt;"Evet",Topraklar!$K$3&lt;&gt;Bitkiler!$C$74)),0,MAX(0,1-(Ayarlar!$B$2*ABS(Bitkiler!$D$74-Topraklar!$D$3)+Ayarlar!$B$3*ABS(Bitkiler!$E$74-Topraklar!$E$3)+Ayarlar!$B$4*ABS(Bitkiler!$F$74-Topraklar!$F$3)+Ayarlar!$B$5*ABS(Bitkiler!$G$74-Topraklar!$G$3)+Ayarlar!$B$6*IF(Bitkiler!$H$74=Topraklar!$H$3,0,1))/Ayarlar!$B$7)+IF(Topraklar!$K$3=Bitkiler!$C$74,0.002,IF(Topraklar!$L$3="Evet",0.001,0)))</f>
        <v/>
      </c>
      <c r="D75" s="16">
        <f>IF(OR(Topraklar!$J$4="Evet",AND(Topraklar!$L$4&lt;&gt;"Evet",Topraklar!$K$4&lt;&gt;Bitkiler!$C$74)),0,MAX(0,1-(Ayarlar!$B$2*ABS(Bitkiler!$D$74-Topraklar!$D$4)+Ayarlar!$B$3*ABS(Bitkiler!$E$74-Topraklar!$E$4)+Ayarlar!$B$4*ABS(Bitkiler!$F$74-Topraklar!$F$4)+Ayarlar!$B$5*ABS(Bitkiler!$G$74-Topraklar!$G$4)+Ayarlar!$B$6*IF(Bitkiler!$H$74=Topraklar!$H$4,0,1))/Ayarlar!$B$7)+IF(Topraklar!$K$4=Bitkiler!$C$74,0.002,IF(Topraklar!$L$4="Evet",0.001,0)))</f>
        <v/>
      </c>
      <c r="E75" s="16">
        <f>IF(OR(Topraklar!$J$5="Evet",AND(Topraklar!$L$5&lt;&gt;"Evet",Topraklar!$K$5&lt;&gt;Bitkiler!$C$74)),0,MAX(0,1-(Ayarlar!$B$2*ABS(Bitkiler!$D$74-Topraklar!$D$5)+Ayarlar!$B$3*ABS(Bitkiler!$E$74-Topraklar!$E$5)+Ayarlar!$B$4*ABS(Bitkiler!$F$74-Topraklar!$F$5)+Ayarlar!$B$5*ABS(Bitkiler!$G$74-Topraklar!$G$5)+Ayarlar!$B$6*IF(Bitkiler!$H$74=Topraklar!$H$5,0,1))/Ayarlar!$B$7)+IF(Topraklar!$K$5=Bitkiler!$C$74,0.002,IF(Topraklar!$L$5="Evet",0.001,0)))</f>
        <v/>
      </c>
      <c r="F75" s="16">
        <f>IF(OR(Topraklar!$J$6="Evet",AND(Topraklar!$L$6&lt;&gt;"Evet",Topraklar!$K$6&lt;&gt;Bitkiler!$C$74)),0,MAX(0,1-(Ayarlar!$B$2*ABS(Bitkiler!$D$74-Topraklar!$D$6)+Ayarlar!$B$3*ABS(Bitkiler!$E$74-Topraklar!$E$6)+Ayarlar!$B$4*ABS(Bitkiler!$F$74-Topraklar!$F$6)+Ayarlar!$B$5*ABS(Bitkiler!$G$74-Topraklar!$G$6)+Ayarlar!$B$6*IF(Bitkiler!$H$74=Topraklar!$H$6,0,1))/Ayarlar!$B$7)+IF(Topraklar!$K$6=Bitkiler!$C$74,0.002,IF(Topraklar!$L$6="Evet",0.001,0)))</f>
        <v/>
      </c>
      <c r="G75" s="16">
        <f>IF(OR(Topraklar!$J$7="Evet",AND(Topraklar!$L$7&lt;&gt;"Evet",Topraklar!$K$7&lt;&gt;Bitkiler!$C$74)),0,MAX(0,1-(Ayarlar!$B$2*ABS(Bitkiler!$D$74-Topraklar!$D$7)+Ayarlar!$B$3*ABS(Bitkiler!$E$74-Topraklar!$E$7)+Ayarlar!$B$4*ABS(Bitkiler!$F$74-Topraklar!$F$7)+Ayarlar!$B$5*ABS(Bitkiler!$G$74-Topraklar!$G$7)+Ayarlar!$B$6*IF(Bitkiler!$H$74=Topraklar!$H$7,0,1))/Ayarlar!$B$7)+IF(Topraklar!$K$7=Bitkiler!$C$74,0.002,IF(Topraklar!$L$7="Evet",0.001,0)))</f>
        <v/>
      </c>
      <c r="H75" s="16">
        <f>IF(OR(Topraklar!$J$8="Evet",AND(Topraklar!$L$8&lt;&gt;"Evet",Topraklar!$K$8&lt;&gt;Bitkiler!$C$74)),0,MAX(0,1-(Ayarlar!$B$2*ABS(Bitkiler!$D$74-Topraklar!$D$8)+Ayarlar!$B$3*ABS(Bitkiler!$E$74-Topraklar!$E$8)+Ayarlar!$B$4*ABS(Bitkiler!$F$74-Topraklar!$F$8)+Ayarlar!$B$5*ABS(Bitkiler!$G$74-Topraklar!$G$8)+Ayarlar!$B$6*IF(Bitkiler!$H$74=Topraklar!$H$8,0,1))/Ayarlar!$B$7)+IF(Topraklar!$K$8=Bitkiler!$C$74,0.002,IF(Topraklar!$L$8="Evet",0.001,0)))</f>
        <v/>
      </c>
      <c r="I75" s="16">
        <f>IF(OR(Topraklar!$J$9="Evet",AND(Topraklar!$L$9&lt;&gt;"Evet",Topraklar!$K$9&lt;&gt;Bitkiler!$C$74)),0,MAX(0,1-(Ayarlar!$B$2*ABS(Bitkiler!$D$74-Topraklar!$D$9)+Ayarlar!$B$3*ABS(Bitkiler!$E$74-Topraklar!$E$9)+Ayarlar!$B$4*ABS(Bitkiler!$F$74-Topraklar!$F$9)+Ayarlar!$B$5*ABS(Bitkiler!$G$74-Topraklar!$G$9)+Ayarlar!$B$6*IF(Bitkiler!$H$74=Topraklar!$H$9,0,1))/Ayarlar!$B$7)+IF(Topraklar!$K$9=Bitkiler!$C$74,0.002,IF(Topraklar!$L$9="Evet",0.001,0)))</f>
        <v/>
      </c>
      <c r="J75" s="16">
        <f>IF(OR(Topraklar!$J$10="Evet",AND(Topraklar!$L$10&lt;&gt;"Evet",Topraklar!$K$10&lt;&gt;Bitkiler!$C$74)),0,MAX(0,1-(Ayarlar!$B$2*ABS(Bitkiler!$D$74-Topraklar!$D$10)+Ayarlar!$B$3*ABS(Bitkiler!$E$74-Topraklar!$E$10)+Ayarlar!$B$4*ABS(Bitkiler!$F$74-Topraklar!$F$10)+Ayarlar!$B$5*ABS(Bitkiler!$G$74-Topraklar!$G$10)+Ayarlar!$B$6*IF(Bitkiler!$H$74=Topraklar!$H$10,0,1))/Ayarlar!$B$7)+IF(Topraklar!$K$10=Bitkiler!$C$74,0.002,IF(Topraklar!$L$10="Evet",0.001,0)))</f>
        <v/>
      </c>
      <c r="K75" s="16">
        <f>IF(OR(Topraklar!$J$11="Evet",AND(Topraklar!$L$11&lt;&gt;"Evet",Topraklar!$K$11&lt;&gt;Bitkiler!$C$74)),0,MAX(0,1-(Ayarlar!$B$2*ABS(Bitkiler!$D$74-Topraklar!$D$11)+Ayarlar!$B$3*ABS(Bitkiler!$E$74-Topraklar!$E$11)+Ayarlar!$B$4*ABS(Bitkiler!$F$74-Topraklar!$F$11)+Ayarlar!$B$5*ABS(Bitkiler!$G$74-Topraklar!$G$11)+Ayarlar!$B$6*IF(Bitkiler!$H$74=Topraklar!$H$11,0,1))/Ayarlar!$B$7)+IF(Topraklar!$K$11=Bitkiler!$C$74,0.002,IF(Topraklar!$L$11="Evet",0.001,0)))</f>
        <v/>
      </c>
      <c r="L75" s="16">
        <f>IF(OR(Topraklar!$J$12="Evet",AND(Topraklar!$L$12&lt;&gt;"Evet",Topraklar!$K$12&lt;&gt;Bitkiler!$C$74)),0,MAX(0,1-(Ayarlar!$B$2*ABS(Bitkiler!$D$74-Topraklar!$D$12)+Ayarlar!$B$3*ABS(Bitkiler!$E$74-Topraklar!$E$12)+Ayarlar!$B$4*ABS(Bitkiler!$F$74-Topraklar!$F$12)+Ayarlar!$B$5*ABS(Bitkiler!$G$74-Topraklar!$G$12)+Ayarlar!$B$6*IF(Bitkiler!$H$74=Topraklar!$H$12,0,1))/Ayarlar!$B$7)+IF(Topraklar!$K$12=Bitkiler!$C$74,0.002,IF(Topraklar!$L$12="Evet",0.001,0)))</f>
        <v/>
      </c>
      <c r="M75" s="16">
        <f>IF(OR(Topraklar!$J$13="Evet",AND(Topraklar!$L$13&lt;&gt;"Evet",Topraklar!$K$13&lt;&gt;Bitkiler!$C$74)),0,MAX(0,1-(Ayarlar!$B$2*ABS(Bitkiler!$D$74-Topraklar!$D$13)+Ayarlar!$B$3*ABS(Bitkiler!$E$74-Topraklar!$E$13)+Ayarlar!$B$4*ABS(Bitkiler!$F$74-Topraklar!$F$13)+Ayarlar!$B$5*ABS(Bitkiler!$G$74-Topraklar!$G$13)+Ayarlar!$B$6*IF(Bitkiler!$H$74=Topraklar!$H$13,0,1))/Ayarlar!$B$7)+IF(Topraklar!$K$13=Bitkiler!$C$74,0.002,IF(Topraklar!$L$13="Evet",0.001,0)))</f>
        <v/>
      </c>
      <c r="N75" s="16">
        <f>IF(OR(Topraklar!$J$14="Evet",AND(Topraklar!$L$14&lt;&gt;"Evet",Topraklar!$K$14&lt;&gt;Bitkiler!$C$74)),0,MAX(0,1-(Ayarlar!$B$2*ABS(Bitkiler!$D$74-Topraklar!$D$14)+Ayarlar!$B$3*ABS(Bitkiler!$E$74-Topraklar!$E$14)+Ayarlar!$B$4*ABS(Bitkiler!$F$74-Topraklar!$F$14)+Ayarlar!$B$5*ABS(Bitkiler!$G$74-Topraklar!$G$14)+Ayarlar!$B$6*IF(Bitkiler!$H$74=Topraklar!$H$14,0,1))/Ayarlar!$B$7)+IF(Topraklar!$K$14=Bitkiler!$C$74,0.002,IF(Topraklar!$L$14="Evet",0.001,0)))</f>
        <v/>
      </c>
      <c r="O75" s="16">
        <f>IF(OR(Topraklar!$J$15="Evet",AND(Topraklar!$L$15&lt;&gt;"Evet",Topraklar!$K$15&lt;&gt;Bitkiler!$C$74)),0,MAX(0,1-(Ayarlar!$B$2*ABS(Bitkiler!$D$74-Topraklar!$D$15)+Ayarlar!$B$3*ABS(Bitkiler!$E$74-Topraklar!$E$15)+Ayarlar!$B$4*ABS(Bitkiler!$F$74-Topraklar!$F$15)+Ayarlar!$B$5*ABS(Bitkiler!$G$74-Topraklar!$G$15)+Ayarlar!$B$6*IF(Bitkiler!$H$74=Topraklar!$H$15,0,1))/Ayarlar!$B$7)+IF(Topraklar!$K$15=Bitkiler!$C$74,0.002,IF(Topraklar!$L$15="Evet",0.001,0)))</f>
        <v/>
      </c>
      <c r="P75" s="16">
        <f>IF(OR(Topraklar!$J$16="Evet",AND(Topraklar!$L$16&lt;&gt;"Evet",Topraklar!$K$16&lt;&gt;Bitkiler!$C$74)),0,MAX(0,1-(Ayarlar!$B$2*ABS(Bitkiler!$D$74-Topraklar!$D$16)+Ayarlar!$B$3*ABS(Bitkiler!$E$74-Topraklar!$E$16)+Ayarlar!$B$4*ABS(Bitkiler!$F$74-Topraklar!$F$16)+Ayarlar!$B$5*ABS(Bitkiler!$G$74-Topraklar!$G$16)+Ayarlar!$B$6*IF(Bitkiler!$H$74=Topraklar!$H$16,0,1))/Ayarlar!$B$7)+IF(Topraklar!$K$16=Bitkiler!$C$74,0.002,IF(Topraklar!$L$16="Evet",0.001,0)))</f>
        <v/>
      </c>
      <c r="Q75" s="16">
        <f>IF(OR(Topraklar!$J$17="Evet",AND(Topraklar!$L$17&lt;&gt;"Evet",Topraklar!$K$17&lt;&gt;Bitkiler!$C$74)),0,MAX(0,1-(Ayarlar!$B$2*ABS(Bitkiler!$D$74-Topraklar!$D$17)+Ayarlar!$B$3*ABS(Bitkiler!$E$74-Topraklar!$E$17)+Ayarlar!$B$4*ABS(Bitkiler!$F$74-Topraklar!$F$17)+Ayarlar!$B$5*ABS(Bitkiler!$G$74-Topraklar!$G$17)+Ayarlar!$B$6*IF(Bitkiler!$H$74=Topraklar!$H$17,0,1))/Ayarlar!$B$7)+IF(Topraklar!$K$17=Bitkiler!$C$74,0.002,IF(Topraklar!$L$17="Evet",0.001,0)))</f>
        <v/>
      </c>
      <c r="R75" s="16">
        <f>IF(OR(Topraklar!$J$18="Evet",AND(Topraklar!$L$18&lt;&gt;"Evet",Topraklar!$K$18&lt;&gt;Bitkiler!$C$74)),0,MAX(0,1-(Ayarlar!$B$2*ABS(Bitkiler!$D$74-Topraklar!$D$18)+Ayarlar!$B$3*ABS(Bitkiler!$E$74-Topraklar!$E$18)+Ayarlar!$B$4*ABS(Bitkiler!$F$74-Topraklar!$F$18)+Ayarlar!$B$5*ABS(Bitkiler!$G$74-Topraklar!$G$18)+Ayarlar!$B$6*IF(Bitkiler!$H$74=Topraklar!$H$18,0,1))/Ayarlar!$B$7)+IF(Topraklar!$K$18=Bitkiler!$C$74,0.002,IF(Topraklar!$L$18="Evet",0.001,0)))</f>
        <v/>
      </c>
      <c r="S75" s="16">
        <f>IF(OR(Topraklar!$J$19="Evet",AND(Topraklar!$L$19&lt;&gt;"Evet",Topraklar!$K$19&lt;&gt;Bitkiler!$C$74)),0,MAX(0,1-(Ayarlar!$B$2*ABS(Bitkiler!$D$74-Topraklar!$D$19)+Ayarlar!$B$3*ABS(Bitkiler!$E$74-Topraklar!$E$19)+Ayarlar!$B$4*ABS(Bitkiler!$F$74-Topraklar!$F$19)+Ayarlar!$B$5*ABS(Bitkiler!$G$74-Topraklar!$G$19)+Ayarlar!$B$6*IF(Bitkiler!$H$74=Topraklar!$H$19,0,1))/Ayarlar!$B$7)+IF(Topraklar!$K$19=Bitkiler!$C$74,0.002,IF(Topraklar!$L$19="Evet",0.001,0)))</f>
        <v/>
      </c>
      <c r="T75" s="16">
        <f>IF(OR(Topraklar!$J$20="Evet",AND(Topraklar!$L$20&lt;&gt;"Evet",Topraklar!$K$20&lt;&gt;Bitkiler!$C$74)),0,MAX(0,1-(Ayarlar!$B$2*ABS(Bitkiler!$D$74-Topraklar!$D$20)+Ayarlar!$B$3*ABS(Bitkiler!$E$74-Topraklar!$E$20)+Ayarlar!$B$4*ABS(Bitkiler!$F$74-Topraklar!$F$20)+Ayarlar!$B$5*ABS(Bitkiler!$G$74-Topraklar!$G$20)+Ayarlar!$B$6*IF(Bitkiler!$H$74=Topraklar!$H$20,0,1))/Ayarlar!$B$7)+IF(Topraklar!$K$20=Bitkiler!$C$74,0.002,IF(Topraklar!$L$20="Evet",0.001,0)))</f>
        <v/>
      </c>
      <c r="U75" s="16">
        <f>IF(OR(Topraklar!$J$21="Evet",AND(Topraklar!$L$21&lt;&gt;"Evet",Topraklar!$K$21&lt;&gt;Bitkiler!$C$74)),0,MAX(0,1-(Ayarlar!$B$2*ABS(Bitkiler!$D$74-Topraklar!$D$21)+Ayarlar!$B$3*ABS(Bitkiler!$E$74-Topraklar!$E$21)+Ayarlar!$B$4*ABS(Bitkiler!$F$74-Topraklar!$F$21)+Ayarlar!$B$5*ABS(Bitkiler!$G$74-Topraklar!$G$21)+Ayarlar!$B$6*IF(Bitkiler!$H$74=Topraklar!$H$21,0,1))/Ayarlar!$B$7)+IF(Topraklar!$K$21=Bitkiler!$C$74,0.002,IF(Topraklar!$L$21="Evet",0.001,0)))</f>
        <v/>
      </c>
      <c r="V75" s="16">
        <f>IF(OR(Topraklar!$J$22="Evet",AND(Topraklar!$L$22&lt;&gt;"Evet",Topraklar!$K$22&lt;&gt;Bitkiler!$C$74)),0,MAX(0,1-(Ayarlar!$B$2*ABS(Bitkiler!$D$74-Topraklar!$D$22)+Ayarlar!$B$3*ABS(Bitkiler!$E$74-Topraklar!$E$22)+Ayarlar!$B$4*ABS(Bitkiler!$F$74-Topraklar!$F$22)+Ayarlar!$B$5*ABS(Bitkiler!$G$74-Topraklar!$G$22)+Ayarlar!$B$6*IF(Bitkiler!$H$74=Topraklar!$H$22,0,1))/Ayarlar!$B$7)+IF(Topraklar!$K$22=Bitkiler!$C$74,0.002,IF(Topraklar!$L$22="Evet",0.001,0)))</f>
        <v/>
      </c>
      <c r="W75" s="16">
        <f>IF(OR(Topraklar!$J$23="Evet",AND(Topraklar!$L$23&lt;&gt;"Evet",Topraklar!$K$23&lt;&gt;Bitkiler!$C$74)),0,MAX(0,1-(Ayarlar!$B$2*ABS(Bitkiler!$D$74-Topraklar!$D$23)+Ayarlar!$B$3*ABS(Bitkiler!$E$74-Topraklar!$E$23)+Ayarlar!$B$4*ABS(Bitkiler!$F$74-Topraklar!$F$23)+Ayarlar!$B$5*ABS(Bitkiler!$G$74-Topraklar!$G$23)+Ayarlar!$B$6*IF(Bitkiler!$H$74=Topraklar!$H$23,0,1))/Ayarlar!$B$7)+IF(Topraklar!$K$23=Bitkiler!$C$74,0.002,IF(Topraklar!$L$23="Evet",0.001,0)))</f>
        <v/>
      </c>
      <c r="X75" s="16">
        <f>IF(OR(Topraklar!$J$24="Evet",AND(Topraklar!$L$24&lt;&gt;"Evet",Topraklar!$K$24&lt;&gt;Bitkiler!$C$74)),0,MAX(0,1-(Ayarlar!$B$2*ABS(Bitkiler!$D$74-Topraklar!$D$24)+Ayarlar!$B$3*ABS(Bitkiler!$E$74-Topraklar!$E$24)+Ayarlar!$B$4*ABS(Bitkiler!$F$74-Topraklar!$F$24)+Ayarlar!$B$5*ABS(Bitkiler!$G$74-Topraklar!$G$24)+Ayarlar!$B$6*IF(Bitkiler!$H$74=Topraklar!$H$24,0,1))/Ayarlar!$B$7)+IF(Topraklar!$K$24=Bitkiler!$C$74,0.002,IF(Topraklar!$L$24="Evet",0.001,0)))</f>
        <v/>
      </c>
      <c r="Y75" s="16">
        <f>IF(OR(Topraklar!$J$25="Evet",AND(Topraklar!$L$25&lt;&gt;"Evet",Topraklar!$K$25&lt;&gt;Bitkiler!$C$74)),0,MAX(0,1-(Ayarlar!$B$2*ABS(Bitkiler!$D$74-Topraklar!$D$25)+Ayarlar!$B$3*ABS(Bitkiler!$E$74-Topraklar!$E$25)+Ayarlar!$B$4*ABS(Bitkiler!$F$74-Topraklar!$F$25)+Ayarlar!$B$5*ABS(Bitkiler!$G$74-Topraklar!$G$25)+Ayarlar!$B$6*IF(Bitkiler!$H$74=Topraklar!$H$25,0,1))/Ayarlar!$B$7)+IF(Topraklar!$K$25=Bitkiler!$C$74,0.002,IF(Topraklar!$L$25="Evet",0.001,0)))</f>
        <v/>
      </c>
      <c r="Z75" s="16">
        <f>IF(OR(Topraklar!$J$26="Evet",AND(Topraklar!$L$26&lt;&gt;"Evet",Topraklar!$K$26&lt;&gt;Bitkiler!$C$74)),0,MAX(0,1-(Ayarlar!$B$2*ABS(Bitkiler!$D$74-Topraklar!$D$26)+Ayarlar!$B$3*ABS(Bitkiler!$E$74-Topraklar!$E$26)+Ayarlar!$B$4*ABS(Bitkiler!$F$74-Topraklar!$F$26)+Ayarlar!$B$5*ABS(Bitkiler!$G$74-Topraklar!$G$26)+Ayarlar!$B$6*IF(Bitkiler!$H$74=Topraklar!$H$26,0,1))/Ayarlar!$B$7)+IF(Topraklar!$K$26=Bitkiler!$C$74,0.002,IF(Topraklar!$L$26="Evet",0.001,0)))</f>
        <v/>
      </c>
      <c r="AA75" s="16">
        <f>IF(OR(Topraklar!$J$27="Evet",AND(Topraklar!$L$27&lt;&gt;"Evet",Topraklar!$K$27&lt;&gt;Bitkiler!$C$74)),0,MAX(0,1-(Ayarlar!$B$2*ABS(Bitkiler!$D$74-Topraklar!$D$27)+Ayarlar!$B$3*ABS(Bitkiler!$E$74-Topraklar!$E$27)+Ayarlar!$B$4*ABS(Bitkiler!$F$74-Topraklar!$F$27)+Ayarlar!$B$5*ABS(Bitkiler!$G$74-Topraklar!$G$27)+Ayarlar!$B$6*IF(Bitkiler!$H$74=Topraklar!$H$27,0,1))/Ayarlar!$B$7)+IF(Topraklar!$K$27=Bitkiler!$C$74,0.002,IF(Topraklar!$L$27="Evet",0.001,0)))</f>
        <v/>
      </c>
      <c r="AB75" s="16">
        <f>IF(OR(Topraklar!$J$28="Evet",AND(Topraklar!$L$28&lt;&gt;"Evet",Topraklar!$K$28&lt;&gt;Bitkiler!$C$74)),0,MAX(0,1-(Ayarlar!$B$2*ABS(Bitkiler!$D$74-Topraklar!$D$28)+Ayarlar!$B$3*ABS(Bitkiler!$E$74-Topraklar!$E$28)+Ayarlar!$B$4*ABS(Bitkiler!$F$74-Topraklar!$F$28)+Ayarlar!$B$5*ABS(Bitkiler!$G$74-Topraklar!$G$28)+Ayarlar!$B$6*IF(Bitkiler!$H$74=Topraklar!$H$28,0,1))/Ayarlar!$B$7)+IF(Topraklar!$K$28=Bitkiler!$C$74,0.002,IF(Topraklar!$L$28="Evet",0.001,0)))</f>
        <v/>
      </c>
      <c r="AC75" s="16">
        <f>IF(OR(Topraklar!$J$29="Evet",AND(Topraklar!$L$29&lt;&gt;"Evet",Topraklar!$K$29&lt;&gt;Bitkiler!$C$74)),0,MAX(0,1-(Ayarlar!$B$2*ABS(Bitkiler!$D$74-Topraklar!$D$29)+Ayarlar!$B$3*ABS(Bitkiler!$E$74-Topraklar!$E$29)+Ayarlar!$B$4*ABS(Bitkiler!$F$74-Topraklar!$F$29)+Ayarlar!$B$5*ABS(Bitkiler!$G$74-Topraklar!$G$29)+Ayarlar!$B$6*IF(Bitkiler!$H$74=Topraklar!$H$29,0,1))/Ayarlar!$B$7)+IF(Topraklar!$K$29=Bitkiler!$C$74,0.002,IF(Topraklar!$L$29="Evet",0.001,0)))</f>
        <v/>
      </c>
      <c r="AD75" s="16">
        <f>IF(OR(Topraklar!$J$30="Evet",AND(Topraklar!$L$30&lt;&gt;"Evet",Topraklar!$K$30&lt;&gt;Bitkiler!$C$74)),0,MAX(0,1-(Ayarlar!$B$2*ABS(Bitkiler!$D$74-Topraklar!$D$30)+Ayarlar!$B$3*ABS(Bitkiler!$E$74-Topraklar!$E$30)+Ayarlar!$B$4*ABS(Bitkiler!$F$74-Topraklar!$F$30)+Ayarlar!$B$5*ABS(Bitkiler!$G$74-Topraklar!$G$30)+Ayarlar!$B$6*IF(Bitkiler!$H$74=Topraklar!$H$30,0,1))/Ayarlar!$B$7)+IF(Topraklar!$K$30=Bitkiler!$C$74,0.002,IF(Topraklar!$L$30="Evet",0.001,0)))</f>
        <v/>
      </c>
      <c r="AE75" s="16">
        <f>IF(OR(Topraklar!$J$31="Evet",AND(Topraklar!$L$31&lt;&gt;"Evet",Topraklar!$K$31&lt;&gt;Bitkiler!$C$74)),0,MAX(0,1-(Ayarlar!$B$2*ABS(Bitkiler!$D$74-Topraklar!$D$31)+Ayarlar!$B$3*ABS(Bitkiler!$E$74-Topraklar!$E$31)+Ayarlar!$B$4*ABS(Bitkiler!$F$74-Topraklar!$F$31)+Ayarlar!$B$5*ABS(Bitkiler!$G$74-Topraklar!$G$31)+Ayarlar!$B$6*IF(Bitkiler!$H$74=Topraklar!$H$31,0,1))/Ayarlar!$B$7)+IF(Topraklar!$K$31=Bitkiler!$C$74,0.002,IF(Topraklar!$L$31="Evet",0.001,0)))</f>
        <v/>
      </c>
      <c r="AF75" s="16">
        <f>IF(OR(Topraklar!$J$32="Evet",AND(Topraklar!$L$32&lt;&gt;"Evet",Topraklar!$K$32&lt;&gt;Bitkiler!$C$74)),0,MAX(0,1-(Ayarlar!$B$2*ABS(Bitkiler!$D$74-Topraklar!$D$32)+Ayarlar!$B$3*ABS(Bitkiler!$E$74-Topraklar!$E$32)+Ayarlar!$B$4*ABS(Bitkiler!$F$74-Topraklar!$F$32)+Ayarlar!$B$5*ABS(Bitkiler!$G$74-Topraklar!$G$32)+Ayarlar!$B$6*IF(Bitkiler!$H$74=Topraklar!$H$32,0,1))/Ayarlar!$B$7)+IF(Topraklar!$K$32=Bitkiler!$C$74,0.002,IF(Topraklar!$L$32="Evet",0.001,0)))</f>
        <v/>
      </c>
      <c r="AG75" s="16">
        <f>IF(OR(Topraklar!$J$33="Evet",AND(Topraklar!$L$33&lt;&gt;"Evet",Topraklar!$K$33&lt;&gt;Bitkiler!$C$74)),0,MAX(0,1-(Ayarlar!$B$2*ABS(Bitkiler!$D$74-Topraklar!$D$33)+Ayarlar!$B$3*ABS(Bitkiler!$E$74-Topraklar!$E$33)+Ayarlar!$B$4*ABS(Bitkiler!$F$74-Topraklar!$F$33)+Ayarlar!$B$5*ABS(Bitkiler!$G$74-Topraklar!$G$33)+Ayarlar!$B$6*IF(Bitkiler!$H$74=Topraklar!$H$33,0,1))/Ayarlar!$B$7)+IF(Topraklar!$K$33=Bitkiler!$C$74,0.002,IF(Topraklar!$L$33="Evet",0.001,0)))</f>
        <v/>
      </c>
      <c r="AH75" s="16">
        <f>IF(OR(Topraklar!$J$34="Evet",AND(Topraklar!$L$34&lt;&gt;"Evet",Topraklar!$K$34&lt;&gt;Bitkiler!$C$74)),0,MAX(0,1-(Ayarlar!$B$2*ABS(Bitkiler!$D$74-Topraklar!$D$34)+Ayarlar!$B$3*ABS(Bitkiler!$E$74-Topraklar!$E$34)+Ayarlar!$B$4*ABS(Bitkiler!$F$74-Topraklar!$F$34)+Ayarlar!$B$5*ABS(Bitkiler!$G$74-Topraklar!$G$34)+Ayarlar!$B$6*IF(Bitkiler!$H$74=Topraklar!$H$34,0,1))/Ayarlar!$B$7)+IF(Topraklar!$K$34=Bitkiler!$C$74,0.002,IF(Topraklar!$L$34="Evet",0.001,0)))</f>
        <v/>
      </c>
      <c r="AI75" s="16">
        <f>IF(OR(Topraklar!$J$35="Evet",AND(Topraklar!$L$35&lt;&gt;"Evet",Topraklar!$K$35&lt;&gt;Bitkiler!$C$74)),0,MAX(0,1-(Ayarlar!$B$2*ABS(Bitkiler!$D$74-Topraklar!$D$35)+Ayarlar!$B$3*ABS(Bitkiler!$E$74-Topraklar!$E$35)+Ayarlar!$B$4*ABS(Bitkiler!$F$74-Topraklar!$F$35)+Ayarlar!$B$5*ABS(Bitkiler!$G$74-Topraklar!$G$35)+Ayarlar!$B$6*IF(Bitkiler!$H$74=Topraklar!$H$35,0,1))/Ayarlar!$B$7)+IF(Topraklar!$K$35=Bitkiler!$C$74,0.002,IF(Topraklar!$L$35="Evet",0.001,0)))</f>
        <v/>
      </c>
      <c r="AJ75" s="16">
        <f>IF(OR(Topraklar!$J$36="Evet",AND(Topraklar!$L$36&lt;&gt;"Evet",Topraklar!$K$36&lt;&gt;Bitkiler!$C$74)),0,MAX(0,1-(Ayarlar!$B$2*ABS(Bitkiler!$D$74-Topraklar!$D$36)+Ayarlar!$B$3*ABS(Bitkiler!$E$74-Topraklar!$E$36)+Ayarlar!$B$4*ABS(Bitkiler!$F$74-Topraklar!$F$36)+Ayarlar!$B$5*ABS(Bitkiler!$G$74-Topraklar!$G$36)+Ayarlar!$B$6*IF(Bitkiler!$H$74=Topraklar!$H$36,0,1))/Ayarlar!$B$7)+IF(Topraklar!$K$36=Bitkiler!$C$74,0.002,IF(Topraklar!$L$36="Evet",0.001,0)))</f>
        <v/>
      </c>
      <c r="AK75" s="16">
        <f>IF(OR(Topraklar!$J$37="Evet",AND(Topraklar!$L$37&lt;&gt;"Evet",Topraklar!$K$37&lt;&gt;Bitkiler!$C$74)),0,MAX(0,1-(Ayarlar!$B$2*ABS(Bitkiler!$D$74-Topraklar!$D$37)+Ayarlar!$B$3*ABS(Bitkiler!$E$74-Topraklar!$E$37)+Ayarlar!$B$4*ABS(Bitkiler!$F$74-Topraklar!$F$37)+Ayarlar!$B$5*ABS(Bitkiler!$G$74-Topraklar!$G$37)+Ayarlar!$B$6*IF(Bitkiler!$H$74=Topraklar!$H$37,0,1))/Ayarlar!$B$7)+IF(Topraklar!$K$37=Bitkiler!$C$74,0.002,IF(Topraklar!$L$37="Evet",0.001,0)))</f>
        <v/>
      </c>
      <c r="AL75" s="16">
        <f>IF(OR(Topraklar!$J$38="Evet",AND(Topraklar!$L$38&lt;&gt;"Evet",Topraklar!$K$38&lt;&gt;Bitkiler!$C$74)),0,MAX(0,1-(Ayarlar!$B$2*ABS(Bitkiler!$D$74-Topraklar!$D$38)+Ayarlar!$B$3*ABS(Bitkiler!$E$74-Topraklar!$E$38)+Ayarlar!$B$4*ABS(Bitkiler!$F$74-Topraklar!$F$38)+Ayarlar!$B$5*ABS(Bitkiler!$G$74-Topraklar!$G$38)+Ayarlar!$B$6*IF(Bitkiler!$H$74=Topraklar!$H$38,0,1))/Ayarlar!$B$7)+IF(Topraklar!$K$38=Bitkiler!$C$74,0.002,IF(Topraklar!$L$38="Evet",0.001,0)))</f>
        <v/>
      </c>
      <c r="AM75" s="16">
        <f>IF(OR(Topraklar!$J$39="Evet",AND(Topraklar!$L$39&lt;&gt;"Evet",Topraklar!$K$39&lt;&gt;Bitkiler!$C$74)),0,MAX(0,1-(Ayarlar!$B$2*ABS(Bitkiler!$D$74-Topraklar!$D$39)+Ayarlar!$B$3*ABS(Bitkiler!$E$74-Topraklar!$E$39)+Ayarlar!$B$4*ABS(Bitkiler!$F$74-Topraklar!$F$39)+Ayarlar!$B$5*ABS(Bitkiler!$G$74-Topraklar!$G$39)+Ayarlar!$B$6*IF(Bitkiler!$H$74=Topraklar!$H$39,0,1))/Ayarlar!$B$7)+IF(Topraklar!$K$39=Bitkiler!$C$74,0.002,IF(Topraklar!$L$39="Evet",0.001,0)))</f>
        <v/>
      </c>
      <c r="AN75" s="16">
        <f>IF(OR(Topraklar!$J$40="Evet",AND(Topraklar!$L$40&lt;&gt;"Evet",Topraklar!$K$40&lt;&gt;Bitkiler!$C$74)),0,MAX(0,1-(Ayarlar!$B$2*ABS(Bitkiler!$D$74-Topraklar!$D$40)+Ayarlar!$B$3*ABS(Bitkiler!$E$74-Topraklar!$E$40)+Ayarlar!$B$4*ABS(Bitkiler!$F$74-Topraklar!$F$40)+Ayarlar!$B$5*ABS(Bitkiler!$G$74-Topraklar!$G$40)+Ayarlar!$B$6*IF(Bitkiler!$H$74=Topraklar!$H$40,0,1))/Ayarlar!$B$7)+IF(Topraklar!$K$40=Bitkiler!$C$74,0.002,IF(Topraklar!$L$40="Evet",0.001,0)))</f>
        <v/>
      </c>
      <c r="AO75" s="16">
        <f>IF(OR(Topraklar!$J$41="Evet",AND(Topraklar!$L$41&lt;&gt;"Evet",Topraklar!$K$41&lt;&gt;Bitkiler!$C$74)),0,MAX(0,1-(Ayarlar!$B$2*ABS(Bitkiler!$D$74-Topraklar!$D$41)+Ayarlar!$B$3*ABS(Bitkiler!$E$74-Topraklar!$E$41)+Ayarlar!$B$4*ABS(Bitkiler!$F$74-Topraklar!$F$41)+Ayarlar!$B$5*ABS(Bitkiler!$G$74-Topraklar!$G$41)+Ayarlar!$B$6*IF(Bitkiler!$H$74=Topraklar!$H$41,0,1))/Ayarlar!$B$7)+IF(Topraklar!$K$41=Bitkiler!$C$74,0.002,IF(Topraklar!$L$41="Evet",0.001,0)))</f>
        <v/>
      </c>
      <c r="AP75" s="16">
        <f>IF(OR(Topraklar!$J$42="Evet",AND(Topraklar!$L$42&lt;&gt;"Evet",Topraklar!$K$42&lt;&gt;Bitkiler!$C$74)),0,MAX(0,1-(Ayarlar!$B$2*ABS(Bitkiler!$D$74-Topraklar!$D$42)+Ayarlar!$B$3*ABS(Bitkiler!$E$74-Topraklar!$E$42)+Ayarlar!$B$4*ABS(Bitkiler!$F$74-Topraklar!$F$42)+Ayarlar!$B$5*ABS(Bitkiler!$G$74-Topraklar!$G$42)+Ayarlar!$B$6*IF(Bitkiler!$H$74=Topraklar!$H$42,0,1))/Ayarlar!$B$7)+IF(Topraklar!$K$42=Bitkiler!$C$74,0.002,IF(Topraklar!$L$42="Evet",0.001,0)))</f>
        <v/>
      </c>
      <c r="AQ75" s="16">
        <f>IF(OR(Topraklar!$J$43="Evet",AND(Topraklar!$L$43&lt;&gt;"Evet",Topraklar!$K$43&lt;&gt;Bitkiler!$C$74)),0,MAX(0,1-(Ayarlar!$B$2*ABS(Bitkiler!$D$74-Topraklar!$D$43)+Ayarlar!$B$3*ABS(Bitkiler!$E$74-Topraklar!$E$43)+Ayarlar!$B$4*ABS(Bitkiler!$F$74-Topraklar!$F$43)+Ayarlar!$B$5*ABS(Bitkiler!$G$74-Topraklar!$G$43)+Ayarlar!$B$6*IF(Bitkiler!$H$74=Topraklar!$H$43,0,1))/Ayarlar!$B$7)+IF(Topraklar!$K$43=Bitkiler!$C$74,0.002,IF(Topraklar!$L$43="Evet",0.001,0)))</f>
        <v/>
      </c>
      <c r="AR75" s="16">
        <f>IF(OR(Topraklar!$J$44="Evet",AND(Topraklar!$L$44&lt;&gt;"Evet",Topraklar!$K$44&lt;&gt;Bitkiler!$C$74)),0,MAX(0,1-(Ayarlar!$B$2*ABS(Bitkiler!$D$74-Topraklar!$D$44)+Ayarlar!$B$3*ABS(Bitkiler!$E$74-Topraklar!$E$44)+Ayarlar!$B$4*ABS(Bitkiler!$F$74-Topraklar!$F$44)+Ayarlar!$B$5*ABS(Bitkiler!$G$74-Topraklar!$G$44)+Ayarlar!$B$6*IF(Bitkiler!$H$74=Topraklar!$H$44,0,1))/Ayarlar!$B$7)+IF(Topraklar!$K$44=Bitkiler!$C$74,0.002,IF(Topraklar!$L$44="Evet",0.001,0)))</f>
        <v/>
      </c>
      <c r="AS75" s="16">
        <f>IF(OR(Topraklar!$J$45="Evet",AND(Topraklar!$L$45&lt;&gt;"Evet",Topraklar!$K$45&lt;&gt;Bitkiler!$C$74)),0,MAX(0,1-(Ayarlar!$B$2*ABS(Bitkiler!$D$74-Topraklar!$D$45)+Ayarlar!$B$3*ABS(Bitkiler!$E$74-Topraklar!$E$45)+Ayarlar!$B$4*ABS(Bitkiler!$F$74-Topraklar!$F$45)+Ayarlar!$B$5*ABS(Bitkiler!$G$74-Topraklar!$G$45)+Ayarlar!$B$6*IF(Bitkiler!$H$74=Topraklar!$H$45,0,1))/Ayarlar!$B$7)+IF(Topraklar!$K$45=Bitkiler!$C$74,0.002,IF(Topraklar!$L$45="Evet",0.001,0)))</f>
        <v/>
      </c>
      <c r="AT75" s="16">
        <f>IF(OR(Topraklar!$J$46="Evet",AND(Topraklar!$L$46&lt;&gt;"Evet",Topraklar!$K$46&lt;&gt;Bitkiler!$C$74)),0,MAX(0,1-(Ayarlar!$B$2*ABS(Bitkiler!$D$74-Topraklar!$D$46)+Ayarlar!$B$3*ABS(Bitkiler!$E$74-Topraklar!$E$46)+Ayarlar!$B$4*ABS(Bitkiler!$F$74-Topraklar!$F$46)+Ayarlar!$B$5*ABS(Bitkiler!$G$74-Topraklar!$G$46)+Ayarlar!$B$6*IF(Bitkiler!$H$74=Topraklar!$H$46,0,1))/Ayarlar!$B$7)+IF(Topraklar!$K$46=Bitkiler!$C$74,0.002,IF(Topraklar!$L$46="Evet",0.001,0)))</f>
        <v/>
      </c>
      <c r="AU75" s="16">
        <f>IF(OR(Topraklar!$J$47="Evet",AND(Topraklar!$L$47&lt;&gt;"Evet",Topraklar!$K$47&lt;&gt;Bitkiler!$C$74)),0,MAX(0,1-(Ayarlar!$B$2*ABS(Bitkiler!$D$74-Topraklar!$D$47)+Ayarlar!$B$3*ABS(Bitkiler!$E$74-Topraklar!$E$47)+Ayarlar!$B$4*ABS(Bitkiler!$F$74-Topraklar!$F$47)+Ayarlar!$B$5*ABS(Bitkiler!$G$74-Topraklar!$G$47)+Ayarlar!$B$6*IF(Bitkiler!$H$74=Topraklar!$H$47,0,1))/Ayarlar!$B$7)+IF(Topraklar!$K$47=Bitkiler!$C$74,0.002,IF(Topraklar!$L$47="Evet",0.001,0)))</f>
        <v/>
      </c>
      <c r="AV75" s="16">
        <f>IF(OR(Topraklar!$J$48="Evet",AND(Topraklar!$L$48&lt;&gt;"Evet",Topraklar!$K$48&lt;&gt;Bitkiler!$C$74)),0,MAX(0,1-(Ayarlar!$B$2*ABS(Bitkiler!$D$74-Topraklar!$D$48)+Ayarlar!$B$3*ABS(Bitkiler!$E$74-Topraklar!$E$48)+Ayarlar!$B$4*ABS(Bitkiler!$F$74-Topraklar!$F$48)+Ayarlar!$B$5*ABS(Bitkiler!$G$74-Topraklar!$G$48)+Ayarlar!$B$6*IF(Bitkiler!$H$74=Topraklar!$H$48,0,1))/Ayarlar!$B$7)+IF(Topraklar!$K$48=Bitkiler!$C$74,0.002,IF(Topraklar!$L$48="Evet",0.001,0)))</f>
        <v/>
      </c>
      <c r="AW75" s="16">
        <f>IF(OR(Topraklar!$J$49="Evet",AND(Topraklar!$L$49&lt;&gt;"Evet",Topraklar!$K$49&lt;&gt;Bitkiler!$C$74)),0,MAX(0,1-(Ayarlar!$B$2*ABS(Bitkiler!$D$74-Topraklar!$D$49)+Ayarlar!$B$3*ABS(Bitkiler!$E$74-Topraklar!$E$49)+Ayarlar!$B$4*ABS(Bitkiler!$F$74-Topraklar!$F$49)+Ayarlar!$B$5*ABS(Bitkiler!$G$74-Topraklar!$G$49)+Ayarlar!$B$6*IF(Bitkiler!$H$74=Topraklar!$H$49,0,1))/Ayarlar!$B$7)+IF(Topraklar!$K$49=Bitkiler!$C$74,0.002,IF(Topraklar!$L$49="Evet",0.001,0)))</f>
        <v/>
      </c>
      <c r="AX75" s="16">
        <f>IF(OR(Topraklar!$J$50="Evet",AND(Topraklar!$L$50&lt;&gt;"Evet",Topraklar!$K$50&lt;&gt;Bitkiler!$C$74)),0,MAX(0,1-(Ayarlar!$B$2*ABS(Bitkiler!$D$74-Topraklar!$D$50)+Ayarlar!$B$3*ABS(Bitkiler!$E$74-Topraklar!$E$50)+Ayarlar!$B$4*ABS(Bitkiler!$F$74-Topraklar!$F$50)+Ayarlar!$B$5*ABS(Bitkiler!$G$74-Topraklar!$G$50)+Ayarlar!$B$6*IF(Bitkiler!$H$74=Topraklar!$H$50,0,1))/Ayarlar!$B$7)+IF(Topraklar!$K$50=Bitkiler!$C$74,0.002,IF(Topraklar!$L$50="Evet",0.001,0)))</f>
        <v/>
      </c>
      <c r="AY75" s="16">
        <f>IF(OR(Topraklar!$J$51="Evet",AND(Topraklar!$L$51&lt;&gt;"Evet",Topraklar!$K$51&lt;&gt;Bitkiler!$C$74)),0,MAX(0,1-(Ayarlar!$B$2*ABS(Bitkiler!$D$74-Topraklar!$D$51)+Ayarlar!$B$3*ABS(Bitkiler!$E$74-Topraklar!$E$51)+Ayarlar!$B$4*ABS(Bitkiler!$F$74-Topraklar!$F$51)+Ayarlar!$B$5*ABS(Bitkiler!$G$74-Topraklar!$G$51)+Ayarlar!$B$6*IF(Bitkiler!$H$74=Topraklar!$H$51,0,1))/Ayarlar!$B$7)+IF(Topraklar!$K$51=Bitkiler!$C$74,0.002,IF(Topraklar!$L$51="Evet",0.001,0)))</f>
        <v/>
      </c>
    </row>
    <row r="76">
      <c r="A76" s="15">
        <f>Bitkiler!A75</f>
        <v/>
      </c>
      <c r="B76" s="16">
        <f>IF(OR(Topraklar!$J$2="Evet",AND(Topraklar!$L$2&lt;&gt;"Evet",Topraklar!$K$2&lt;&gt;Bitkiler!$C$75)),0,MAX(0,1-(Ayarlar!$B$2*ABS(Bitkiler!$D$75-Topraklar!$D$2)+Ayarlar!$B$3*ABS(Bitkiler!$E$75-Topraklar!$E$2)+Ayarlar!$B$4*ABS(Bitkiler!$F$75-Topraklar!$F$2)+Ayarlar!$B$5*ABS(Bitkiler!$G$75-Topraklar!$G$2)+Ayarlar!$B$6*IF(Bitkiler!$H$75=Topraklar!$H$2,0,1))/Ayarlar!$B$7)+IF(Topraklar!$K$2=Bitkiler!$C$75,0.002,IF(Topraklar!$L$2="Evet",0.001,0)))</f>
        <v/>
      </c>
      <c r="C76" s="16">
        <f>IF(OR(Topraklar!$J$3="Evet",AND(Topraklar!$L$3&lt;&gt;"Evet",Topraklar!$K$3&lt;&gt;Bitkiler!$C$75)),0,MAX(0,1-(Ayarlar!$B$2*ABS(Bitkiler!$D$75-Topraklar!$D$3)+Ayarlar!$B$3*ABS(Bitkiler!$E$75-Topraklar!$E$3)+Ayarlar!$B$4*ABS(Bitkiler!$F$75-Topraklar!$F$3)+Ayarlar!$B$5*ABS(Bitkiler!$G$75-Topraklar!$G$3)+Ayarlar!$B$6*IF(Bitkiler!$H$75=Topraklar!$H$3,0,1))/Ayarlar!$B$7)+IF(Topraklar!$K$3=Bitkiler!$C$75,0.002,IF(Topraklar!$L$3="Evet",0.001,0)))</f>
        <v/>
      </c>
      <c r="D76" s="16">
        <f>IF(OR(Topraklar!$J$4="Evet",AND(Topraklar!$L$4&lt;&gt;"Evet",Topraklar!$K$4&lt;&gt;Bitkiler!$C$75)),0,MAX(0,1-(Ayarlar!$B$2*ABS(Bitkiler!$D$75-Topraklar!$D$4)+Ayarlar!$B$3*ABS(Bitkiler!$E$75-Topraklar!$E$4)+Ayarlar!$B$4*ABS(Bitkiler!$F$75-Topraklar!$F$4)+Ayarlar!$B$5*ABS(Bitkiler!$G$75-Topraklar!$G$4)+Ayarlar!$B$6*IF(Bitkiler!$H$75=Topraklar!$H$4,0,1))/Ayarlar!$B$7)+IF(Topraklar!$K$4=Bitkiler!$C$75,0.002,IF(Topraklar!$L$4="Evet",0.001,0)))</f>
        <v/>
      </c>
      <c r="E76" s="16">
        <f>IF(OR(Topraklar!$J$5="Evet",AND(Topraklar!$L$5&lt;&gt;"Evet",Topraklar!$K$5&lt;&gt;Bitkiler!$C$75)),0,MAX(0,1-(Ayarlar!$B$2*ABS(Bitkiler!$D$75-Topraklar!$D$5)+Ayarlar!$B$3*ABS(Bitkiler!$E$75-Topraklar!$E$5)+Ayarlar!$B$4*ABS(Bitkiler!$F$75-Topraklar!$F$5)+Ayarlar!$B$5*ABS(Bitkiler!$G$75-Topraklar!$G$5)+Ayarlar!$B$6*IF(Bitkiler!$H$75=Topraklar!$H$5,0,1))/Ayarlar!$B$7)+IF(Topraklar!$K$5=Bitkiler!$C$75,0.002,IF(Topraklar!$L$5="Evet",0.001,0)))</f>
        <v/>
      </c>
      <c r="F76" s="16">
        <f>IF(OR(Topraklar!$J$6="Evet",AND(Topraklar!$L$6&lt;&gt;"Evet",Topraklar!$K$6&lt;&gt;Bitkiler!$C$75)),0,MAX(0,1-(Ayarlar!$B$2*ABS(Bitkiler!$D$75-Topraklar!$D$6)+Ayarlar!$B$3*ABS(Bitkiler!$E$75-Topraklar!$E$6)+Ayarlar!$B$4*ABS(Bitkiler!$F$75-Topraklar!$F$6)+Ayarlar!$B$5*ABS(Bitkiler!$G$75-Topraklar!$G$6)+Ayarlar!$B$6*IF(Bitkiler!$H$75=Topraklar!$H$6,0,1))/Ayarlar!$B$7)+IF(Topraklar!$K$6=Bitkiler!$C$75,0.002,IF(Topraklar!$L$6="Evet",0.001,0)))</f>
        <v/>
      </c>
      <c r="G76" s="16">
        <f>IF(OR(Topraklar!$J$7="Evet",AND(Topraklar!$L$7&lt;&gt;"Evet",Topraklar!$K$7&lt;&gt;Bitkiler!$C$75)),0,MAX(0,1-(Ayarlar!$B$2*ABS(Bitkiler!$D$75-Topraklar!$D$7)+Ayarlar!$B$3*ABS(Bitkiler!$E$75-Topraklar!$E$7)+Ayarlar!$B$4*ABS(Bitkiler!$F$75-Topraklar!$F$7)+Ayarlar!$B$5*ABS(Bitkiler!$G$75-Topraklar!$G$7)+Ayarlar!$B$6*IF(Bitkiler!$H$75=Topraklar!$H$7,0,1))/Ayarlar!$B$7)+IF(Topraklar!$K$7=Bitkiler!$C$75,0.002,IF(Topraklar!$L$7="Evet",0.001,0)))</f>
        <v/>
      </c>
      <c r="H76" s="16">
        <f>IF(OR(Topraklar!$J$8="Evet",AND(Topraklar!$L$8&lt;&gt;"Evet",Topraklar!$K$8&lt;&gt;Bitkiler!$C$75)),0,MAX(0,1-(Ayarlar!$B$2*ABS(Bitkiler!$D$75-Topraklar!$D$8)+Ayarlar!$B$3*ABS(Bitkiler!$E$75-Topraklar!$E$8)+Ayarlar!$B$4*ABS(Bitkiler!$F$75-Topraklar!$F$8)+Ayarlar!$B$5*ABS(Bitkiler!$G$75-Topraklar!$G$8)+Ayarlar!$B$6*IF(Bitkiler!$H$75=Topraklar!$H$8,0,1))/Ayarlar!$B$7)+IF(Topraklar!$K$8=Bitkiler!$C$75,0.002,IF(Topraklar!$L$8="Evet",0.001,0)))</f>
        <v/>
      </c>
      <c r="I76" s="16">
        <f>IF(OR(Topraklar!$J$9="Evet",AND(Topraklar!$L$9&lt;&gt;"Evet",Topraklar!$K$9&lt;&gt;Bitkiler!$C$75)),0,MAX(0,1-(Ayarlar!$B$2*ABS(Bitkiler!$D$75-Topraklar!$D$9)+Ayarlar!$B$3*ABS(Bitkiler!$E$75-Topraklar!$E$9)+Ayarlar!$B$4*ABS(Bitkiler!$F$75-Topraklar!$F$9)+Ayarlar!$B$5*ABS(Bitkiler!$G$75-Topraklar!$G$9)+Ayarlar!$B$6*IF(Bitkiler!$H$75=Topraklar!$H$9,0,1))/Ayarlar!$B$7)+IF(Topraklar!$K$9=Bitkiler!$C$75,0.002,IF(Topraklar!$L$9="Evet",0.001,0)))</f>
        <v/>
      </c>
      <c r="J76" s="16">
        <f>IF(OR(Topraklar!$J$10="Evet",AND(Topraklar!$L$10&lt;&gt;"Evet",Topraklar!$K$10&lt;&gt;Bitkiler!$C$75)),0,MAX(0,1-(Ayarlar!$B$2*ABS(Bitkiler!$D$75-Topraklar!$D$10)+Ayarlar!$B$3*ABS(Bitkiler!$E$75-Topraklar!$E$10)+Ayarlar!$B$4*ABS(Bitkiler!$F$75-Topraklar!$F$10)+Ayarlar!$B$5*ABS(Bitkiler!$G$75-Topraklar!$G$10)+Ayarlar!$B$6*IF(Bitkiler!$H$75=Topraklar!$H$10,0,1))/Ayarlar!$B$7)+IF(Topraklar!$K$10=Bitkiler!$C$75,0.002,IF(Topraklar!$L$10="Evet",0.001,0)))</f>
        <v/>
      </c>
      <c r="K76" s="16">
        <f>IF(OR(Topraklar!$J$11="Evet",AND(Topraklar!$L$11&lt;&gt;"Evet",Topraklar!$K$11&lt;&gt;Bitkiler!$C$75)),0,MAX(0,1-(Ayarlar!$B$2*ABS(Bitkiler!$D$75-Topraklar!$D$11)+Ayarlar!$B$3*ABS(Bitkiler!$E$75-Topraklar!$E$11)+Ayarlar!$B$4*ABS(Bitkiler!$F$75-Topraklar!$F$11)+Ayarlar!$B$5*ABS(Bitkiler!$G$75-Topraklar!$G$11)+Ayarlar!$B$6*IF(Bitkiler!$H$75=Topraklar!$H$11,0,1))/Ayarlar!$B$7)+IF(Topraklar!$K$11=Bitkiler!$C$75,0.002,IF(Topraklar!$L$11="Evet",0.001,0)))</f>
        <v/>
      </c>
      <c r="L76" s="16">
        <f>IF(OR(Topraklar!$J$12="Evet",AND(Topraklar!$L$12&lt;&gt;"Evet",Topraklar!$K$12&lt;&gt;Bitkiler!$C$75)),0,MAX(0,1-(Ayarlar!$B$2*ABS(Bitkiler!$D$75-Topraklar!$D$12)+Ayarlar!$B$3*ABS(Bitkiler!$E$75-Topraklar!$E$12)+Ayarlar!$B$4*ABS(Bitkiler!$F$75-Topraklar!$F$12)+Ayarlar!$B$5*ABS(Bitkiler!$G$75-Topraklar!$G$12)+Ayarlar!$B$6*IF(Bitkiler!$H$75=Topraklar!$H$12,0,1))/Ayarlar!$B$7)+IF(Topraklar!$K$12=Bitkiler!$C$75,0.002,IF(Topraklar!$L$12="Evet",0.001,0)))</f>
        <v/>
      </c>
      <c r="M76" s="16">
        <f>IF(OR(Topraklar!$J$13="Evet",AND(Topraklar!$L$13&lt;&gt;"Evet",Topraklar!$K$13&lt;&gt;Bitkiler!$C$75)),0,MAX(0,1-(Ayarlar!$B$2*ABS(Bitkiler!$D$75-Topraklar!$D$13)+Ayarlar!$B$3*ABS(Bitkiler!$E$75-Topraklar!$E$13)+Ayarlar!$B$4*ABS(Bitkiler!$F$75-Topraklar!$F$13)+Ayarlar!$B$5*ABS(Bitkiler!$G$75-Topraklar!$G$13)+Ayarlar!$B$6*IF(Bitkiler!$H$75=Topraklar!$H$13,0,1))/Ayarlar!$B$7)+IF(Topraklar!$K$13=Bitkiler!$C$75,0.002,IF(Topraklar!$L$13="Evet",0.001,0)))</f>
        <v/>
      </c>
      <c r="N76" s="16">
        <f>IF(OR(Topraklar!$J$14="Evet",AND(Topraklar!$L$14&lt;&gt;"Evet",Topraklar!$K$14&lt;&gt;Bitkiler!$C$75)),0,MAX(0,1-(Ayarlar!$B$2*ABS(Bitkiler!$D$75-Topraklar!$D$14)+Ayarlar!$B$3*ABS(Bitkiler!$E$75-Topraklar!$E$14)+Ayarlar!$B$4*ABS(Bitkiler!$F$75-Topraklar!$F$14)+Ayarlar!$B$5*ABS(Bitkiler!$G$75-Topraklar!$G$14)+Ayarlar!$B$6*IF(Bitkiler!$H$75=Topraklar!$H$14,0,1))/Ayarlar!$B$7)+IF(Topraklar!$K$14=Bitkiler!$C$75,0.002,IF(Topraklar!$L$14="Evet",0.001,0)))</f>
        <v/>
      </c>
      <c r="O76" s="16">
        <f>IF(OR(Topraklar!$J$15="Evet",AND(Topraklar!$L$15&lt;&gt;"Evet",Topraklar!$K$15&lt;&gt;Bitkiler!$C$75)),0,MAX(0,1-(Ayarlar!$B$2*ABS(Bitkiler!$D$75-Topraklar!$D$15)+Ayarlar!$B$3*ABS(Bitkiler!$E$75-Topraklar!$E$15)+Ayarlar!$B$4*ABS(Bitkiler!$F$75-Topraklar!$F$15)+Ayarlar!$B$5*ABS(Bitkiler!$G$75-Topraklar!$G$15)+Ayarlar!$B$6*IF(Bitkiler!$H$75=Topraklar!$H$15,0,1))/Ayarlar!$B$7)+IF(Topraklar!$K$15=Bitkiler!$C$75,0.002,IF(Topraklar!$L$15="Evet",0.001,0)))</f>
        <v/>
      </c>
      <c r="P76" s="16">
        <f>IF(OR(Topraklar!$J$16="Evet",AND(Topraklar!$L$16&lt;&gt;"Evet",Topraklar!$K$16&lt;&gt;Bitkiler!$C$75)),0,MAX(0,1-(Ayarlar!$B$2*ABS(Bitkiler!$D$75-Topraklar!$D$16)+Ayarlar!$B$3*ABS(Bitkiler!$E$75-Topraklar!$E$16)+Ayarlar!$B$4*ABS(Bitkiler!$F$75-Topraklar!$F$16)+Ayarlar!$B$5*ABS(Bitkiler!$G$75-Topraklar!$G$16)+Ayarlar!$B$6*IF(Bitkiler!$H$75=Topraklar!$H$16,0,1))/Ayarlar!$B$7)+IF(Topraklar!$K$16=Bitkiler!$C$75,0.002,IF(Topraklar!$L$16="Evet",0.001,0)))</f>
        <v/>
      </c>
      <c r="Q76" s="16">
        <f>IF(OR(Topraklar!$J$17="Evet",AND(Topraklar!$L$17&lt;&gt;"Evet",Topraklar!$K$17&lt;&gt;Bitkiler!$C$75)),0,MAX(0,1-(Ayarlar!$B$2*ABS(Bitkiler!$D$75-Topraklar!$D$17)+Ayarlar!$B$3*ABS(Bitkiler!$E$75-Topraklar!$E$17)+Ayarlar!$B$4*ABS(Bitkiler!$F$75-Topraklar!$F$17)+Ayarlar!$B$5*ABS(Bitkiler!$G$75-Topraklar!$G$17)+Ayarlar!$B$6*IF(Bitkiler!$H$75=Topraklar!$H$17,0,1))/Ayarlar!$B$7)+IF(Topraklar!$K$17=Bitkiler!$C$75,0.002,IF(Topraklar!$L$17="Evet",0.001,0)))</f>
        <v/>
      </c>
      <c r="R76" s="16">
        <f>IF(OR(Topraklar!$J$18="Evet",AND(Topraklar!$L$18&lt;&gt;"Evet",Topraklar!$K$18&lt;&gt;Bitkiler!$C$75)),0,MAX(0,1-(Ayarlar!$B$2*ABS(Bitkiler!$D$75-Topraklar!$D$18)+Ayarlar!$B$3*ABS(Bitkiler!$E$75-Topraklar!$E$18)+Ayarlar!$B$4*ABS(Bitkiler!$F$75-Topraklar!$F$18)+Ayarlar!$B$5*ABS(Bitkiler!$G$75-Topraklar!$G$18)+Ayarlar!$B$6*IF(Bitkiler!$H$75=Topraklar!$H$18,0,1))/Ayarlar!$B$7)+IF(Topraklar!$K$18=Bitkiler!$C$75,0.002,IF(Topraklar!$L$18="Evet",0.001,0)))</f>
        <v/>
      </c>
      <c r="S76" s="16">
        <f>IF(OR(Topraklar!$J$19="Evet",AND(Topraklar!$L$19&lt;&gt;"Evet",Topraklar!$K$19&lt;&gt;Bitkiler!$C$75)),0,MAX(0,1-(Ayarlar!$B$2*ABS(Bitkiler!$D$75-Topraklar!$D$19)+Ayarlar!$B$3*ABS(Bitkiler!$E$75-Topraklar!$E$19)+Ayarlar!$B$4*ABS(Bitkiler!$F$75-Topraklar!$F$19)+Ayarlar!$B$5*ABS(Bitkiler!$G$75-Topraklar!$G$19)+Ayarlar!$B$6*IF(Bitkiler!$H$75=Topraklar!$H$19,0,1))/Ayarlar!$B$7)+IF(Topraklar!$K$19=Bitkiler!$C$75,0.002,IF(Topraklar!$L$19="Evet",0.001,0)))</f>
        <v/>
      </c>
      <c r="T76" s="16">
        <f>IF(OR(Topraklar!$J$20="Evet",AND(Topraklar!$L$20&lt;&gt;"Evet",Topraklar!$K$20&lt;&gt;Bitkiler!$C$75)),0,MAX(0,1-(Ayarlar!$B$2*ABS(Bitkiler!$D$75-Topraklar!$D$20)+Ayarlar!$B$3*ABS(Bitkiler!$E$75-Topraklar!$E$20)+Ayarlar!$B$4*ABS(Bitkiler!$F$75-Topraklar!$F$20)+Ayarlar!$B$5*ABS(Bitkiler!$G$75-Topraklar!$G$20)+Ayarlar!$B$6*IF(Bitkiler!$H$75=Topraklar!$H$20,0,1))/Ayarlar!$B$7)+IF(Topraklar!$K$20=Bitkiler!$C$75,0.002,IF(Topraklar!$L$20="Evet",0.001,0)))</f>
        <v/>
      </c>
      <c r="U76" s="16">
        <f>IF(OR(Topraklar!$J$21="Evet",AND(Topraklar!$L$21&lt;&gt;"Evet",Topraklar!$K$21&lt;&gt;Bitkiler!$C$75)),0,MAX(0,1-(Ayarlar!$B$2*ABS(Bitkiler!$D$75-Topraklar!$D$21)+Ayarlar!$B$3*ABS(Bitkiler!$E$75-Topraklar!$E$21)+Ayarlar!$B$4*ABS(Bitkiler!$F$75-Topraklar!$F$21)+Ayarlar!$B$5*ABS(Bitkiler!$G$75-Topraklar!$G$21)+Ayarlar!$B$6*IF(Bitkiler!$H$75=Topraklar!$H$21,0,1))/Ayarlar!$B$7)+IF(Topraklar!$K$21=Bitkiler!$C$75,0.002,IF(Topraklar!$L$21="Evet",0.001,0)))</f>
        <v/>
      </c>
      <c r="V76" s="16">
        <f>IF(OR(Topraklar!$J$22="Evet",AND(Topraklar!$L$22&lt;&gt;"Evet",Topraklar!$K$22&lt;&gt;Bitkiler!$C$75)),0,MAX(0,1-(Ayarlar!$B$2*ABS(Bitkiler!$D$75-Topraklar!$D$22)+Ayarlar!$B$3*ABS(Bitkiler!$E$75-Topraklar!$E$22)+Ayarlar!$B$4*ABS(Bitkiler!$F$75-Topraklar!$F$22)+Ayarlar!$B$5*ABS(Bitkiler!$G$75-Topraklar!$G$22)+Ayarlar!$B$6*IF(Bitkiler!$H$75=Topraklar!$H$22,0,1))/Ayarlar!$B$7)+IF(Topraklar!$K$22=Bitkiler!$C$75,0.002,IF(Topraklar!$L$22="Evet",0.001,0)))</f>
        <v/>
      </c>
      <c r="W76" s="16">
        <f>IF(OR(Topraklar!$J$23="Evet",AND(Topraklar!$L$23&lt;&gt;"Evet",Topraklar!$K$23&lt;&gt;Bitkiler!$C$75)),0,MAX(0,1-(Ayarlar!$B$2*ABS(Bitkiler!$D$75-Topraklar!$D$23)+Ayarlar!$B$3*ABS(Bitkiler!$E$75-Topraklar!$E$23)+Ayarlar!$B$4*ABS(Bitkiler!$F$75-Topraklar!$F$23)+Ayarlar!$B$5*ABS(Bitkiler!$G$75-Topraklar!$G$23)+Ayarlar!$B$6*IF(Bitkiler!$H$75=Topraklar!$H$23,0,1))/Ayarlar!$B$7)+IF(Topraklar!$K$23=Bitkiler!$C$75,0.002,IF(Topraklar!$L$23="Evet",0.001,0)))</f>
        <v/>
      </c>
      <c r="X76" s="16">
        <f>IF(OR(Topraklar!$J$24="Evet",AND(Topraklar!$L$24&lt;&gt;"Evet",Topraklar!$K$24&lt;&gt;Bitkiler!$C$75)),0,MAX(0,1-(Ayarlar!$B$2*ABS(Bitkiler!$D$75-Topraklar!$D$24)+Ayarlar!$B$3*ABS(Bitkiler!$E$75-Topraklar!$E$24)+Ayarlar!$B$4*ABS(Bitkiler!$F$75-Topraklar!$F$24)+Ayarlar!$B$5*ABS(Bitkiler!$G$75-Topraklar!$G$24)+Ayarlar!$B$6*IF(Bitkiler!$H$75=Topraklar!$H$24,0,1))/Ayarlar!$B$7)+IF(Topraklar!$K$24=Bitkiler!$C$75,0.002,IF(Topraklar!$L$24="Evet",0.001,0)))</f>
        <v/>
      </c>
      <c r="Y76" s="16">
        <f>IF(OR(Topraklar!$J$25="Evet",AND(Topraklar!$L$25&lt;&gt;"Evet",Topraklar!$K$25&lt;&gt;Bitkiler!$C$75)),0,MAX(0,1-(Ayarlar!$B$2*ABS(Bitkiler!$D$75-Topraklar!$D$25)+Ayarlar!$B$3*ABS(Bitkiler!$E$75-Topraklar!$E$25)+Ayarlar!$B$4*ABS(Bitkiler!$F$75-Topraklar!$F$25)+Ayarlar!$B$5*ABS(Bitkiler!$G$75-Topraklar!$G$25)+Ayarlar!$B$6*IF(Bitkiler!$H$75=Topraklar!$H$25,0,1))/Ayarlar!$B$7)+IF(Topraklar!$K$25=Bitkiler!$C$75,0.002,IF(Topraklar!$L$25="Evet",0.001,0)))</f>
        <v/>
      </c>
      <c r="Z76" s="16">
        <f>IF(OR(Topraklar!$J$26="Evet",AND(Topraklar!$L$26&lt;&gt;"Evet",Topraklar!$K$26&lt;&gt;Bitkiler!$C$75)),0,MAX(0,1-(Ayarlar!$B$2*ABS(Bitkiler!$D$75-Topraklar!$D$26)+Ayarlar!$B$3*ABS(Bitkiler!$E$75-Topraklar!$E$26)+Ayarlar!$B$4*ABS(Bitkiler!$F$75-Topraklar!$F$26)+Ayarlar!$B$5*ABS(Bitkiler!$G$75-Topraklar!$G$26)+Ayarlar!$B$6*IF(Bitkiler!$H$75=Topraklar!$H$26,0,1))/Ayarlar!$B$7)+IF(Topraklar!$K$26=Bitkiler!$C$75,0.002,IF(Topraklar!$L$26="Evet",0.001,0)))</f>
        <v/>
      </c>
      <c r="AA76" s="16">
        <f>IF(OR(Topraklar!$J$27="Evet",AND(Topraklar!$L$27&lt;&gt;"Evet",Topraklar!$K$27&lt;&gt;Bitkiler!$C$75)),0,MAX(0,1-(Ayarlar!$B$2*ABS(Bitkiler!$D$75-Topraklar!$D$27)+Ayarlar!$B$3*ABS(Bitkiler!$E$75-Topraklar!$E$27)+Ayarlar!$B$4*ABS(Bitkiler!$F$75-Topraklar!$F$27)+Ayarlar!$B$5*ABS(Bitkiler!$G$75-Topraklar!$G$27)+Ayarlar!$B$6*IF(Bitkiler!$H$75=Topraklar!$H$27,0,1))/Ayarlar!$B$7)+IF(Topraklar!$K$27=Bitkiler!$C$75,0.002,IF(Topraklar!$L$27="Evet",0.001,0)))</f>
        <v/>
      </c>
      <c r="AB76" s="16">
        <f>IF(OR(Topraklar!$J$28="Evet",AND(Topraklar!$L$28&lt;&gt;"Evet",Topraklar!$K$28&lt;&gt;Bitkiler!$C$75)),0,MAX(0,1-(Ayarlar!$B$2*ABS(Bitkiler!$D$75-Topraklar!$D$28)+Ayarlar!$B$3*ABS(Bitkiler!$E$75-Topraklar!$E$28)+Ayarlar!$B$4*ABS(Bitkiler!$F$75-Topraklar!$F$28)+Ayarlar!$B$5*ABS(Bitkiler!$G$75-Topraklar!$G$28)+Ayarlar!$B$6*IF(Bitkiler!$H$75=Topraklar!$H$28,0,1))/Ayarlar!$B$7)+IF(Topraklar!$K$28=Bitkiler!$C$75,0.002,IF(Topraklar!$L$28="Evet",0.001,0)))</f>
        <v/>
      </c>
      <c r="AC76" s="16">
        <f>IF(OR(Topraklar!$J$29="Evet",AND(Topraklar!$L$29&lt;&gt;"Evet",Topraklar!$K$29&lt;&gt;Bitkiler!$C$75)),0,MAX(0,1-(Ayarlar!$B$2*ABS(Bitkiler!$D$75-Topraklar!$D$29)+Ayarlar!$B$3*ABS(Bitkiler!$E$75-Topraklar!$E$29)+Ayarlar!$B$4*ABS(Bitkiler!$F$75-Topraklar!$F$29)+Ayarlar!$B$5*ABS(Bitkiler!$G$75-Topraklar!$G$29)+Ayarlar!$B$6*IF(Bitkiler!$H$75=Topraklar!$H$29,0,1))/Ayarlar!$B$7)+IF(Topraklar!$K$29=Bitkiler!$C$75,0.002,IF(Topraklar!$L$29="Evet",0.001,0)))</f>
        <v/>
      </c>
      <c r="AD76" s="16">
        <f>IF(OR(Topraklar!$J$30="Evet",AND(Topraklar!$L$30&lt;&gt;"Evet",Topraklar!$K$30&lt;&gt;Bitkiler!$C$75)),0,MAX(0,1-(Ayarlar!$B$2*ABS(Bitkiler!$D$75-Topraklar!$D$30)+Ayarlar!$B$3*ABS(Bitkiler!$E$75-Topraklar!$E$30)+Ayarlar!$B$4*ABS(Bitkiler!$F$75-Topraklar!$F$30)+Ayarlar!$B$5*ABS(Bitkiler!$G$75-Topraklar!$G$30)+Ayarlar!$B$6*IF(Bitkiler!$H$75=Topraklar!$H$30,0,1))/Ayarlar!$B$7)+IF(Topraklar!$K$30=Bitkiler!$C$75,0.002,IF(Topraklar!$L$30="Evet",0.001,0)))</f>
        <v/>
      </c>
      <c r="AE76" s="16">
        <f>IF(OR(Topraklar!$J$31="Evet",AND(Topraklar!$L$31&lt;&gt;"Evet",Topraklar!$K$31&lt;&gt;Bitkiler!$C$75)),0,MAX(0,1-(Ayarlar!$B$2*ABS(Bitkiler!$D$75-Topraklar!$D$31)+Ayarlar!$B$3*ABS(Bitkiler!$E$75-Topraklar!$E$31)+Ayarlar!$B$4*ABS(Bitkiler!$F$75-Topraklar!$F$31)+Ayarlar!$B$5*ABS(Bitkiler!$G$75-Topraklar!$G$31)+Ayarlar!$B$6*IF(Bitkiler!$H$75=Topraklar!$H$31,0,1))/Ayarlar!$B$7)+IF(Topraklar!$K$31=Bitkiler!$C$75,0.002,IF(Topraklar!$L$31="Evet",0.001,0)))</f>
        <v/>
      </c>
      <c r="AF76" s="16">
        <f>IF(OR(Topraklar!$J$32="Evet",AND(Topraklar!$L$32&lt;&gt;"Evet",Topraklar!$K$32&lt;&gt;Bitkiler!$C$75)),0,MAX(0,1-(Ayarlar!$B$2*ABS(Bitkiler!$D$75-Topraklar!$D$32)+Ayarlar!$B$3*ABS(Bitkiler!$E$75-Topraklar!$E$32)+Ayarlar!$B$4*ABS(Bitkiler!$F$75-Topraklar!$F$32)+Ayarlar!$B$5*ABS(Bitkiler!$G$75-Topraklar!$G$32)+Ayarlar!$B$6*IF(Bitkiler!$H$75=Topraklar!$H$32,0,1))/Ayarlar!$B$7)+IF(Topraklar!$K$32=Bitkiler!$C$75,0.002,IF(Topraklar!$L$32="Evet",0.001,0)))</f>
        <v/>
      </c>
      <c r="AG76" s="16">
        <f>IF(OR(Topraklar!$J$33="Evet",AND(Topraklar!$L$33&lt;&gt;"Evet",Topraklar!$K$33&lt;&gt;Bitkiler!$C$75)),0,MAX(0,1-(Ayarlar!$B$2*ABS(Bitkiler!$D$75-Topraklar!$D$33)+Ayarlar!$B$3*ABS(Bitkiler!$E$75-Topraklar!$E$33)+Ayarlar!$B$4*ABS(Bitkiler!$F$75-Topraklar!$F$33)+Ayarlar!$B$5*ABS(Bitkiler!$G$75-Topraklar!$G$33)+Ayarlar!$B$6*IF(Bitkiler!$H$75=Topraklar!$H$33,0,1))/Ayarlar!$B$7)+IF(Topraklar!$K$33=Bitkiler!$C$75,0.002,IF(Topraklar!$L$33="Evet",0.001,0)))</f>
        <v/>
      </c>
      <c r="AH76" s="16">
        <f>IF(OR(Topraklar!$J$34="Evet",AND(Topraklar!$L$34&lt;&gt;"Evet",Topraklar!$K$34&lt;&gt;Bitkiler!$C$75)),0,MAX(0,1-(Ayarlar!$B$2*ABS(Bitkiler!$D$75-Topraklar!$D$34)+Ayarlar!$B$3*ABS(Bitkiler!$E$75-Topraklar!$E$34)+Ayarlar!$B$4*ABS(Bitkiler!$F$75-Topraklar!$F$34)+Ayarlar!$B$5*ABS(Bitkiler!$G$75-Topraklar!$G$34)+Ayarlar!$B$6*IF(Bitkiler!$H$75=Topraklar!$H$34,0,1))/Ayarlar!$B$7)+IF(Topraklar!$K$34=Bitkiler!$C$75,0.002,IF(Topraklar!$L$34="Evet",0.001,0)))</f>
        <v/>
      </c>
      <c r="AI76" s="16">
        <f>IF(OR(Topraklar!$J$35="Evet",AND(Topraklar!$L$35&lt;&gt;"Evet",Topraklar!$K$35&lt;&gt;Bitkiler!$C$75)),0,MAX(0,1-(Ayarlar!$B$2*ABS(Bitkiler!$D$75-Topraklar!$D$35)+Ayarlar!$B$3*ABS(Bitkiler!$E$75-Topraklar!$E$35)+Ayarlar!$B$4*ABS(Bitkiler!$F$75-Topraklar!$F$35)+Ayarlar!$B$5*ABS(Bitkiler!$G$75-Topraklar!$G$35)+Ayarlar!$B$6*IF(Bitkiler!$H$75=Topraklar!$H$35,0,1))/Ayarlar!$B$7)+IF(Topraklar!$K$35=Bitkiler!$C$75,0.002,IF(Topraklar!$L$35="Evet",0.001,0)))</f>
        <v/>
      </c>
      <c r="AJ76" s="16">
        <f>IF(OR(Topraklar!$J$36="Evet",AND(Topraklar!$L$36&lt;&gt;"Evet",Topraklar!$K$36&lt;&gt;Bitkiler!$C$75)),0,MAX(0,1-(Ayarlar!$B$2*ABS(Bitkiler!$D$75-Topraklar!$D$36)+Ayarlar!$B$3*ABS(Bitkiler!$E$75-Topraklar!$E$36)+Ayarlar!$B$4*ABS(Bitkiler!$F$75-Topraklar!$F$36)+Ayarlar!$B$5*ABS(Bitkiler!$G$75-Topraklar!$G$36)+Ayarlar!$B$6*IF(Bitkiler!$H$75=Topraklar!$H$36,0,1))/Ayarlar!$B$7)+IF(Topraklar!$K$36=Bitkiler!$C$75,0.002,IF(Topraklar!$L$36="Evet",0.001,0)))</f>
        <v/>
      </c>
      <c r="AK76" s="16">
        <f>IF(OR(Topraklar!$J$37="Evet",AND(Topraklar!$L$37&lt;&gt;"Evet",Topraklar!$K$37&lt;&gt;Bitkiler!$C$75)),0,MAX(0,1-(Ayarlar!$B$2*ABS(Bitkiler!$D$75-Topraklar!$D$37)+Ayarlar!$B$3*ABS(Bitkiler!$E$75-Topraklar!$E$37)+Ayarlar!$B$4*ABS(Bitkiler!$F$75-Topraklar!$F$37)+Ayarlar!$B$5*ABS(Bitkiler!$G$75-Topraklar!$G$37)+Ayarlar!$B$6*IF(Bitkiler!$H$75=Topraklar!$H$37,0,1))/Ayarlar!$B$7)+IF(Topraklar!$K$37=Bitkiler!$C$75,0.002,IF(Topraklar!$L$37="Evet",0.001,0)))</f>
        <v/>
      </c>
      <c r="AL76" s="16">
        <f>IF(OR(Topraklar!$J$38="Evet",AND(Topraklar!$L$38&lt;&gt;"Evet",Topraklar!$K$38&lt;&gt;Bitkiler!$C$75)),0,MAX(0,1-(Ayarlar!$B$2*ABS(Bitkiler!$D$75-Topraklar!$D$38)+Ayarlar!$B$3*ABS(Bitkiler!$E$75-Topraklar!$E$38)+Ayarlar!$B$4*ABS(Bitkiler!$F$75-Topraklar!$F$38)+Ayarlar!$B$5*ABS(Bitkiler!$G$75-Topraklar!$G$38)+Ayarlar!$B$6*IF(Bitkiler!$H$75=Topraklar!$H$38,0,1))/Ayarlar!$B$7)+IF(Topraklar!$K$38=Bitkiler!$C$75,0.002,IF(Topraklar!$L$38="Evet",0.001,0)))</f>
        <v/>
      </c>
      <c r="AM76" s="16">
        <f>IF(OR(Topraklar!$J$39="Evet",AND(Topraklar!$L$39&lt;&gt;"Evet",Topraklar!$K$39&lt;&gt;Bitkiler!$C$75)),0,MAX(0,1-(Ayarlar!$B$2*ABS(Bitkiler!$D$75-Topraklar!$D$39)+Ayarlar!$B$3*ABS(Bitkiler!$E$75-Topraklar!$E$39)+Ayarlar!$B$4*ABS(Bitkiler!$F$75-Topraklar!$F$39)+Ayarlar!$B$5*ABS(Bitkiler!$G$75-Topraklar!$G$39)+Ayarlar!$B$6*IF(Bitkiler!$H$75=Topraklar!$H$39,0,1))/Ayarlar!$B$7)+IF(Topraklar!$K$39=Bitkiler!$C$75,0.002,IF(Topraklar!$L$39="Evet",0.001,0)))</f>
        <v/>
      </c>
      <c r="AN76" s="16">
        <f>IF(OR(Topraklar!$J$40="Evet",AND(Topraklar!$L$40&lt;&gt;"Evet",Topraklar!$K$40&lt;&gt;Bitkiler!$C$75)),0,MAX(0,1-(Ayarlar!$B$2*ABS(Bitkiler!$D$75-Topraklar!$D$40)+Ayarlar!$B$3*ABS(Bitkiler!$E$75-Topraklar!$E$40)+Ayarlar!$B$4*ABS(Bitkiler!$F$75-Topraklar!$F$40)+Ayarlar!$B$5*ABS(Bitkiler!$G$75-Topraklar!$G$40)+Ayarlar!$B$6*IF(Bitkiler!$H$75=Topraklar!$H$40,0,1))/Ayarlar!$B$7)+IF(Topraklar!$K$40=Bitkiler!$C$75,0.002,IF(Topraklar!$L$40="Evet",0.001,0)))</f>
        <v/>
      </c>
      <c r="AO76" s="16">
        <f>IF(OR(Topraklar!$J$41="Evet",AND(Topraklar!$L$41&lt;&gt;"Evet",Topraklar!$K$41&lt;&gt;Bitkiler!$C$75)),0,MAX(0,1-(Ayarlar!$B$2*ABS(Bitkiler!$D$75-Topraklar!$D$41)+Ayarlar!$B$3*ABS(Bitkiler!$E$75-Topraklar!$E$41)+Ayarlar!$B$4*ABS(Bitkiler!$F$75-Topraklar!$F$41)+Ayarlar!$B$5*ABS(Bitkiler!$G$75-Topraklar!$G$41)+Ayarlar!$B$6*IF(Bitkiler!$H$75=Topraklar!$H$41,0,1))/Ayarlar!$B$7)+IF(Topraklar!$K$41=Bitkiler!$C$75,0.002,IF(Topraklar!$L$41="Evet",0.001,0)))</f>
        <v/>
      </c>
      <c r="AP76" s="16">
        <f>IF(OR(Topraklar!$J$42="Evet",AND(Topraklar!$L$42&lt;&gt;"Evet",Topraklar!$K$42&lt;&gt;Bitkiler!$C$75)),0,MAX(0,1-(Ayarlar!$B$2*ABS(Bitkiler!$D$75-Topraklar!$D$42)+Ayarlar!$B$3*ABS(Bitkiler!$E$75-Topraklar!$E$42)+Ayarlar!$B$4*ABS(Bitkiler!$F$75-Topraklar!$F$42)+Ayarlar!$B$5*ABS(Bitkiler!$G$75-Topraklar!$G$42)+Ayarlar!$B$6*IF(Bitkiler!$H$75=Topraklar!$H$42,0,1))/Ayarlar!$B$7)+IF(Topraklar!$K$42=Bitkiler!$C$75,0.002,IF(Topraklar!$L$42="Evet",0.001,0)))</f>
        <v/>
      </c>
      <c r="AQ76" s="16">
        <f>IF(OR(Topraklar!$J$43="Evet",AND(Topraklar!$L$43&lt;&gt;"Evet",Topraklar!$K$43&lt;&gt;Bitkiler!$C$75)),0,MAX(0,1-(Ayarlar!$B$2*ABS(Bitkiler!$D$75-Topraklar!$D$43)+Ayarlar!$B$3*ABS(Bitkiler!$E$75-Topraklar!$E$43)+Ayarlar!$B$4*ABS(Bitkiler!$F$75-Topraklar!$F$43)+Ayarlar!$B$5*ABS(Bitkiler!$G$75-Topraklar!$G$43)+Ayarlar!$B$6*IF(Bitkiler!$H$75=Topraklar!$H$43,0,1))/Ayarlar!$B$7)+IF(Topraklar!$K$43=Bitkiler!$C$75,0.002,IF(Topraklar!$L$43="Evet",0.001,0)))</f>
        <v/>
      </c>
      <c r="AR76" s="16">
        <f>IF(OR(Topraklar!$J$44="Evet",AND(Topraklar!$L$44&lt;&gt;"Evet",Topraklar!$K$44&lt;&gt;Bitkiler!$C$75)),0,MAX(0,1-(Ayarlar!$B$2*ABS(Bitkiler!$D$75-Topraklar!$D$44)+Ayarlar!$B$3*ABS(Bitkiler!$E$75-Topraklar!$E$44)+Ayarlar!$B$4*ABS(Bitkiler!$F$75-Topraklar!$F$44)+Ayarlar!$B$5*ABS(Bitkiler!$G$75-Topraklar!$G$44)+Ayarlar!$B$6*IF(Bitkiler!$H$75=Topraklar!$H$44,0,1))/Ayarlar!$B$7)+IF(Topraklar!$K$44=Bitkiler!$C$75,0.002,IF(Topraklar!$L$44="Evet",0.001,0)))</f>
        <v/>
      </c>
      <c r="AS76" s="16">
        <f>IF(OR(Topraklar!$J$45="Evet",AND(Topraklar!$L$45&lt;&gt;"Evet",Topraklar!$K$45&lt;&gt;Bitkiler!$C$75)),0,MAX(0,1-(Ayarlar!$B$2*ABS(Bitkiler!$D$75-Topraklar!$D$45)+Ayarlar!$B$3*ABS(Bitkiler!$E$75-Topraklar!$E$45)+Ayarlar!$B$4*ABS(Bitkiler!$F$75-Topraklar!$F$45)+Ayarlar!$B$5*ABS(Bitkiler!$G$75-Topraklar!$G$45)+Ayarlar!$B$6*IF(Bitkiler!$H$75=Topraklar!$H$45,0,1))/Ayarlar!$B$7)+IF(Topraklar!$K$45=Bitkiler!$C$75,0.002,IF(Topraklar!$L$45="Evet",0.001,0)))</f>
        <v/>
      </c>
      <c r="AT76" s="16">
        <f>IF(OR(Topraklar!$J$46="Evet",AND(Topraklar!$L$46&lt;&gt;"Evet",Topraklar!$K$46&lt;&gt;Bitkiler!$C$75)),0,MAX(0,1-(Ayarlar!$B$2*ABS(Bitkiler!$D$75-Topraklar!$D$46)+Ayarlar!$B$3*ABS(Bitkiler!$E$75-Topraklar!$E$46)+Ayarlar!$B$4*ABS(Bitkiler!$F$75-Topraklar!$F$46)+Ayarlar!$B$5*ABS(Bitkiler!$G$75-Topraklar!$G$46)+Ayarlar!$B$6*IF(Bitkiler!$H$75=Topraklar!$H$46,0,1))/Ayarlar!$B$7)+IF(Topraklar!$K$46=Bitkiler!$C$75,0.002,IF(Topraklar!$L$46="Evet",0.001,0)))</f>
        <v/>
      </c>
      <c r="AU76" s="16">
        <f>IF(OR(Topraklar!$J$47="Evet",AND(Topraklar!$L$47&lt;&gt;"Evet",Topraklar!$K$47&lt;&gt;Bitkiler!$C$75)),0,MAX(0,1-(Ayarlar!$B$2*ABS(Bitkiler!$D$75-Topraklar!$D$47)+Ayarlar!$B$3*ABS(Bitkiler!$E$75-Topraklar!$E$47)+Ayarlar!$B$4*ABS(Bitkiler!$F$75-Topraklar!$F$47)+Ayarlar!$B$5*ABS(Bitkiler!$G$75-Topraklar!$G$47)+Ayarlar!$B$6*IF(Bitkiler!$H$75=Topraklar!$H$47,0,1))/Ayarlar!$B$7)+IF(Topraklar!$K$47=Bitkiler!$C$75,0.002,IF(Topraklar!$L$47="Evet",0.001,0)))</f>
        <v/>
      </c>
      <c r="AV76" s="16">
        <f>IF(OR(Topraklar!$J$48="Evet",AND(Topraklar!$L$48&lt;&gt;"Evet",Topraklar!$K$48&lt;&gt;Bitkiler!$C$75)),0,MAX(0,1-(Ayarlar!$B$2*ABS(Bitkiler!$D$75-Topraklar!$D$48)+Ayarlar!$B$3*ABS(Bitkiler!$E$75-Topraklar!$E$48)+Ayarlar!$B$4*ABS(Bitkiler!$F$75-Topraklar!$F$48)+Ayarlar!$B$5*ABS(Bitkiler!$G$75-Topraklar!$G$48)+Ayarlar!$B$6*IF(Bitkiler!$H$75=Topraklar!$H$48,0,1))/Ayarlar!$B$7)+IF(Topraklar!$K$48=Bitkiler!$C$75,0.002,IF(Topraklar!$L$48="Evet",0.001,0)))</f>
        <v/>
      </c>
      <c r="AW76" s="16">
        <f>IF(OR(Topraklar!$J$49="Evet",AND(Topraklar!$L$49&lt;&gt;"Evet",Topraklar!$K$49&lt;&gt;Bitkiler!$C$75)),0,MAX(0,1-(Ayarlar!$B$2*ABS(Bitkiler!$D$75-Topraklar!$D$49)+Ayarlar!$B$3*ABS(Bitkiler!$E$75-Topraklar!$E$49)+Ayarlar!$B$4*ABS(Bitkiler!$F$75-Topraklar!$F$49)+Ayarlar!$B$5*ABS(Bitkiler!$G$75-Topraklar!$G$49)+Ayarlar!$B$6*IF(Bitkiler!$H$75=Topraklar!$H$49,0,1))/Ayarlar!$B$7)+IF(Topraklar!$K$49=Bitkiler!$C$75,0.002,IF(Topraklar!$L$49="Evet",0.001,0)))</f>
        <v/>
      </c>
      <c r="AX76" s="16">
        <f>IF(OR(Topraklar!$J$50="Evet",AND(Topraklar!$L$50&lt;&gt;"Evet",Topraklar!$K$50&lt;&gt;Bitkiler!$C$75)),0,MAX(0,1-(Ayarlar!$B$2*ABS(Bitkiler!$D$75-Topraklar!$D$50)+Ayarlar!$B$3*ABS(Bitkiler!$E$75-Topraklar!$E$50)+Ayarlar!$B$4*ABS(Bitkiler!$F$75-Topraklar!$F$50)+Ayarlar!$B$5*ABS(Bitkiler!$G$75-Topraklar!$G$50)+Ayarlar!$B$6*IF(Bitkiler!$H$75=Topraklar!$H$50,0,1))/Ayarlar!$B$7)+IF(Topraklar!$K$50=Bitkiler!$C$75,0.002,IF(Topraklar!$L$50="Evet",0.001,0)))</f>
        <v/>
      </c>
      <c r="AY76" s="16">
        <f>IF(OR(Topraklar!$J$51="Evet",AND(Topraklar!$L$51&lt;&gt;"Evet",Topraklar!$K$51&lt;&gt;Bitkiler!$C$75)),0,MAX(0,1-(Ayarlar!$B$2*ABS(Bitkiler!$D$75-Topraklar!$D$51)+Ayarlar!$B$3*ABS(Bitkiler!$E$75-Topraklar!$E$51)+Ayarlar!$B$4*ABS(Bitkiler!$F$75-Topraklar!$F$51)+Ayarlar!$B$5*ABS(Bitkiler!$G$75-Topraklar!$G$51)+Ayarlar!$B$6*IF(Bitkiler!$H$75=Topraklar!$H$51,0,1))/Ayarlar!$B$7)+IF(Topraklar!$K$51=Bitkiler!$C$75,0.002,IF(Topraklar!$L$51="Evet",0.001,0)))</f>
        <v/>
      </c>
    </row>
    <row r="77">
      <c r="A77" s="15">
        <f>Bitkiler!A76</f>
        <v/>
      </c>
      <c r="B77" s="16">
        <f>IF(OR(Topraklar!$J$2="Evet",AND(Topraklar!$L$2&lt;&gt;"Evet",Topraklar!$K$2&lt;&gt;Bitkiler!$C$76)),0,MAX(0,1-(Ayarlar!$B$2*ABS(Bitkiler!$D$76-Topraklar!$D$2)+Ayarlar!$B$3*ABS(Bitkiler!$E$76-Topraklar!$E$2)+Ayarlar!$B$4*ABS(Bitkiler!$F$76-Topraklar!$F$2)+Ayarlar!$B$5*ABS(Bitkiler!$G$76-Topraklar!$G$2)+Ayarlar!$B$6*IF(Bitkiler!$H$76=Topraklar!$H$2,0,1))/Ayarlar!$B$7)+IF(Topraklar!$K$2=Bitkiler!$C$76,0.002,IF(Topraklar!$L$2="Evet",0.001,0)))</f>
        <v/>
      </c>
      <c r="C77" s="16">
        <f>IF(OR(Topraklar!$J$3="Evet",AND(Topraklar!$L$3&lt;&gt;"Evet",Topraklar!$K$3&lt;&gt;Bitkiler!$C$76)),0,MAX(0,1-(Ayarlar!$B$2*ABS(Bitkiler!$D$76-Topraklar!$D$3)+Ayarlar!$B$3*ABS(Bitkiler!$E$76-Topraklar!$E$3)+Ayarlar!$B$4*ABS(Bitkiler!$F$76-Topraklar!$F$3)+Ayarlar!$B$5*ABS(Bitkiler!$G$76-Topraklar!$G$3)+Ayarlar!$B$6*IF(Bitkiler!$H$76=Topraklar!$H$3,0,1))/Ayarlar!$B$7)+IF(Topraklar!$K$3=Bitkiler!$C$76,0.002,IF(Topraklar!$L$3="Evet",0.001,0)))</f>
        <v/>
      </c>
      <c r="D77" s="16">
        <f>IF(OR(Topraklar!$J$4="Evet",AND(Topraklar!$L$4&lt;&gt;"Evet",Topraklar!$K$4&lt;&gt;Bitkiler!$C$76)),0,MAX(0,1-(Ayarlar!$B$2*ABS(Bitkiler!$D$76-Topraklar!$D$4)+Ayarlar!$B$3*ABS(Bitkiler!$E$76-Topraklar!$E$4)+Ayarlar!$B$4*ABS(Bitkiler!$F$76-Topraklar!$F$4)+Ayarlar!$B$5*ABS(Bitkiler!$G$76-Topraklar!$G$4)+Ayarlar!$B$6*IF(Bitkiler!$H$76=Topraklar!$H$4,0,1))/Ayarlar!$B$7)+IF(Topraklar!$K$4=Bitkiler!$C$76,0.002,IF(Topraklar!$L$4="Evet",0.001,0)))</f>
        <v/>
      </c>
      <c r="E77" s="16">
        <f>IF(OR(Topraklar!$J$5="Evet",AND(Topraklar!$L$5&lt;&gt;"Evet",Topraklar!$K$5&lt;&gt;Bitkiler!$C$76)),0,MAX(0,1-(Ayarlar!$B$2*ABS(Bitkiler!$D$76-Topraklar!$D$5)+Ayarlar!$B$3*ABS(Bitkiler!$E$76-Topraklar!$E$5)+Ayarlar!$B$4*ABS(Bitkiler!$F$76-Topraklar!$F$5)+Ayarlar!$B$5*ABS(Bitkiler!$G$76-Topraklar!$G$5)+Ayarlar!$B$6*IF(Bitkiler!$H$76=Topraklar!$H$5,0,1))/Ayarlar!$B$7)+IF(Topraklar!$K$5=Bitkiler!$C$76,0.002,IF(Topraklar!$L$5="Evet",0.001,0)))</f>
        <v/>
      </c>
      <c r="F77" s="16">
        <f>IF(OR(Topraklar!$J$6="Evet",AND(Topraklar!$L$6&lt;&gt;"Evet",Topraklar!$K$6&lt;&gt;Bitkiler!$C$76)),0,MAX(0,1-(Ayarlar!$B$2*ABS(Bitkiler!$D$76-Topraklar!$D$6)+Ayarlar!$B$3*ABS(Bitkiler!$E$76-Topraklar!$E$6)+Ayarlar!$B$4*ABS(Bitkiler!$F$76-Topraklar!$F$6)+Ayarlar!$B$5*ABS(Bitkiler!$G$76-Topraklar!$G$6)+Ayarlar!$B$6*IF(Bitkiler!$H$76=Topraklar!$H$6,0,1))/Ayarlar!$B$7)+IF(Topraklar!$K$6=Bitkiler!$C$76,0.002,IF(Topraklar!$L$6="Evet",0.001,0)))</f>
        <v/>
      </c>
      <c r="G77" s="16">
        <f>IF(OR(Topraklar!$J$7="Evet",AND(Topraklar!$L$7&lt;&gt;"Evet",Topraklar!$K$7&lt;&gt;Bitkiler!$C$76)),0,MAX(0,1-(Ayarlar!$B$2*ABS(Bitkiler!$D$76-Topraklar!$D$7)+Ayarlar!$B$3*ABS(Bitkiler!$E$76-Topraklar!$E$7)+Ayarlar!$B$4*ABS(Bitkiler!$F$76-Topraklar!$F$7)+Ayarlar!$B$5*ABS(Bitkiler!$G$76-Topraklar!$G$7)+Ayarlar!$B$6*IF(Bitkiler!$H$76=Topraklar!$H$7,0,1))/Ayarlar!$B$7)+IF(Topraklar!$K$7=Bitkiler!$C$76,0.002,IF(Topraklar!$L$7="Evet",0.001,0)))</f>
        <v/>
      </c>
      <c r="H77" s="16">
        <f>IF(OR(Topraklar!$J$8="Evet",AND(Topraklar!$L$8&lt;&gt;"Evet",Topraklar!$K$8&lt;&gt;Bitkiler!$C$76)),0,MAX(0,1-(Ayarlar!$B$2*ABS(Bitkiler!$D$76-Topraklar!$D$8)+Ayarlar!$B$3*ABS(Bitkiler!$E$76-Topraklar!$E$8)+Ayarlar!$B$4*ABS(Bitkiler!$F$76-Topraklar!$F$8)+Ayarlar!$B$5*ABS(Bitkiler!$G$76-Topraklar!$G$8)+Ayarlar!$B$6*IF(Bitkiler!$H$76=Topraklar!$H$8,0,1))/Ayarlar!$B$7)+IF(Topraklar!$K$8=Bitkiler!$C$76,0.002,IF(Topraklar!$L$8="Evet",0.001,0)))</f>
        <v/>
      </c>
      <c r="I77" s="16">
        <f>IF(OR(Topraklar!$J$9="Evet",AND(Topraklar!$L$9&lt;&gt;"Evet",Topraklar!$K$9&lt;&gt;Bitkiler!$C$76)),0,MAX(0,1-(Ayarlar!$B$2*ABS(Bitkiler!$D$76-Topraklar!$D$9)+Ayarlar!$B$3*ABS(Bitkiler!$E$76-Topraklar!$E$9)+Ayarlar!$B$4*ABS(Bitkiler!$F$76-Topraklar!$F$9)+Ayarlar!$B$5*ABS(Bitkiler!$G$76-Topraklar!$G$9)+Ayarlar!$B$6*IF(Bitkiler!$H$76=Topraklar!$H$9,0,1))/Ayarlar!$B$7)+IF(Topraklar!$K$9=Bitkiler!$C$76,0.002,IF(Topraklar!$L$9="Evet",0.001,0)))</f>
        <v/>
      </c>
      <c r="J77" s="16">
        <f>IF(OR(Topraklar!$J$10="Evet",AND(Topraklar!$L$10&lt;&gt;"Evet",Topraklar!$K$10&lt;&gt;Bitkiler!$C$76)),0,MAX(0,1-(Ayarlar!$B$2*ABS(Bitkiler!$D$76-Topraklar!$D$10)+Ayarlar!$B$3*ABS(Bitkiler!$E$76-Topraklar!$E$10)+Ayarlar!$B$4*ABS(Bitkiler!$F$76-Topraklar!$F$10)+Ayarlar!$B$5*ABS(Bitkiler!$G$76-Topraklar!$G$10)+Ayarlar!$B$6*IF(Bitkiler!$H$76=Topraklar!$H$10,0,1))/Ayarlar!$B$7)+IF(Topraklar!$K$10=Bitkiler!$C$76,0.002,IF(Topraklar!$L$10="Evet",0.001,0)))</f>
        <v/>
      </c>
      <c r="K77" s="16">
        <f>IF(OR(Topraklar!$J$11="Evet",AND(Topraklar!$L$11&lt;&gt;"Evet",Topraklar!$K$11&lt;&gt;Bitkiler!$C$76)),0,MAX(0,1-(Ayarlar!$B$2*ABS(Bitkiler!$D$76-Topraklar!$D$11)+Ayarlar!$B$3*ABS(Bitkiler!$E$76-Topraklar!$E$11)+Ayarlar!$B$4*ABS(Bitkiler!$F$76-Topraklar!$F$11)+Ayarlar!$B$5*ABS(Bitkiler!$G$76-Topraklar!$G$11)+Ayarlar!$B$6*IF(Bitkiler!$H$76=Topraklar!$H$11,0,1))/Ayarlar!$B$7)+IF(Topraklar!$K$11=Bitkiler!$C$76,0.002,IF(Topraklar!$L$11="Evet",0.001,0)))</f>
        <v/>
      </c>
      <c r="L77" s="16">
        <f>IF(OR(Topraklar!$J$12="Evet",AND(Topraklar!$L$12&lt;&gt;"Evet",Topraklar!$K$12&lt;&gt;Bitkiler!$C$76)),0,MAX(0,1-(Ayarlar!$B$2*ABS(Bitkiler!$D$76-Topraklar!$D$12)+Ayarlar!$B$3*ABS(Bitkiler!$E$76-Topraklar!$E$12)+Ayarlar!$B$4*ABS(Bitkiler!$F$76-Topraklar!$F$12)+Ayarlar!$B$5*ABS(Bitkiler!$G$76-Topraklar!$G$12)+Ayarlar!$B$6*IF(Bitkiler!$H$76=Topraklar!$H$12,0,1))/Ayarlar!$B$7)+IF(Topraklar!$K$12=Bitkiler!$C$76,0.002,IF(Topraklar!$L$12="Evet",0.001,0)))</f>
        <v/>
      </c>
      <c r="M77" s="16">
        <f>IF(OR(Topraklar!$J$13="Evet",AND(Topraklar!$L$13&lt;&gt;"Evet",Topraklar!$K$13&lt;&gt;Bitkiler!$C$76)),0,MAX(0,1-(Ayarlar!$B$2*ABS(Bitkiler!$D$76-Topraklar!$D$13)+Ayarlar!$B$3*ABS(Bitkiler!$E$76-Topraklar!$E$13)+Ayarlar!$B$4*ABS(Bitkiler!$F$76-Topraklar!$F$13)+Ayarlar!$B$5*ABS(Bitkiler!$G$76-Topraklar!$G$13)+Ayarlar!$B$6*IF(Bitkiler!$H$76=Topraklar!$H$13,0,1))/Ayarlar!$B$7)+IF(Topraklar!$K$13=Bitkiler!$C$76,0.002,IF(Topraklar!$L$13="Evet",0.001,0)))</f>
        <v/>
      </c>
      <c r="N77" s="16">
        <f>IF(OR(Topraklar!$J$14="Evet",AND(Topraklar!$L$14&lt;&gt;"Evet",Topraklar!$K$14&lt;&gt;Bitkiler!$C$76)),0,MAX(0,1-(Ayarlar!$B$2*ABS(Bitkiler!$D$76-Topraklar!$D$14)+Ayarlar!$B$3*ABS(Bitkiler!$E$76-Topraklar!$E$14)+Ayarlar!$B$4*ABS(Bitkiler!$F$76-Topraklar!$F$14)+Ayarlar!$B$5*ABS(Bitkiler!$G$76-Topraklar!$G$14)+Ayarlar!$B$6*IF(Bitkiler!$H$76=Topraklar!$H$14,0,1))/Ayarlar!$B$7)+IF(Topraklar!$K$14=Bitkiler!$C$76,0.002,IF(Topraklar!$L$14="Evet",0.001,0)))</f>
        <v/>
      </c>
      <c r="O77" s="16">
        <f>IF(OR(Topraklar!$J$15="Evet",AND(Topraklar!$L$15&lt;&gt;"Evet",Topraklar!$K$15&lt;&gt;Bitkiler!$C$76)),0,MAX(0,1-(Ayarlar!$B$2*ABS(Bitkiler!$D$76-Topraklar!$D$15)+Ayarlar!$B$3*ABS(Bitkiler!$E$76-Topraklar!$E$15)+Ayarlar!$B$4*ABS(Bitkiler!$F$76-Topraklar!$F$15)+Ayarlar!$B$5*ABS(Bitkiler!$G$76-Topraklar!$G$15)+Ayarlar!$B$6*IF(Bitkiler!$H$76=Topraklar!$H$15,0,1))/Ayarlar!$B$7)+IF(Topraklar!$K$15=Bitkiler!$C$76,0.002,IF(Topraklar!$L$15="Evet",0.001,0)))</f>
        <v/>
      </c>
      <c r="P77" s="16">
        <f>IF(OR(Topraklar!$J$16="Evet",AND(Topraklar!$L$16&lt;&gt;"Evet",Topraklar!$K$16&lt;&gt;Bitkiler!$C$76)),0,MAX(0,1-(Ayarlar!$B$2*ABS(Bitkiler!$D$76-Topraklar!$D$16)+Ayarlar!$B$3*ABS(Bitkiler!$E$76-Topraklar!$E$16)+Ayarlar!$B$4*ABS(Bitkiler!$F$76-Topraklar!$F$16)+Ayarlar!$B$5*ABS(Bitkiler!$G$76-Topraklar!$G$16)+Ayarlar!$B$6*IF(Bitkiler!$H$76=Topraklar!$H$16,0,1))/Ayarlar!$B$7)+IF(Topraklar!$K$16=Bitkiler!$C$76,0.002,IF(Topraklar!$L$16="Evet",0.001,0)))</f>
        <v/>
      </c>
      <c r="Q77" s="16">
        <f>IF(OR(Topraklar!$J$17="Evet",AND(Topraklar!$L$17&lt;&gt;"Evet",Topraklar!$K$17&lt;&gt;Bitkiler!$C$76)),0,MAX(0,1-(Ayarlar!$B$2*ABS(Bitkiler!$D$76-Topraklar!$D$17)+Ayarlar!$B$3*ABS(Bitkiler!$E$76-Topraklar!$E$17)+Ayarlar!$B$4*ABS(Bitkiler!$F$76-Topraklar!$F$17)+Ayarlar!$B$5*ABS(Bitkiler!$G$76-Topraklar!$G$17)+Ayarlar!$B$6*IF(Bitkiler!$H$76=Topraklar!$H$17,0,1))/Ayarlar!$B$7)+IF(Topraklar!$K$17=Bitkiler!$C$76,0.002,IF(Topraklar!$L$17="Evet",0.001,0)))</f>
        <v/>
      </c>
      <c r="R77" s="16">
        <f>IF(OR(Topraklar!$J$18="Evet",AND(Topraklar!$L$18&lt;&gt;"Evet",Topraklar!$K$18&lt;&gt;Bitkiler!$C$76)),0,MAX(0,1-(Ayarlar!$B$2*ABS(Bitkiler!$D$76-Topraklar!$D$18)+Ayarlar!$B$3*ABS(Bitkiler!$E$76-Topraklar!$E$18)+Ayarlar!$B$4*ABS(Bitkiler!$F$76-Topraklar!$F$18)+Ayarlar!$B$5*ABS(Bitkiler!$G$76-Topraklar!$G$18)+Ayarlar!$B$6*IF(Bitkiler!$H$76=Topraklar!$H$18,0,1))/Ayarlar!$B$7)+IF(Topraklar!$K$18=Bitkiler!$C$76,0.002,IF(Topraklar!$L$18="Evet",0.001,0)))</f>
        <v/>
      </c>
      <c r="S77" s="16">
        <f>IF(OR(Topraklar!$J$19="Evet",AND(Topraklar!$L$19&lt;&gt;"Evet",Topraklar!$K$19&lt;&gt;Bitkiler!$C$76)),0,MAX(0,1-(Ayarlar!$B$2*ABS(Bitkiler!$D$76-Topraklar!$D$19)+Ayarlar!$B$3*ABS(Bitkiler!$E$76-Topraklar!$E$19)+Ayarlar!$B$4*ABS(Bitkiler!$F$76-Topraklar!$F$19)+Ayarlar!$B$5*ABS(Bitkiler!$G$76-Topraklar!$G$19)+Ayarlar!$B$6*IF(Bitkiler!$H$76=Topraklar!$H$19,0,1))/Ayarlar!$B$7)+IF(Topraklar!$K$19=Bitkiler!$C$76,0.002,IF(Topraklar!$L$19="Evet",0.001,0)))</f>
        <v/>
      </c>
      <c r="T77" s="16">
        <f>IF(OR(Topraklar!$J$20="Evet",AND(Topraklar!$L$20&lt;&gt;"Evet",Topraklar!$K$20&lt;&gt;Bitkiler!$C$76)),0,MAX(0,1-(Ayarlar!$B$2*ABS(Bitkiler!$D$76-Topraklar!$D$20)+Ayarlar!$B$3*ABS(Bitkiler!$E$76-Topraklar!$E$20)+Ayarlar!$B$4*ABS(Bitkiler!$F$76-Topraklar!$F$20)+Ayarlar!$B$5*ABS(Bitkiler!$G$76-Topraklar!$G$20)+Ayarlar!$B$6*IF(Bitkiler!$H$76=Topraklar!$H$20,0,1))/Ayarlar!$B$7)+IF(Topraklar!$K$20=Bitkiler!$C$76,0.002,IF(Topraklar!$L$20="Evet",0.001,0)))</f>
        <v/>
      </c>
      <c r="U77" s="16">
        <f>IF(OR(Topraklar!$J$21="Evet",AND(Topraklar!$L$21&lt;&gt;"Evet",Topraklar!$K$21&lt;&gt;Bitkiler!$C$76)),0,MAX(0,1-(Ayarlar!$B$2*ABS(Bitkiler!$D$76-Topraklar!$D$21)+Ayarlar!$B$3*ABS(Bitkiler!$E$76-Topraklar!$E$21)+Ayarlar!$B$4*ABS(Bitkiler!$F$76-Topraklar!$F$21)+Ayarlar!$B$5*ABS(Bitkiler!$G$76-Topraklar!$G$21)+Ayarlar!$B$6*IF(Bitkiler!$H$76=Topraklar!$H$21,0,1))/Ayarlar!$B$7)+IF(Topraklar!$K$21=Bitkiler!$C$76,0.002,IF(Topraklar!$L$21="Evet",0.001,0)))</f>
        <v/>
      </c>
      <c r="V77" s="16">
        <f>IF(OR(Topraklar!$J$22="Evet",AND(Topraklar!$L$22&lt;&gt;"Evet",Topraklar!$K$22&lt;&gt;Bitkiler!$C$76)),0,MAX(0,1-(Ayarlar!$B$2*ABS(Bitkiler!$D$76-Topraklar!$D$22)+Ayarlar!$B$3*ABS(Bitkiler!$E$76-Topraklar!$E$22)+Ayarlar!$B$4*ABS(Bitkiler!$F$76-Topraklar!$F$22)+Ayarlar!$B$5*ABS(Bitkiler!$G$76-Topraklar!$G$22)+Ayarlar!$B$6*IF(Bitkiler!$H$76=Topraklar!$H$22,0,1))/Ayarlar!$B$7)+IF(Topraklar!$K$22=Bitkiler!$C$76,0.002,IF(Topraklar!$L$22="Evet",0.001,0)))</f>
        <v/>
      </c>
      <c r="W77" s="16">
        <f>IF(OR(Topraklar!$J$23="Evet",AND(Topraklar!$L$23&lt;&gt;"Evet",Topraklar!$K$23&lt;&gt;Bitkiler!$C$76)),0,MAX(0,1-(Ayarlar!$B$2*ABS(Bitkiler!$D$76-Topraklar!$D$23)+Ayarlar!$B$3*ABS(Bitkiler!$E$76-Topraklar!$E$23)+Ayarlar!$B$4*ABS(Bitkiler!$F$76-Topraklar!$F$23)+Ayarlar!$B$5*ABS(Bitkiler!$G$76-Topraklar!$G$23)+Ayarlar!$B$6*IF(Bitkiler!$H$76=Topraklar!$H$23,0,1))/Ayarlar!$B$7)+IF(Topraklar!$K$23=Bitkiler!$C$76,0.002,IF(Topraklar!$L$23="Evet",0.001,0)))</f>
        <v/>
      </c>
      <c r="X77" s="16">
        <f>IF(OR(Topraklar!$J$24="Evet",AND(Topraklar!$L$24&lt;&gt;"Evet",Topraklar!$K$24&lt;&gt;Bitkiler!$C$76)),0,MAX(0,1-(Ayarlar!$B$2*ABS(Bitkiler!$D$76-Topraklar!$D$24)+Ayarlar!$B$3*ABS(Bitkiler!$E$76-Topraklar!$E$24)+Ayarlar!$B$4*ABS(Bitkiler!$F$76-Topraklar!$F$24)+Ayarlar!$B$5*ABS(Bitkiler!$G$76-Topraklar!$G$24)+Ayarlar!$B$6*IF(Bitkiler!$H$76=Topraklar!$H$24,0,1))/Ayarlar!$B$7)+IF(Topraklar!$K$24=Bitkiler!$C$76,0.002,IF(Topraklar!$L$24="Evet",0.001,0)))</f>
        <v/>
      </c>
      <c r="Y77" s="16">
        <f>IF(OR(Topraklar!$J$25="Evet",AND(Topraklar!$L$25&lt;&gt;"Evet",Topraklar!$K$25&lt;&gt;Bitkiler!$C$76)),0,MAX(0,1-(Ayarlar!$B$2*ABS(Bitkiler!$D$76-Topraklar!$D$25)+Ayarlar!$B$3*ABS(Bitkiler!$E$76-Topraklar!$E$25)+Ayarlar!$B$4*ABS(Bitkiler!$F$76-Topraklar!$F$25)+Ayarlar!$B$5*ABS(Bitkiler!$G$76-Topraklar!$G$25)+Ayarlar!$B$6*IF(Bitkiler!$H$76=Topraklar!$H$25,0,1))/Ayarlar!$B$7)+IF(Topraklar!$K$25=Bitkiler!$C$76,0.002,IF(Topraklar!$L$25="Evet",0.001,0)))</f>
        <v/>
      </c>
      <c r="Z77" s="16">
        <f>IF(OR(Topraklar!$J$26="Evet",AND(Topraklar!$L$26&lt;&gt;"Evet",Topraklar!$K$26&lt;&gt;Bitkiler!$C$76)),0,MAX(0,1-(Ayarlar!$B$2*ABS(Bitkiler!$D$76-Topraklar!$D$26)+Ayarlar!$B$3*ABS(Bitkiler!$E$76-Topraklar!$E$26)+Ayarlar!$B$4*ABS(Bitkiler!$F$76-Topraklar!$F$26)+Ayarlar!$B$5*ABS(Bitkiler!$G$76-Topraklar!$G$26)+Ayarlar!$B$6*IF(Bitkiler!$H$76=Topraklar!$H$26,0,1))/Ayarlar!$B$7)+IF(Topraklar!$K$26=Bitkiler!$C$76,0.002,IF(Topraklar!$L$26="Evet",0.001,0)))</f>
        <v/>
      </c>
      <c r="AA77" s="16">
        <f>IF(OR(Topraklar!$J$27="Evet",AND(Topraklar!$L$27&lt;&gt;"Evet",Topraklar!$K$27&lt;&gt;Bitkiler!$C$76)),0,MAX(0,1-(Ayarlar!$B$2*ABS(Bitkiler!$D$76-Topraklar!$D$27)+Ayarlar!$B$3*ABS(Bitkiler!$E$76-Topraklar!$E$27)+Ayarlar!$B$4*ABS(Bitkiler!$F$76-Topraklar!$F$27)+Ayarlar!$B$5*ABS(Bitkiler!$G$76-Topraklar!$G$27)+Ayarlar!$B$6*IF(Bitkiler!$H$76=Topraklar!$H$27,0,1))/Ayarlar!$B$7)+IF(Topraklar!$K$27=Bitkiler!$C$76,0.002,IF(Topraklar!$L$27="Evet",0.001,0)))</f>
        <v/>
      </c>
      <c r="AB77" s="16">
        <f>IF(OR(Topraklar!$J$28="Evet",AND(Topraklar!$L$28&lt;&gt;"Evet",Topraklar!$K$28&lt;&gt;Bitkiler!$C$76)),0,MAX(0,1-(Ayarlar!$B$2*ABS(Bitkiler!$D$76-Topraklar!$D$28)+Ayarlar!$B$3*ABS(Bitkiler!$E$76-Topraklar!$E$28)+Ayarlar!$B$4*ABS(Bitkiler!$F$76-Topraklar!$F$28)+Ayarlar!$B$5*ABS(Bitkiler!$G$76-Topraklar!$G$28)+Ayarlar!$B$6*IF(Bitkiler!$H$76=Topraklar!$H$28,0,1))/Ayarlar!$B$7)+IF(Topraklar!$K$28=Bitkiler!$C$76,0.002,IF(Topraklar!$L$28="Evet",0.001,0)))</f>
        <v/>
      </c>
      <c r="AC77" s="16">
        <f>IF(OR(Topraklar!$J$29="Evet",AND(Topraklar!$L$29&lt;&gt;"Evet",Topraklar!$K$29&lt;&gt;Bitkiler!$C$76)),0,MAX(0,1-(Ayarlar!$B$2*ABS(Bitkiler!$D$76-Topraklar!$D$29)+Ayarlar!$B$3*ABS(Bitkiler!$E$76-Topraklar!$E$29)+Ayarlar!$B$4*ABS(Bitkiler!$F$76-Topraklar!$F$29)+Ayarlar!$B$5*ABS(Bitkiler!$G$76-Topraklar!$G$29)+Ayarlar!$B$6*IF(Bitkiler!$H$76=Topraklar!$H$29,0,1))/Ayarlar!$B$7)+IF(Topraklar!$K$29=Bitkiler!$C$76,0.002,IF(Topraklar!$L$29="Evet",0.001,0)))</f>
        <v/>
      </c>
      <c r="AD77" s="16">
        <f>IF(OR(Topraklar!$J$30="Evet",AND(Topraklar!$L$30&lt;&gt;"Evet",Topraklar!$K$30&lt;&gt;Bitkiler!$C$76)),0,MAX(0,1-(Ayarlar!$B$2*ABS(Bitkiler!$D$76-Topraklar!$D$30)+Ayarlar!$B$3*ABS(Bitkiler!$E$76-Topraklar!$E$30)+Ayarlar!$B$4*ABS(Bitkiler!$F$76-Topraklar!$F$30)+Ayarlar!$B$5*ABS(Bitkiler!$G$76-Topraklar!$G$30)+Ayarlar!$B$6*IF(Bitkiler!$H$76=Topraklar!$H$30,0,1))/Ayarlar!$B$7)+IF(Topraklar!$K$30=Bitkiler!$C$76,0.002,IF(Topraklar!$L$30="Evet",0.001,0)))</f>
        <v/>
      </c>
      <c r="AE77" s="16">
        <f>IF(OR(Topraklar!$J$31="Evet",AND(Topraklar!$L$31&lt;&gt;"Evet",Topraklar!$K$31&lt;&gt;Bitkiler!$C$76)),0,MAX(0,1-(Ayarlar!$B$2*ABS(Bitkiler!$D$76-Topraklar!$D$31)+Ayarlar!$B$3*ABS(Bitkiler!$E$76-Topraklar!$E$31)+Ayarlar!$B$4*ABS(Bitkiler!$F$76-Topraklar!$F$31)+Ayarlar!$B$5*ABS(Bitkiler!$G$76-Topraklar!$G$31)+Ayarlar!$B$6*IF(Bitkiler!$H$76=Topraklar!$H$31,0,1))/Ayarlar!$B$7)+IF(Topraklar!$K$31=Bitkiler!$C$76,0.002,IF(Topraklar!$L$31="Evet",0.001,0)))</f>
        <v/>
      </c>
      <c r="AF77" s="16">
        <f>IF(OR(Topraklar!$J$32="Evet",AND(Topraklar!$L$32&lt;&gt;"Evet",Topraklar!$K$32&lt;&gt;Bitkiler!$C$76)),0,MAX(0,1-(Ayarlar!$B$2*ABS(Bitkiler!$D$76-Topraklar!$D$32)+Ayarlar!$B$3*ABS(Bitkiler!$E$76-Topraklar!$E$32)+Ayarlar!$B$4*ABS(Bitkiler!$F$76-Topraklar!$F$32)+Ayarlar!$B$5*ABS(Bitkiler!$G$76-Topraklar!$G$32)+Ayarlar!$B$6*IF(Bitkiler!$H$76=Topraklar!$H$32,0,1))/Ayarlar!$B$7)+IF(Topraklar!$K$32=Bitkiler!$C$76,0.002,IF(Topraklar!$L$32="Evet",0.001,0)))</f>
        <v/>
      </c>
      <c r="AG77" s="16">
        <f>IF(OR(Topraklar!$J$33="Evet",AND(Topraklar!$L$33&lt;&gt;"Evet",Topraklar!$K$33&lt;&gt;Bitkiler!$C$76)),0,MAX(0,1-(Ayarlar!$B$2*ABS(Bitkiler!$D$76-Topraklar!$D$33)+Ayarlar!$B$3*ABS(Bitkiler!$E$76-Topraklar!$E$33)+Ayarlar!$B$4*ABS(Bitkiler!$F$76-Topraklar!$F$33)+Ayarlar!$B$5*ABS(Bitkiler!$G$76-Topraklar!$G$33)+Ayarlar!$B$6*IF(Bitkiler!$H$76=Topraklar!$H$33,0,1))/Ayarlar!$B$7)+IF(Topraklar!$K$33=Bitkiler!$C$76,0.002,IF(Topraklar!$L$33="Evet",0.001,0)))</f>
        <v/>
      </c>
      <c r="AH77" s="16">
        <f>IF(OR(Topraklar!$J$34="Evet",AND(Topraklar!$L$34&lt;&gt;"Evet",Topraklar!$K$34&lt;&gt;Bitkiler!$C$76)),0,MAX(0,1-(Ayarlar!$B$2*ABS(Bitkiler!$D$76-Topraklar!$D$34)+Ayarlar!$B$3*ABS(Bitkiler!$E$76-Topraklar!$E$34)+Ayarlar!$B$4*ABS(Bitkiler!$F$76-Topraklar!$F$34)+Ayarlar!$B$5*ABS(Bitkiler!$G$76-Topraklar!$G$34)+Ayarlar!$B$6*IF(Bitkiler!$H$76=Topraklar!$H$34,0,1))/Ayarlar!$B$7)+IF(Topraklar!$K$34=Bitkiler!$C$76,0.002,IF(Topraklar!$L$34="Evet",0.001,0)))</f>
        <v/>
      </c>
      <c r="AI77" s="16">
        <f>IF(OR(Topraklar!$J$35="Evet",AND(Topraklar!$L$35&lt;&gt;"Evet",Topraklar!$K$35&lt;&gt;Bitkiler!$C$76)),0,MAX(0,1-(Ayarlar!$B$2*ABS(Bitkiler!$D$76-Topraklar!$D$35)+Ayarlar!$B$3*ABS(Bitkiler!$E$76-Topraklar!$E$35)+Ayarlar!$B$4*ABS(Bitkiler!$F$76-Topraklar!$F$35)+Ayarlar!$B$5*ABS(Bitkiler!$G$76-Topraklar!$G$35)+Ayarlar!$B$6*IF(Bitkiler!$H$76=Topraklar!$H$35,0,1))/Ayarlar!$B$7)+IF(Topraklar!$K$35=Bitkiler!$C$76,0.002,IF(Topraklar!$L$35="Evet",0.001,0)))</f>
        <v/>
      </c>
      <c r="AJ77" s="16">
        <f>IF(OR(Topraklar!$J$36="Evet",AND(Topraklar!$L$36&lt;&gt;"Evet",Topraklar!$K$36&lt;&gt;Bitkiler!$C$76)),0,MAX(0,1-(Ayarlar!$B$2*ABS(Bitkiler!$D$76-Topraklar!$D$36)+Ayarlar!$B$3*ABS(Bitkiler!$E$76-Topraklar!$E$36)+Ayarlar!$B$4*ABS(Bitkiler!$F$76-Topraklar!$F$36)+Ayarlar!$B$5*ABS(Bitkiler!$G$76-Topraklar!$G$36)+Ayarlar!$B$6*IF(Bitkiler!$H$76=Topraklar!$H$36,0,1))/Ayarlar!$B$7)+IF(Topraklar!$K$36=Bitkiler!$C$76,0.002,IF(Topraklar!$L$36="Evet",0.001,0)))</f>
        <v/>
      </c>
      <c r="AK77" s="16">
        <f>IF(OR(Topraklar!$J$37="Evet",AND(Topraklar!$L$37&lt;&gt;"Evet",Topraklar!$K$37&lt;&gt;Bitkiler!$C$76)),0,MAX(0,1-(Ayarlar!$B$2*ABS(Bitkiler!$D$76-Topraklar!$D$37)+Ayarlar!$B$3*ABS(Bitkiler!$E$76-Topraklar!$E$37)+Ayarlar!$B$4*ABS(Bitkiler!$F$76-Topraklar!$F$37)+Ayarlar!$B$5*ABS(Bitkiler!$G$76-Topraklar!$G$37)+Ayarlar!$B$6*IF(Bitkiler!$H$76=Topraklar!$H$37,0,1))/Ayarlar!$B$7)+IF(Topraklar!$K$37=Bitkiler!$C$76,0.002,IF(Topraklar!$L$37="Evet",0.001,0)))</f>
        <v/>
      </c>
      <c r="AL77" s="16">
        <f>IF(OR(Topraklar!$J$38="Evet",AND(Topraklar!$L$38&lt;&gt;"Evet",Topraklar!$K$38&lt;&gt;Bitkiler!$C$76)),0,MAX(0,1-(Ayarlar!$B$2*ABS(Bitkiler!$D$76-Topraklar!$D$38)+Ayarlar!$B$3*ABS(Bitkiler!$E$76-Topraklar!$E$38)+Ayarlar!$B$4*ABS(Bitkiler!$F$76-Topraklar!$F$38)+Ayarlar!$B$5*ABS(Bitkiler!$G$76-Topraklar!$G$38)+Ayarlar!$B$6*IF(Bitkiler!$H$76=Topraklar!$H$38,0,1))/Ayarlar!$B$7)+IF(Topraklar!$K$38=Bitkiler!$C$76,0.002,IF(Topraklar!$L$38="Evet",0.001,0)))</f>
        <v/>
      </c>
      <c r="AM77" s="16">
        <f>IF(OR(Topraklar!$J$39="Evet",AND(Topraklar!$L$39&lt;&gt;"Evet",Topraklar!$K$39&lt;&gt;Bitkiler!$C$76)),0,MAX(0,1-(Ayarlar!$B$2*ABS(Bitkiler!$D$76-Topraklar!$D$39)+Ayarlar!$B$3*ABS(Bitkiler!$E$76-Topraklar!$E$39)+Ayarlar!$B$4*ABS(Bitkiler!$F$76-Topraklar!$F$39)+Ayarlar!$B$5*ABS(Bitkiler!$G$76-Topraklar!$G$39)+Ayarlar!$B$6*IF(Bitkiler!$H$76=Topraklar!$H$39,0,1))/Ayarlar!$B$7)+IF(Topraklar!$K$39=Bitkiler!$C$76,0.002,IF(Topraklar!$L$39="Evet",0.001,0)))</f>
        <v/>
      </c>
      <c r="AN77" s="16">
        <f>IF(OR(Topraklar!$J$40="Evet",AND(Topraklar!$L$40&lt;&gt;"Evet",Topraklar!$K$40&lt;&gt;Bitkiler!$C$76)),0,MAX(0,1-(Ayarlar!$B$2*ABS(Bitkiler!$D$76-Topraklar!$D$40)+Ayarlar!$B$3*ABS(Bitkiler!$E$76-Topraklar!$E$40)+Ayarlar!$B$4*ABS(Bitkiler!$F$76-Topraklar!$F$40)+Ayarlar!$B$5*ABS(Bitkiler!$G$76-Topraklar!$G$40)+Ayarlar!$B$6*IF(Bitkiler!$H$76=Topraklar!$H$40,0,1))/Ayarlar!$B$7)+IF(Topraklar!$K$40=Bitkiler!$C$76,0.002,IF(Topraklar!$L$40="Evet",0.001,0)))</f>
        <v/>
      </c>
      <c r="AO77" s="16">
        <f>IF(OR(Topraklar!$J$41="Evet",AND(Topraklar!$L$41&lt;&gt;"Evet",Topraklar!$K$41&lt;&gt;Bitkiler!$C$76)),0,MAX(0,1-(Ayarlar!$B$2*ABS(Bitkiler!$D$76-Topraklar!$D$41)+Ayarlar!$B$3*ABS(Bitkiler!$E$76-Topraklar!$E$41)+Ayarlar!$B$4*ABS(Bitkiler!$F$76-Topraklar!$F$41)+Ayarlar!$B$5*ABS(Bitkiler!$G$76-Topraklar!$G$41)+Ayarlar!$B$6*IF(Bitkiler!$H$76=Topraklar!$H$41,0,1))/Ayarlar!$B$7)+IF(Topraklar!$K$41=Bitkiler!$C$76,0.002,IF(Topraklar!$L$41="Evet",0.001,0)))</f>
        <v/>
      </c>
      <c r="AP77" s="16">
        <f>IF(OR(Topraklar!$J$42="Evet",AND(Topraklar!$L$42&lt;&gt;"Evet",Topraklar!$K$42&lt;&gt;Bitkiler!$C$76)),0,MAX(0,1-(Ayarlar!$B$2*ABS(Bitkiler!$D$76-Topraklar!$D$42)+Ayarlar!$B$3*ABS(Bitkiler!$E$76-Topraklar!$E$42)+Ayarlar!$B$4*ABS(Bitkiler!$F$76-Topraklar!$F$42)+Ayarlar!$B$5*ABS(Bitkiler!$G$76-Topraklar!$G$42)+Ayarlar!$B$6*IF(Bitkiler!$H$76=Topraklar!$H$42,0,1))/Ayarlar!$B$7)+IF(Topraklar!$K$42=Bitkiler!$C$76,0.002,IF(Topraklar!$L$42="Evet",0.001,0)))</f>
        <v/>
      </c>
      <c r="AQ77" s="16">
        <f>IF(OR(Topraklar!$J$43="Evet",AND(Topraklar!$L$43&lt;&gt;"Evet",Topraklar!$K$43&lt;&gt;Bitkiler!$C$76)),0,MAX(0,1-(Ayarlar!$B$2*ABS(Bitkiler!$D$76-Topraklar!$D$43)+Ayarlar!$B$3*ABS(Bitkiler!$E$76-Topraklar!$E$43)+Ayarlar!$B$4*ABS(Bitkiler!$F$76-Topraklar!$F$43)+Ayarlar!$B$5*ABS(Bitkiler!$G$76-Topraklar!$G$43)+Ayarlar!$B$6*IF(Bitkiler!$H$76=Topraklar!$H$43,0,1))/Ayarlar!$B$7)+IF(Topraklar!$K$43=Bitkiler!$C$76,0.002,IF(Topraklar!$L$43="Evet",0.001,0)))</f>
        <v/>
      </c>
      <c r="AR77" s="16">
        <f>IF(OR(Topraklar!$J$44="Evet",AND(Topraklar!$L$44&lt;&gt;"Evet",Topraklar!$K$44&lt;&gt;Bitkiler!$C$76)),0,MAX(0,1-(Ayarlar!$B$2*ABS(Bitkiler!$D$76-Topraklar!$D$44)+Ayarlar!$B$3*ABS(Bitkiler!$E$76-Topraklar!$E$44)+Ayarlar!$B$4*ABS(Bitkiler!$F$76-Topraklar!$F$44)+Ayarlar!$B$5*ABS(Bitkiler!$G$76-Topraklar!$G$44)+Ayarlar!$B$6*IF(Bitkiler!$H$76=Topraklar!$H$44,0,1))/Ayarlar!$B$7)+IF(Topraklar!$K$44=Bitkiler!$C$76,0.002,IF(Topraklar!$L$44="Evet",0.001,0)))</f>
        <v/>
      </c>
      <c r="AS77" s="16">
        <f>IF(OR(Topraklar!$J$45="Evet",AND(Topraklar!$L$45&lt;&gt;"Evet",Topraklar!$K$45&lt;&gt;Bitkiler!$C$76)),0,MAX(0,1-(Ayarlar!$B$2*ABS(Bitkiler!$D$76-Topraklar!$D$45)+Ayarlar!$B$3*ABS(Bitkiler!$E$76-Topraklar!$E$45)+Ayarlar!$B$4*ABS(Bitkiler!$F$76-Topraklar!$F$45)+Ayarlar!$B$5*ABS(Bitkiler!$G$76-Topraklar!$G$45)+Ayarlar!$B$6*IF(Bitkiler!$H$76=Topraklar!$H$45,0,1))/Ayarlar!$B$7)+IF(Topraklar!$K$45=Bitkiler!$C$76,0.002,IF(Topraklar!$L$45="Evet",0.001,0)))</f>
        <v/>
      </c>
      <c r="AT77" s="16">
        <f>IF(OR(Topraklar!$J$46="Evet",AND(Topraklar!$L$46&lt;&gt;"Evet",Topraklar!$K$46&lt;&gt;Bitkiler!$C$76)),0,MAX(0,1-(Ayarlar!$B$2*ABS(Bitkiler!$D$76-Topraklar!$D$46)+Ayarlar!$B$3*ABS(Bitkiler!$E$76-Topraklar!$E$46)+Ayarlar!$B$4*ABS(Bitkiler!$F$76-Topraklar!$F$46)+Ayarlar!$B$5*ABS(Bitkiler!$G$76-Topraklar!$G$46)+Ayarlar!$B$6*IF(Bitkiler!$H$76=Topraklar!$H$46,0,1))/Ayarlar!$B$7)+IF(Topraklar!$K$46=Bitkiler!$C$76,0.002,IF(Topraklar!$L$46="Evet",0.001,0)))</f>
        <v/>
      </c>
      <c r="AU77" s="16">
        <f>IF(OR(Topraklar!$J$47="Evet",AND(Topraklar!$L$47&lt;&gt;"Evet",Topraklar!$K$47&lt;&gt;Bitkiler!$C$76)),0,MAX(0,1-(Ayarlar!$B$2*ABS(Bitkiler!$D$76-Topraklar!$D$47)+Ayarlar!$B$3*ABS(Bitkiler!$E$76-Topraklar!$E$47)+Ayarlar!$B$4*ABS(Bitkiler!$F$76-Topraklar!$F$47)+Ayarlar!$B$5*ABS(Bitkiler!$G$76-Topraklar!$G$47)+Ayarlar!$B$6*IF(Bitkiler!$H$76=Topraklar!$H$47,0,1))/Ayarlar!$B$7)+IF(Topraklar!$K$47=Bitkiler!$C$76,0.002,IF(Topraklar!$L$47="Evet",0.001,0)))</f>
        <v/>
      </c>
      <c r="AV77" s="16">
        <f>IF(OR(Topraklar!$J$48="Evet",AND(Topraklar!$L$48&lt;&gt;"Evet",Topraklar!$K$48&lt;&gt;Bitkiler!$C$76)),0,MAX(0,1-(Ayarlar!$B$2*ABS(Bitkiler!$D$76-Topraklar!$D$48)+Ayarlar!$B$3*ABS(Bitkiler!$E$76-Topraklar!$E$48)+Ayarlar!$B$4*ABS(Bitkiler!$F$76-Topraklar!$F$48)+Ayarlar!$B$5*ABS(Bitkiler!$G$76-Topraklar!$G$48)+Ayarlar!$B$6*IF(Bitkiler!$H$76=Topraklar!$H$48,0,1))/Ayarlar!$B$7)+IF(Topraklar!$K$48=Bitkiler!$C$76,0.002,IF(Topraklar!$L$48="Evet",0.001,0)))</f>
        <v/>
      </c>
      <c r="AW77" s="16">
        <f>IF(OR(Topraklar!$J$49="Evet",AND(Topraklar!$L$49&lt;&gt;"Evet",Topraklar!$K$49&lt;&gt;Bitkiler!$C$76)),0,MAX(0,1-(Ayarlar!$B$2*ABS(Bitkiler!$D$76-Topraklar!$D$49)+Ayarlar!$B$3*ABS(Bitkiler!$E$76-Topraklar!$E$49)+Ayarlar!$B$4*ABS(Bitkiler!$F$76-Topraklar!$F$49)+Ayarlar!$B$5*ABS(Bitkiler!$G$76-Topraklar!$G$49)+Ayarlar!$B$6*IF(Bitkiler!$H$76=Topraklar!$H$49,0,1))/Ayarlar!$B$7)+IF(Topraklar!$K$49=Bitkiler!$C$76,0.002,IF(Topraklar!$L$49="Evet",0.001,0)))</f>
        <v/>
      </c>
      <c r="AX77" s="16">
        <f>IF(OR(Topraklar!$J$50="Evet",AND(Topraklar!$L$50&lt;&gt;"Evet",Topraklar!$K$50&lt;&gt;Bitkiler!$C$76)),0,MAX(0,1-(Ayarlar!$B$2*ABS(Bitkiler!$D$76-Topraklar!$D$50)+Ayarlar!$B$3*ABS(Bitkiler!$E$76-Topraklar!$E$50)+Ayarlar!$B$4*ABS(Bitkiler!$F$76-Topraklar!$F$50)+Ayarlar!$B$5*ABS(Bitkiler!$G$76-Topraklar!$G$50)+Ayarlar!$B$6*IF(Bitkiler!$H$76=Topraklar!$H$50,0,1))/Ayarlar!$B$7)+IF(Topraklar!$K$50=Bitkiler!$C$76,0.002,IF(Topraklar!$L$50="Evet",0.001,0)))</f>
        <v/>
      </c>
      <c r="AY77" s="16">
        <f>IF(OR(Topraklar!$J$51="Evet",AND(Topraklar!$L$51&lt;&gt;"Evet",Topraklar!$K$51&lt;&gt;Bitkiler!$C$76)),0,MAX(0,1-(Ayarlar!$B$2*ABS(Bitkiler!$D$76-Topraklar!$D$51)+Ayarlar!$B$3*ABS(Bitkiler!$E$76-Topraklar!$E$51)+Ayarlar!$B$4*ABS(Bitkiler!$F$76-Topraklar!$F$51)+Ayarlar!$B$5*ABS(Bitkiler!$G$76-Topraklar!$G$51)+Ayarlar!$B$6*IF(Bitkiler!$H$76=Topraklar!$H$51,0,1))/Ayarlar!$B$7)+IF(Topraklar!$K$51=Bitkiler!$C$76,0.002,IF(Topraklar!$L$51="Evet",0.001,0)))</f>
        <v/>
      </c>
    </row>
    <row r="78">
      <c r="A78" s="15">
        <f>Bitkiler!A77</f>
        <v/>
      </c>
      <c r="B78" s="16">
        <f>IF(OR(Topraklar!$J$2="Evet",AND(Topraklar!$L$2&lt;&gt;"Evet",Topraklar!$K$2&lt;&gt;Bitkiler!$C$77)),0,MAX(0,1-(Ayarlar!$B$2*ABS(Bitkiler!$D$77-Topraklar!$D$2)+Ayarlar!$B$3*ABS(Bitkiler!$E$77-Topraklar!$E$2)+Ayarlar!$B$4*ABS(Bitkiler!$F$77-Topraklar!$F$2)+Ayarlar!$B$5*ABS(Bitkiler!$G$77-Topraklar!$G$2)+Ayarlar!$B$6*IF(Bitkiler!$H$77=Topraklar!$H$2,0,1))/Ayarlar!$B$7)+IF(Topraklar!$K$2=Bitkiler!$C$77,0.002,IF(Topraklar!$L$2="Evet",0.001,0)))</f>
        <v/>
      </c>
      <c r="C78" s="16">
        <f>IF(OR(Topraklar!$J$3="Evet",AND(Topraklar!$L$3&lt;&gt;"Evet",Topraklar!$K$3&lt;&gt;Bitkiler!$C$77)),0,MAX(0,1-(Ayarlar!$B$2*ABS(Bitkiler!$D$77-Topraklar!$D$3)+Ayarlar!$B$3*ABS(Bitkiler!$E$77-Topraklar!$E$3)+Ayarlar!$B$4*ABS(Bitkiler!$F$77-Topraklar!$F$3)+Ayarlar!$B$5*ABS(Bitkiler!$G$77-Topraklar!$G$3)+Ayarlar!$B$6*IF(Bitkiler!$H$77=Topraklar!$H$3,0,1))/Ayarlar!$B$7)+IF(Topraklar!$K$3=Bitkiler!$C$77,0.002,IF(Topraklar!$L$3="Evet",0.001,0)))</f>
        <v/>
      </c>
      <c r="D78" s="16">
        <f>IF(OR(Topraklar!$J$4="Evet",AND(Topraklar!$L$4&lt;&gt;"Evet",Topraklar!$K$4&lt;&gt;Bitkiler!$C$77)),0,MAX(0,1-(Ayarlar!$B$2*ABS(Bitkiler!$D$77-Topraklar!$D$4)+Ayarlar!$B$3*ABS(Bitkiler!$E$77-Topraklar!$E$4)+Ayarlar!$B$4*ABS(Bitkiler!$F$77-Topraklar!$F$4)+Ayarlar!$B$5*ABS(Bitkiler!$G$77-Topraklar!$G$4)+Ayarlar!$B$6*IF(Bitkiler!$H$77=Topraklar!$H$4,0,1))/Ayarlar!$B$7)+IF(Topraklar!$K$4=Bitkiler!$C$77,0.002,IF(Topraklar!$L$4="Evet",0.001,0)))</f>
        <v/>
      </c>
      <c r="E78" s="16">
        <f>IF(OR(Topraklar!$J$5="Evet",AND(Topraklar!$L$5&lt;&gt;"Evet",Topraklar!$K$5&lt;&gt;Bitkiler!$C$77)),0,MAX(0,1-(Ayarlar!$B$2*ABS(Bitkiler!$D$77-Topraklar!$D$5)+Ayarlar!$B$3*ABS(Bitkiler!$E$77-Topraklar!$E$5)+Ayarlar!$B$4*ABS(Bitkiler!$F$77-Topraklar!$F$5)+Ayarlar!$B$5*ABS(Bitkiler!$G$77-Topraklar!$G$5)+Ayarlar!$B$6*IF(Bitkiler!$H$77=Topraklar!$H$5,0,1))/Ayarlar!$B$7)+IF(Topraklar!$K$5=Bitkiler!$C$77,0.002,IF(Topraklar!$L$5="Evet",0.001,0)))</f>
        <v/>
      </c>
      <c r="F78" s="16">
        <f>IF(OR(Topraklar!$J$6="Evet",AND(Topraklar!$L$6&lt;&gt;"Evet",Topraklar!$K$6&lt;&gt;Bitkiler!$C$77)),0,MAX(0,1-(Ayarlar!$B$2*ABS(Bitkiler!$D$77-Topraklar!$D$6)+Ayarlar!$B$3*ABS(Bitkiler!$E$77-Topraklar!$E$6)+Ayarlar!$B$4*ABS(Bitkiler!$F$77-Topraklar!$F$6)+Ayarlar!$B$5*ABS(Bitkiler!$G$77-Topraklar!$G$6)+Ayarlar!$B$6*IF(Bitkiler!$H$77=Topraklar!$H$6,0,1))/Ayarlar!$B$7)+IF(Topraklar!$K$6=Bitkiler!$C$77,0.002,IF(Topraklar!$L$6="Evet",0.001,0)))</f>
        <v/>
      </c>
      <c r="G78" s="16">
        <f>IF(OR(Topraklar!$J$7="Evet",AND(Topraklar!$L$7&lt;&gt;"Evet",Topraklar!$K$7&lt;&gt;Bitkiler!$C$77)),0,MAX(0,1-(Ayarlar!$B$2*ABS(Bitkiler!$D$77-Topraklar!$D$7)+Ayarlar!$B$3*ABS(Bitkiler!$E$77-Topraklar!$E$7)+Ayarlar!$B$4*ABS(Bitkiler!$F$77-Topraklar!$F$7)+Ayarlar!$B$5*ABS(Bitkiler!$G$77-Topraklar!$G$7)+Ayarlar!$B$6*IF(Bitkiler!$H$77=Topraklar!$H$7,0,1))/Ayarlar!$B$7)+IF(Topraklar!$K$7=Bitkiler!$C$77,0.002,IF(Topraklar!$L$7="Evet",0.001,0)))</f>
        <v/>
      </c>
      <c r="H78" s="16">
        <f>IF(OR(Topraklar!$J$8="Evet",AND(Topraklar!$L$8&lt;&gt;"Evet",Topraklar!$K$8&lt;&gt;Bitkiler!$C$77)),0,MAX(0,1-(Ayarlar!$B$2*ABS(Bitkiler!$D$77-Topraklar!$D$8)+Ayarlar!$B$3*ABS(Bitkiler!$E$77-Topraklar!$E$8)+Ayarlar!$B$4*ABS(Bitkiler!$F$77-Topraklar!$F$8)+Ayarlar!$B$5*ABS(Bitkiler!$G$77-Topraklar!$G$8)+Ayarlar!$B$6*IF(Bitkiler!$H$77=Topraklar!$H$8,0,1))/Ayarlar!$B$7)+IF(Topraklar!$K$8=Bitkiler!$C$77,0.002,IF(Topraklar!$L$8="Evet",0.001,0)))</f>
        <v/>
      </c>
      <c r="I78" s="16">
        <f>IF(OR(Topraklar!$J$9="Evet",AND(Topraklar!$L$9&lt;&gt;"Evet",Topraklar!$K$9&lt;&gt;Bitkiler!$C$77)),0,MAX(0,1-(Ayarlar!$B$2*ABS(Bitkiler!$D$77-Topraklar!$D$9)+Ayarlar!$B$3*ABS(Bitkiler!$E$77-Topraklar!$E$9)+Ayarlar!$B$4*ABS(Bitkiler!$F$77-Topraklar!$F$9)+Ayarlar!$B$5*ABS(Bitkiler!$G$77-Topraklar!$G$9)+Ayarlar!$B$6*IF(Bitkiler!$H$77=Topraklar!$H$9,0,1))/Ayarlar!$B$7)+IF(Topraklar!$K$9=Bitkiler!$C$77,0.002,IF(Topraklar!$L$9="Evet",0.001,0)))</f>
        <v/>
      </c>
      <c r="J78" s="16">
        <f>IF(OR(Topraklar!$J$10="Evet",AND(Topraklar!$L$10&lt;&gt;"Evet",Topraklar!$K$10&lt;&gt;Bitkiler!$C$77)),0,MAX(0,1-(Ayarlar!$B$2*ABS(Bitkiler!$D$77-Topraklar!$D$10)+Ayarlar!$B$3*ABS(Bitkiler!$E$77-Topraklar!$E$10)+Ayarlar!$B$4*ABS(Bitkiler!$F$77-Topraklar!$F$10)+Ayarlar!$B$5*ABS(Bitkiler!$G$77-Topraklar!$G$10)+Ayarlar!$B$6*IF(Bitkiler!$H$77=Topraklar!$H$10,0,1))/Ayarlar!$B$7)+IF(Topraklar!$K$10=Bitkiler!$C$77,0.002,IF(Topraklar!$L$10="Evet",0.001,0)))</f>
        <v/>
      </c>
      <c r="K78" s="16">
        <f>IF(OR(Topraklar!$J$11="Evet",AND(Topraklar!$L$11&lt;&gt;"Evet",Topraklar!$K$11&lt;&gt;Bitkiler!$C$77)),0,MAX(0,1-(Ayarlar!$B$2*ABS(Bitkiler!$D$77-Topraklar!$D$11)+Ayarlar!$B$3*ABS(Bitkiler!$E$77-Topraklar!$E$11)+Ayarlar!$B$4*ABS(Bitkiler!$F$77-Topraklar!$F$11)+Ayarlar!$B$5*ABS(Bitkiler!$G$77-Topraklar!$G$11)+Ayarlar!$B$6*IF(Bitkiler!$H$77=Topraklar!$H$11,0,1))/Ayarlar!$B$7)+IF(Topraklar!$K$11=Bitkiler!$C$77,0.002,IF(Topraklar!$L$11="Evet",0.001,0)))</f>
        <v/>
      </c>
      <c r="L78" s="16">
        <f>IF(OR(Topraklar!$J$12="Evet",AND(Topraklar!$L$12&lt;&gt;"Evet",Topraklar!$K$12&lt;&gt;Bitkiler!$C$77)),0,MAX(0,1-(Ayarlar!$B$2*ABS(Bitkiler!$D$77-Topraklar!$D$12)+Ayarlar!$B$3*ABS(Bitkiler!$E$77-Topraklar!$E$12)+Ayarlar!$B$4*ABS(Bitkiler!$F$77-Topraklar!$F$12)+Ayarlar!$B$5*ABS(Bitkiler!$G$77-Topraklar!$G$12)+Ayarlar!$B$6*IF(Bitkiler!$H$77=Topraklar!$H$12,0,1))/Ayarlar!$B$7)+IF(Topraklar!$K$12=Bitkiler!$C$77,0.002,IF(Topraklar!$L$12="Evet",0.001,0)))</f>
        <v/>
      </c>
      <c r="M78" s="16">
        <f>IF(OR(Topraklar!$J$13="Evet",AND(Topraklar!$L$13&lt;&gt;"Evet",Topraklar!$K$13&lt;&gt;Bitkiler!$C$77)),0,MAX(0,1-(Ayarlar!$B$2*ABS(Bitkiler!$D$77-Topraklar!$D$13)+Ayarlar!$B$3*ABS(Bitkiler!$E$77-Topraklar!$E$13)+Ayarlar!$B$4*ABS(Bitkiler!$F$77-Topraklar!$F$13)+Ayarlar!$B$5*ABS(Bitkiler!$G$77-Topraklar!$G$13)+Ayarlar!$B$6*IF(Bitkiler!$H$77=Topraklar!$H$13,0,1))/Ayarlar!$B$7)+IF(Topraklar!$K$13=Bitkiler!$C$77,0.002,IF(Topraklar!$L$13="Evet",0.001,0)))</f>
        <v/>
      </c>
      <c r="N78" s="16">
        <f>IF(OR(Topraklar!$J$14="Evet",AND(Topraklar!$L$14&lt;&gt;"Evet",Topraklar!$K$14&lt;&gt;Bitkiler!$C$77)),0,MAX(0,1-(Ayarlar!$B$2*ABS(Bitkiler!$D$77-Topraklar!$D$14)+Ayarlar!$B$3*ABS(Bitkiler!$E$77-Topraklar!$E$14)+Ayarlar!$B$4*ABS(Bitkiler!$F$77-Topraklar!$F$14)+Ayarlar!$B$5*ABS(Bitkiler!$G$77-Topraklar!$G$14)+Ayarlar!$B$6*IF(Bitkiler!$H$77=Topraklar!$H$14,0,1))/Ayarlar!$B$7)+IF(Topraklar!$K$14=Bitkiler!$C$77,0.002,IF(Topraklar!$L$14="Evet",0.001,0)))</f>
        <v/>
      </c>
      <c r="O78" s="16">
        <f>IF(OR(Topraklar!$J$15="Evet",AND(Topraklar!$L$15&lt;&gt;"Evet",Topraklar!$K$15&lt;&gt;Bitkiler!$C$77)),0,MAX(0,1-(Ayarlar!$B$2*ABS(Bitkiler!$D$77-Topraklar!$D$15)+Ayarlar!$B$3*ABS(Bitkiler!$E$77-Topraklar!$E$15)+Ayarlar!$B$4*ABS(Bitkiler!$F$77-Topraklar!$F$15)+Ayarlar!$B$5*ABS(Bitkiler!$G$77-Topraklar!$G$15)+Ayarlar!$B$6*IF(Bitkiler!$H$77=Topraklar!$H$15,0,1))/Ayarlar!$B$7)+IF(Topraklar!$K$15=Bitkiler!$C$77,0.002,IF(Topraklar!$L$15="Evet",0.001,0)))</f>
        <v/>
      </c>
      <c r="P78" s="16">
        <f>IF(OR(Topraklar!$J$16="Evet",AND(Topraklar!$L$16&lt;&gt;"Evet",Topraklar!$K$16&lt;&gt;Bitkiler!$C$77)),0,MAX(0,1-(Ayarlar!$B$2*ABS(Bitkiler!$D$77-Topraklar!$D$16)+Ayarlar!$B$3*ABS(Bitkiler!$E$77-Topraklar!$E$16)+Ayarlar!$B$4*ABS(Bitkiler!$F$77-Topraklar!$F$16)+Ayarlar!$B$5*ABS(Bitkiler!$G$77-Topraklar!$G$16)+Ayarlar!$B$6*IF(Bitkiler!$H$77=Topraklar!$H$16,0,1))/Ayarlar!$B$7)+IF(Topraklar!$K$16=Bitkiler!$C$77,0.002,IF(Topraklar!$L$16="Evet",0.001,0)))</f>
        <v/>
      </c>
      <c r="Q78" s="16">
        <f>IF(OR(Topraklar!$J$17="Evet",AND(Topraklar!$L$17&lt;&gt;"Evet",Topraklar!$K$17&lt;&gt;Bitkiler!$C$77)),0,MAX(0,1-(Ayarlar!$B$2*ABS(Bitkiler!$D$77-Topraklar!$D$17)+Ayarlar!$B$3*ABS(Bitkiler!$E$77-Topraklar!$E$17)+Ayarlar!$B$4*ABS(Bitkiler!$F$77-Topraklar!$F$17)+Ayarlar!$B$5*ABS(Bitkiler!$G$77-Topraklar!$G$17)+Ayarlar!$B$6*IF(Bitkiler!$H$77=Topraklar!$H$17,0,1))/Ayarlar!$B$7)+IF(Topraklar!$K$17=Bitkiler!$C$77,0.002,IF(Topraklar!$L$17="Evet",0.001,0)))</f>
        <v/>
      </c>
      <c r="R78" s="16">
        <f>IF(OR(Topraklar!$J$18="Evet",AND(Topraklar!$L$18&lt;&gt;"Evet",Topraklar!$K$18&lt;&gt;Bitkiler!$C$77)),0,MAX(0,1-(Ayarlar!$B$2*ABS(Bitkiler!$D$77-Topraklar!$D$18)+Ayarlar!$B$3*ABS(Bitkiler!$E$77-Topraklar!$E$18)+Ayarlar!$B$4*ABS(Bitkiler!$F$77-Topraklar!$F$18)+Ayarlar!$B$5*ABS(Bitkiler!$G$77-Topraklar!$G$18)+Ayarlar!$B$6*IF(Bitkiler!$H$77=Topraklar!$H$18,0,1))/Ayarlar!$B$7)+IF(Topraklar!$K$18=Bitkiler!$C$77,0.002,IF(Topraklar!$L$18="Evet",0.001,0)))</f>
        <v/>
      </c>
      <c r="S78" s="16">
        <f>IF(OR(Topraklar!$J$19="Evet",AND(Topraklar!$L$19&lt;&gt;"Evet",Topraklar!$K$19&lt;&gt;Bitkiler!$C$77)),0,MAX(0,1-(Ayarlar!$B$2*ABS(Bitkiler!$D$77-Topraklar!$D$19)+Ayarlar!$B$3*ABS(Bitkiler!$E$77-Topraklar!$E$19)+Ayarlar!$B$4*ABS(Bitkiler!$F$77-Topraklar!$F$19)+Ayarlar!$B$5*ABS(Bitkiler!$G$77-Topraklar!$G$19)+Ayarlar!$B$6*IF(Bitkiler!$H$77=Topraklar!$H$19,0,1))/Ayarlar!$B$7)+IF(Topraklar!$K$19=Bitkiler!$C$77,0.002,IF(Topraklar!$L$19="Evet",0.001,0)))</f>
        <v/>
      </c>
      <c r="T78" s="16">
        <f>IF(OR(Topraklar!$J$20="Evet",AND(Topraklar!$L$20&lt;&gt;"Evet",Topraklar!$K$20&lt;&gt;Bitkiler!$C$77)),0,MAX(0,1-(Ayarlar!$B$2*ABS(Bitkiler!$D$77-Topraklar!$D$20)+Ayarlar!$B$3*ABS(Bitkiler!$E$77-Topraklar!$E$20)+Ayarlar!$B$4*ABS(Bitkiler!$F$77-Topraklar!$F$20)+Ayarlar!$B$5*ABS(Bitkiler!$G$77-Topraklar!$G$20)+Ayarlar!$B$6*IF(Bitkiler!$H$77=Topraklar!$H$20,0,1))/Ayarlar!$B$7)+IF(Topraklar!$K$20=Bitkiler!$C$77,0.002,IF(Topraklar!$L$20="Evet",0.001,0)))</f>
        <v/>
      </c>
      <c r="U78" s="16">
        <f>IF(OR(Topraklar!$J$21="Evet",AND(Topraklar!$L$21&lt;&gt;"Evet",Topraklar!$K$21&lt;&gt;Bitkiler!$C$77)),0,MAX(0,1-(Ayarlar!$B$2*ABS(Bitkiler!$D$77-Topraklar!$D$21)+Ayarlar!$B$3*ABS(Bitkiler!$E$77-Topraklar!$E$21)+Ayarlar!$B$4*ABS(Bitkiler!$F$77-Topraklar!$F$21)+Ayarlar!$B$5*ABS(Bitkiler!$G$77-Topraklar!$G$21)+Ayarlar!$B$6*IF(Bitkiler!$H$77=Topraklar!$H$21,0,1))/Ayarlar!$B$7)+IF(Topraklar!$K$21=Bitkiler!$C$77,0.002,IF(Topraklar!$L$21="Evet",0.001,0)))</f>
        <v/>
      </c>
      <c r="V78" s="16">
        <f>IF(OR(Topraklar!$J$22="Evet",AND(Topraklar!$L$22&lt;&gt;"Evet",Topraklar!$K$22&lt;&gt;Bitkiler!$C$77)),0,MAX(0,1-(Ayarlar!$B$2*ABS(Bitkiler!$D$77-Topraklar!$D$22)+Ayarlar!$B$3*ABS(Bitkiler!$E$77-Topraklar!$E$22)+Ayarlar!$B$4*ABS(Bitkiler!$F$77-Topraklar!$F$22)+Ayarlar!$B$5*ABS(Bitkiler!$G$77-Topraklar!$G$22)+Ayarlar!$B$6*IF(Bitkiler!$H$77=Topraklar!$H$22,0,1))/Ayarlar!$B$7)+IF(Topraklar!$K$22=Bitkiler!$C$77,0.002,IF(Topraklar!$L$22="Evet",0.001,0)))</f>
        <v/>
      </c>
      <c r="W78" s="16">
        <f>IF(OR(Topraklar!$J$23="Evet",AND(Topraklar!$L$23&lt;&gt;"Evet",Topraklar!$K$23&lt;&gt;Bitkiler!$C$77)),0,MAX(0,1-(Ayarlar!$B$2*ABS(Bitkiler!$D$77-Topraklar!$D$23)+Ayarlar!$B$3*ABS(Bitkiler!$E$77-Topraklar!$E$23)+Ayarlar!$B$4*ABS(Bitkiler!$F$77-Topraklar!$F$23)+Ayarlar!$B$5*ABS(Bitkiler!$G$77-Topraklar!$G$23)+Ayarlar!$B$6*IF(Bitkiler!$H$77=Topraklar!$H$23,0,1))/Ayarlar!$B$7)+IF(Topraklar!$K$23=Bitkiler!$C$77,0.002,IF(Topraklar!$L$23="Evet",0.001,0)))</f>
        <v/>
      </c>
      <c r="X78" s="16">
        <f>IF(OR(Topraklar!$J$24="Evet",AND(Topraklar!$L$24&lt;&gt;"Evet",Topraklar!$K$24&lt;&gt;Bitkiler!$C$77)),0,MAX(0,1-(Ayarlar!$B$2*ABS(Bitkiler!$D$77-Topraklar!$D$24)+Ayarlar!$B$3*ABS(Bitkiler!$E$77-Topraklar!$E$24)+Ayarlar!$B$4*ABS(Bitkiler!$F$77-Topraklar!$F$24)+Ayarlar!$B$5*ABS(Bitkiler!$G$77-Topraklar!$G$24)+Ayarlar!$B$6*IF(Bitkiler!$H$77=Topraklar!$H$24,0,1))/Ayarlar!$B$7)+IF(Topraklar!$K$24=Bitkiler!$C$77,0.002,IF(Topraklar!$L$24="Evet",0.001,0)))</f>
        <v/>
      </c>
      <c r="Y78" s="16">
        <f>IF(OR(Topraklar!$J$25="Evet",AND(Topraklar!$L$25&lt;&gt;"Evet",Topraklar!$K$25&lt;&gt;Bitkiler!$C$77)),0,MAX(0,1-(Ayarlar!$B$2*ABS(Bitkiler!$D$77-Topraklar!$D$25)+Ayarlar!$B$3*ABS(Bitkiler!$E$77-Topraklar!$E$25)+Ayarlar!$B$4*ABS(Bitkiler!$F$77-Topraklar!$F$25)+Ayarlar!$B$5*ABS(Bitkiler!$G$77-Topraklar!$G$25)+Ayarlar!$B$6*IF(Bitkiler!$H$77=Topraklar!$H$25,0,1))/Ayarlar!$B$7)+IF(Topraklar!$K$25=Bitkiler!$C$77,0.002,IF(Topraklar!$L$25="Evet",0.001,0)))</f>
        <v/>
      </c>
      <c r="Z78" s="16">
        <f>IF(OR(Topraklar!$J$26="Evet",AND(Topraklar!$L$26&lt;&gt;"Evet",Topraklar!$K$26&lt;&gt;Bitkiler!$C$77)),0,MAX(0,1-(Ayarlar!$B$2*ABS(Bitkiler!$D$77-Topraklar!$D$26)+Ayarlar!$B$3*ABS(Bitkiler!$E$77-Topraklar!$E$26)+Ayarlar!$B$4*ABS(Bitkiler!$F$77-Topraklar!$F$26)+Ayarlar!$B$5*ABS(Bitkiler!$G$77-Topraklar!$G$26)+Ayarlar!$B$6*IF(Bitkiler!$H$77=Topraklar!$H$26,0,1))/Ayarlar!$B$7)+IF(Topraklar!$K$26=Bitkiler!$C$77,0.002,IF(Topraklar!$L$26="Evet",0.001,0)))</f>
        <v/>
      </c>
      <c r="AA78" s="16">
        <f>IF(OR(Topraklar!$J$27="Evet",AND(Topraklar!$L$27&lt;&gt;"Evet",Topraklar!$K$27&lt;&gt;Bitkiler!$C$77)),0,MAX(0,1-(Ayarlar!$B$2*ABS(Bitkiler!$D$77-Topraklar!$D$27)+Ayarlar!$B$3*ABS(Bitkiler!$E$77-Topraklar!$E$27)+Ayarlar!$B$4*ABS(Bitkiler!$F$77-Topraklar!$F$27)+Ayarlar!$B$5*ABS(Bitkiler!$G$77-Topraklar!$G$27)+Ayarlar!$B$6*IF(Bitkiler!$H$77=Topraklar!$H$27,0,1))/Ayarlar!$B$7)+IF(Topraklar!$K$27=Bitkiler!$C$77,0.002,IF(Topraklar!$L$27="Evet",0.001,0)))</f>
        <v/>
      </c>
      <c r="AB78" s="16">
        <f>IF(OR(Topraklar!$J$28="Evet",AND(Topraklar!$L$28&lt;&gt;"Evet",Topraklar!$K$28&lt;&gt;Bitkiler!$C$77)),0,MAX(0,1-(Ayarlar!$B$2*ABS(Bitkiler!$D$77-Topraklar!$D$28)+Ayarlar!$B$3*ABS(Bitkiler!$E$77-Topraklar!$E$28)+Ayarlar!$B$4*ABS(Bitkiler!$F$77-Topraklar!$F$28)+Ayarlar!$B$5*ABS(Bitkiler!$G$77-Topraklar!$G$28)+Ayarlar!$B$6*IF(Bitkiler!$H$77=Topraklar!$H$28,0,1))/Ayarlar!$B$7)+IF(Topraklar!$K$28=Bitkiler!$C$77,0.002,IF(Topraklar!$L$28="Evet",0.001,0)))</f>
        <v/>
      </c>
      <c r="AC78" s="16">
        <f>IF(OR(Topraklar!$J$29="Evet",AND(Topraklar!$L$29&lt;&gt;"Evet",Topraklar!$K$29&lt;&gt;Bitkiler!$C$77)),0,MAX(0,1-(Ayarlar!$B$2*ABS(Bitkiler!$D$77-Topraklar!$D$29)+Ayarlar!$B$3*ABS(Bitkiler!$E$77-Topraklar!$E$29)+Ayarlar!$B$4*ABS(Bitkiler!$F$77-Topraklar!$F$29)+Ayarlar!$B$5*ABS(Bitkiler!$G$77-Topraklar!$G$29)+Ayarlar!$B$6*IF(Bitkiler!$H$77=Topraklar!$H$29,0,1))/Ayarlar!$B$7)+IF(Topraklar!$K$29=Bitkiler!$C$77,0.002,IF(Topraklar!$L$29="Evet",0.001,0)))</f>
        <v/>
      </c>
      <c r="AD78" s="16">
        <f>IF(OR(Topraklar!$J$30="Evet",AND(Topraklar!$L$30&lt;&gt;"Evet",Topraklar!$K$30&lt;&gt;Bitkiler!$C$77)),0,MAX(0,1-(Ayarlar!$B$2*ABS(Bitkiler!$D$77-Topraklar!$D$30)+Ayarlar!$B$3*ABS(Bitkiler!$E$77-Topraklar!$E$30)+Ayarlar!$B$4*ABS(Bitkiler!$F$77-Topraklar!$F$30)+Ayarlar!$B$5*ABS(Bitkiler!$G$77-Topraklar!$G$30)+Ayarlar!$B$6*IF(Bitkiler!$H$77=Topraklar!$H$30,0,1))/Ayarlar!$B$7)+IF(Topraklar!$K$30=Bitkiler!$C$77,0.002,IF(Topraklar!$L$30="Evet",0.001,0)))</f>
        <v/>
      </c>
      <c r="AE78" s="16">
        <f>IF(OR(Topraklar!$J$31="Evet",AND(Topraklar!$L$31&lt;&gt;"Evet",Topraklar!$K$31&lt;&gt;Bitkiler!$C$77)),0,MAX(0,1-(Ayarlar!$B$2*ABS(Bitkiler!$D$77-Topraklar!$D$31)+Ayarlar!$B$3*ABS(Bitkiler!$E$77-Topraklar!$E$31)+Ayarlar!$B$4*ABS(Bitkiler!$F$77-Topraklar!$F$31)+Ayarlar!$B$5*ABS(Bitkiler!$G$77-Topraklar!$G$31)+Ayarlar!$B$6*IF(Bitkiler!$H$77=Topraklar!$H$31,0,1))/Ayarlar!$B$7)+IF(Topraklar!$K$31=Bitkiler!$C$77,0.002,IF(Topraklar!$L$31="Evet",0.001,0)))</f>
        <v/>
      </c>
      <c r="AF78" s="16">
        <f>IF(OR(Topraklar!$J$32="Evet",AND(Topraklar!$L$32&lt;&gt;"Evet",Topraklar!$K$32&lt;&gt;Bitkiler!$C$77)),0,MAX(0,1-(Ayarlar!$B$2*ABS(Bitkiler!$D$77-Topraklar!$D$32)+Ayarlar!$B$3*ABS(Bitkiler!$E$77-Topraklar!$E$32)+Ayarlar!$B$4*ABS(Bitkiler!$F$77-Topraklar!$F$32)+Ayarlar!$B$5*ABS(Bitkiler!$G$77-Topraklar!$G$32)+Ayarlar!$B$6*IF(Bitkiler!$H$77=Topraklar!$H$32,0,1))/Ayarlar!$B$7)+IF(Topraklar!$K$32=Bitkiler!$C$77,0.002,IF(Topraklar!$L$32="Evet",0.001,0)))</f>
        <v/>
      </c>
      <c r="AG78" s="16">
        <f>IF(OR(Topraklar!$J$33="Evet",AND(Topraklar!$L$33&lt;&gt;"Evet",Topraklar!$K$33&lt;&gt;Bitkiler!$C$77)),0,MAX(0,1-(Ayarlar!$B$2*ABS(Bitkiler!$D$77-Topraklar!$D$33)+Ayarlar!$B$3*ABS(Bitkiler!$E$77-Topraklar!$E$33)+Ayarlar!$B$4*ABS(Bitkiler!$F$77-Topraklar!$F$33)+Ayarlar!$B$5*ABS(Bitkiler!$G$77-Topraklar!$G$33)+Ayarlar!$B$6*IF(Bitkiler!$H$77=Topraklar!$H$33,0,1))/Ayarlar!$B$7)+IF(Topraklar!$K$33=Bitkiler!$C$77,0.002,IF(Topraklar!$L$33="Evet",0.001,0)))</f>
        <v/>
      </c>
      <c r="AH78" s="16">
        <f>IF(OR(Topraklar!$J$34="Evet",AND(Topraklar!$L$34&lt;&gt;"Evet",Topraklar!$K$34&lt;&gt;Bitkiler!$C$77)),0,MAX(0,1-(Ayarlar!$B$2*ABS(Bitkiler!$D$77-Topraklar!$D$34)+Ayarlar!$B$3*ABS(Bitkiler!$E$77-Topraklar!$E$34)+Ayarlar!$B$4*ABS(Bitkiler!$F$77-Topraklar!$F$34)+Ayarlar!$B$5*ABS(Bitkiler!$G$77-Topraklar!$G$34)+Ayarlar!$B$6*IF(Bitkiler!$H$77=Topraklar!$H$34,0,1))/Ayarlar!$B$7)+IF(Topraklar!$K$34=Bitkiler!$C$77,0.002,IF(Topraklar!$L$34="Evet",0.001,0)))</f>
        <v/>
      </c>
      <c r="AI78" s="16">
        <f>IF(OR(Topraklar!$J$35="Evet",AND(Topraklar!$L$35&lt;&gt;"Evet",Topraklar!$K$35&lt;&gt;Bitkiler!$C$77)),0,MAX(0,1-(Ayarlar!$B$2*ABS(Bitkiler!$D$77-Topraklar!$D$35)+Ayarlar!$B$3*ABS(Bitkiler!$E$77-Topraklar!$E$35)+Ayarlar!$B$4*ABS(Bitkiler!$F$77-Topraklar!$F$35)+Ayarlar!$B$5*ABS(Bitkiler!$G$77-Topraklar!$G$35)+Ayarlar!$B$6*IF(Bitkiler!$H$77=Topraklar!$H$35,0,1))/Ayarlar!$B$7)+IF(Topraklar!$K$35=Bitkiler!$C$77,0.002,IF(Topraklar!$L$35="Evet",0.001,0)))</f>
        <v/>
      </c>
      <c r="AJ78" s="16">
        <f>IF(OR(Topraklar!$J$36="Evet",AND(Topraklar!$L$36&lt;&gt;"Evet",Topraklar!$K$36&lt;&gt;Bitkiler!$C$77)),0,MAX(0,1-(Ayarlar!$B$2*ABS(Bitkiler!$D$77-Topraklar!$D$36)+Ayarlar!$B$3*ABS(Bitkiler!$E$77-Topraklar!$E$36)+Ayarlar!$B$4*ABS(Bitkiler!$F$77-Topraklar!$F$36)+Ayarlar!$B$5*ABS(Bitkiler!$G$77-Topraklar!$G$36)+Ayarlar!$B$6*IF(Bitkiler!$H$77=Topraklar!$H$36,0,1))/Ayarlar!$B$7)+IF(Topraklar!$K$36=Bitkiler!$C$77,0.002,IF(Topraklar!$L$36="Evet",0.001,0)))</f>
        <v/>
      </c>
      <c r="AK78" s="16">
        <f>IF(OR(Topraklar!$J$37="Evet",AND(Topraklar!$L$37&lt;&gt;"Evet",Topraklar!$K$37&lt;&gt;Bitkiler!$C$77)),0,MAX(0,1-(Ayarlar!$B$2*ABS(Bitkiler!$D$77-Topraklar!$D$37)+Ayarlar!$B$3*ABS(Bitkiler!$E$77-Topraklar!$E$37)+Ayarlar!$B$4*ABS(Bitkiler!$F$77-Topraklar!$F$37)+Ayarlar!$B$5*ABS(Bitkiler!$G$77-Topraklar!$G$37)+Ayarlar!$B$6*IF(Bitkiler!$H$77=Topraklar!$H$37,0,1))/Ayarlar!$B$7)+IF(Topraklar!$K$37=Bitkiler!$C$77,0.002,IF(Topraklar!$L$37="Evet",0.001,0)))</f>
        <v/>
      </c>
      <c r="AL78" s="16">
        <f>IF(OR(Topraklar!$J$38="Evet",AND(Topraklar!$L$38&lt;&gt;"Evet",Topraklar!$K$38&lt;&gt;Bitkiler!$C$77)),0,MAX(0,1-(Ayarlar!$B$2*ABS(Bitkiler!$D$77-Topraklar!$D$38)+Ayarlar!$B$3*ABS(Bitkiler!$E$77-Topraklar!$E$38)+Ayarlar!$B$4*ABS(Bitkiler!$F$77-Topraklar!$F$38)+Ayarlar!$B$5*ABS(Bitkiler!$G$77-Topraklar!$G$38)+Ayarlar!$B$6*IF(Bitkiler!$H$77=Topraklar!$H$38,0,1))/Ayarlar!$B$7)+IF(Topraklar!$K$38=Bitkiler!$C$77,0.002,IF(Topraklar!$L$38="Evet",0.001,0)))</f>
        <v/>
      </c>
      <c r="AM78" s="16">
        <f>IF(OR(Topraklar!$J$39="Evet",AND(Topraklar!$L$39&lt;&gt;"Evet",Topraklar!$K$39&lt;&gt;Bitkiler!$C$77)),0,MAX(0,1-(Ayarlar!$B$2*ABS(Bitkiler!$D$77-Topraklar!$D$39)+Ayarlar!$B$3*ABS(Bitkiler!$E$77-Topraklar!$E$39)+Ayarlar!$B$4*ABS(Bitkiler!$F$77-Topraklar!$F$39)+Ayarlar!$B$5*ABS(Bitkiler!$G$77-Topraklar!$G$39)+Ayarlar!$B$6*IF(Bitkiler!$H$77=Topraklar!$H$39,0,1))/Ayarlar!$B$7)+IF(Topraklar!$K$39=Bitkiler!$C$77,0.002,IF(Topraklar!$L$39="Evet",0.001,0)))</f>
        <v/>
      </c>
      <c r="AN78" s="16">
        <f>IF(OR(Topraklar!$J$40="Evet",AND(Topraklar!$L$40&lt;&gt;"Evet",Topraklar!$K$40&lt;&gt;Bitkiler!$C$77)),0,MAX(0,1-(Ayarlar!$B$2*ABS(Bitkiler!$D$77-Topraklar!$D$40)+Ayarlar!$B$3*ABS(Bitkiler!$E$77-Topraklar!$E$40)+Ayarlar!$B$4*ABS(Bitkiler!$F$77-Topraklar!$F$40)+Ayarlar!$B$5*ABS(Bitkiler!$G$77-Topraklar!$G$40)+Ayarlar!$B$6*IF(Bitkiler!$H$77=Topraklar!$H$40,0,1))/Ayarlar!$B$7)+IF(Topraklar!$K$40=Bitkiler!$C$77,0.002,IF(Topraklar!$L$40="Evet",0.001,0)))</f>
        <v/>
      </c>
      <c r="AO78" s="16">
        <f>IF(OR(Topraklar!$J$41="Evet",AND(Topraklar!$L$41&lt;&gt;"Evet",Topraklar!$K$41&lt;&gt;Bitkiler!$C$77)),0,MAX(0,1-(Ayarlar!$B$2*ABS(Bitkiler!$D$77-Topraklar!$D$41)+Ayarlar!$B$3*ABS(Bitkiler!$E$77-Topraklar!$E$41)+Ayarlar!$B$4*ABS(Bitkiler!$F$77-Topraklar!$F$41)+Ayarlar!$B$5*ABS(Bitkiler!$G$77-Topraklar!$G$41)+Ayarlar!$B$6*IF(Bitkiler!$H$77=Topraklar!$H$41,0,1))/Ayarlar!$B$7)+IF(Topraklar!$K$41=Bitkiler!$C$77,0.002,IF(Topraklar!$L$41="Evet",0.001,0)))</f>
        <v/>
      </c>
      <c r="AP78" s="16">
        <f>IF(OR(Topraklar!$J$42="Evet",AND(Topraklar!$L$42&lt;&gt;"Evet",Topraklar!$K$42&lt;&gt;Bitkiler!$C$77)),0,MAX(0,1-(Ayarlar!$B$2*ABS(Bitkiler!$D$77-Topraklar!$D$42)+Ayarlar!$B$3*ABS(Bitkiler!$E$77-Topraklar!$E$42)+Ayarlar!$B$4*ABS(Bitkiler!$F$77-Topraklar!$F$42)+Ayarlar!$B$5*ABS(Bitkiler!$G$77-Topraklar!$G$42)+Ayarlar!$B$6*IF(Bitkiler!$H$77=Topraklar!$H$42,0,1))/Ayarlar!$B$7)+IF(Topraklar!$K$42=Bitkiler!$C$77,0.002,IF(Topraklar!$L$42="Evet",0.001,0)))</f>
        <v/>
      </c>
      <c r="AQ78" s="16">
        <f>IF(OR(Topraklar!$J$43="Evet",AND(Topraklar!$L$43&lt;&gt;"Evet",Topraklar!$K$43&lt;&gt;Bitkiler!$C$77)),0,MAX(0,1-(Ayarlar!$B$2*ABS(Bitkiler!$D$77-Topraklar!$D$43)+Ayarlar!$B$3*ABS(Bitkiler!$E$77-Topraklar!$E$43)+Ayarlar!$B$4*ABS(Bitkiler!$F$77-Topraklar!$F$43)+Ayarlar!$B$5*ABS(Bitkiler!$G$77-Topraklar!$G$43)+Ayarlar!$B$6*IF(Bitkiler!$H$77=Topraklar!$H$43,0,1))/Ayarlar!$B$7)+IF(Topraklar!$K$43=Bitkiler!$C$77,0.002,IF(Topraklar!$L$43="Evet",0.001,0)))</f>
        <v/>
      </c>
      <c r="AR78" s="16">
        <f>IF(OR(Topraklar!$J$44="Evet",AND(Topraklar!$L$44&lt;&gt;"Evet",Topraklar!$K$44&lt;&gt;Bitkiler!$C$77)),0,MAX(0,1-(Ayarlar!$B$2*ABS(Bitkiler!$D$77-Topraklar!$D$44)+Ayarlar!$B$3*ABS(Bitkiler!$E$77-Topraklar!$E$44)+Ayarlar!$B$4*ABS(Bitkiler!$F$77-Topraklar!$F$44)+Ayarlar!$B$5*ABS(Bitkiler!$G$77-Topraklar!$G$44)+Ayarlar!$B$6*IF(Bitkiler!$H$77=Topraklar!$H$44,0,1))/Ayarlar!$B$7)+IF(Topraklar!$K$44=Bitkiler!$C$77,0.002,IF(Topraklar!$L$44="Evet",0.001,0)))</f>
        <v/>
      </c>
      <c r="AS78" s="16">
        <f>IF(OR(Topraklar!$J$45="Evet",AND(Topraklar!$L$45&lt;&gt;"Evet",Topraklar!$K$45&lt;&gt;Bitkiler!$C$77)),0,MAX(0,1-(Ayarlar!$B$2*ABS(Bitkiler!$D$77-Topraklar!$D$45)+Ayarlar!$B$3*ABS(Bitkiler!$E$77-Topraklar!$E$45)+Ayarlar!$B$4*ABS(Bitkiler!$F$77-Topraklar!$F$45)+Ayarlar!$B$5*ABS(Bitkiler!$G$77-Topraklar!$G$45)+Ayarlar!$B$6*IF(Bitkiler!$H$77=Topraklar!$H$45,0,1))/Ayarlar!$B$7)+IF(Topraklar!$K$45=Bitkiler!$C$77,0.002,IF(Topraklar!$L$45="Evet",0.001,0)))</f>
        <v/>
      </c>
      <c r="AT78" s="16">
        <f>IF(OR(Topraklar!$J$46="Evet",AND(Topraklar!$L$46&lt;&gt;"Evet",Topraklar!$K$46&lt;&gt;Bitkiler!$C$77)),0,MAX(0,1-(Ayarlar!$B$2*ABS(Bitkiler!$D$77-Topraklar!$D$46)+Ayarlar!$B$3*ABS(Bitkiler!$E$77-Topraklar!$E$46)+Ayarlar!$B$4*ABS(Bitkiler!$F$77-Topraklar!$F$46)+Ayarlar!$B$5*ABS(Bitkiler!$G$77-Topraklar!$G$46)+Ayarlar!$B$6*IF(Bitkiler!$H$77=Topraklar!$H$46,0,1))/Ayarlar!$B$7)+IF(Topraklar!$K$46=Bitkiler!$C$77,0.002,IF(Topraklar!$L$46="Evet",0.001,0)))</f>
        <v/>
      </c>
      <c r="AU78" s="16">
        <f>IF(OR(Topraklar!$J$47="Evet",AND(Topraklar!$L$47&lt;&gt;"Evet",Topraklar!$K$47&lt;&gt;Bitkiler!$C$77)),0,MAX(0,1-(Ayarlar!$B$2*ABS(Bitkiler!$D$77-Topraklar!$D$47)+Ayarlar!$B$3*ABS(Bitkiler!$E$77-Topraklar!$E$47)+Ayarlar!$B$4*ABS(Bitkiler!$F$77-Topraklar!$F$47)+Ayarlar!$B$5*ABS(Bitkiler!$G$77-Topraklar!$G$47)+Ayarlar!$B$6*IF(Bitkiler!$H$77=Topraklar!$H$47,0,1))/Ayarlar!$B$7)+IF(Topraklar!$K$47=Bitkiler!$C$77,0.002,IF(Topraklar!$L$47="Evet",0.001,0)))</f>
        <v/>
      </c>
      <c r="AV78" s="16">
        <f>IF(OR(Topraklar!$J$48="Evet",AND(Topraklar!$L$48&lt;&gt;"Evet",Topraklar!$K$48&lt;&gt;Bitkiler!$C$77)),0,MAX(0,1-(Ayarlar!$B$2*ABS(Bitkiler!$D$77-Topraklar!$D$48)+Ayarlar!$B$3*ABS(Bitkiler!$E$77-Topraklar!$E$48)+Ayarlar!$B$4*ABS(Bitkiler!$F$77-Topraklar!$F$48)+Ayarlar!$B$5*ABS(Bitkiler!$G$77-Topraklar!$G$48)+Ayarlar!$B$6*IF(Bitkiler!$H$77=Topraklar!$H$48,0,1))/Ayarlar!$B$7)+IF(Topraklar!$K$48=Bitkiler!$C$77,0.002,IF(Topraklar!$L$48="Evet",0.001,0)))</f>
        <v/>
      </c>
      <c r="AW78" s="16">
        <f>IF(OR(Topraklar!$J$49="Evet",AND(Topraklar!$L$49&lt;&gt;"Evet",Topraklar!$K$49&lt;&gt;Bitkiler!$C$77)),0,MAX(0,1-(Ayarlar!$B$2*ABS(Bitkiler!$D$77-Topraklar!$D$49)+Ayarlar!$B$3*ABS(Bitkiler!$E$77-Topraklar!$E$49)+Ayarlar!$B$4*ABS(Bitkiler!$F$77-Topraklar!$F$49)+Ayarlar!$B$5*ABS(Bitkiler!$G$77-Topraklar!$G$49)+Ayarlar!$B$6*IF(Bitkiler!$H$77=Topraklar!$H$49,0,1))/Ayarlar!$B$7)+IF(Topraklar!$K$49=Bitkiler!$C$77,0.002,IF(Topraklar!$L$49="Evet",0.001,0)))</f>
        <v/>
      </c>
      <c r="AX78" s="16">
        <f>IF(OR(Topraklar!$J$50="Evet",AND(Topraklar!$L$50&lt;&gt;"Evet",Topraklar!$K$50&lt;&gt;Bitkiler!$C$77)),0,MAX(0,1-(Ayarlar!$B$2*ABS(Bitkiler!$D$77-Topraklar!$D$50)+Ayarlar!$B$3*ABS(Bitkiler!$E$77-Topraklar!$E$50)+Ayarlar!$B$4*ABS(Bitkiler!$F$77-Topraklar!$F$50)+Ayarlar!$B$5*ABS(Bitkiler!$G$77-Topraklar!$G$50)+Ayarlar!$B$6*IF(Bitkiler!$H$77=Topraklar!$H$50,0,1))/Ayarlar!$B$7)+IF(Topraklar!$K$50=Bitkiler!$C$77,0.002,IF(Topraklar!$L$50="Evet",0.001,0)))</f>
        <v/>
      </c>
      <c r="AY78" s="16">
        <f>IF(OR(Topraklar!$J$51="Evet",AND(Topraklar!$L$51&lt;&gt;"Evet",Topraklar!$K$51&lt;&gt;Bitkiler!$C$77)),0,MAX(0,1-(Ayarlar!$B$2*ABS(Bitkiler!$D$77-Topraklar!$D$51)+Ayarlar!$B$3*ABS(Bitkiler!$E$77-Topraklar!$E$51)+Ayarlar!$B$4*ABS(Bitkiler!$F$77-Topraklar!$F$51)+Ayarlar!$B$5*ABS(Bitkiler!$G$77-Topraklar!$G$51)+Ayarlar!$B$6*IF(Bitkiler!$H$77=Topraklar!$H$51,0,1))/Ayarlar!$B$7)+IF(Topraklar!$K$51=Bitkiler!$C$77,0.002,IF(Topraklar!$L$51="Evet",0.001,0)))</f>
        <v/>
      </c>
    </row>
    <row r="79">
      <c r="A79" s="15">
        <f>Bitkiler!A78</f>
        <v/>
      </c>
      <c r="B79" s="16">
        <f>IF(OR(Topraklar!$J$2="Evet",AND(Topraklar!$L$2&lt;&gt;"Evet",Topraklar!$K$2&lt;&gt;Bitkiler!$C$78)),0,MAX(0,1-(Ayarlar!$B$2*ABS(Bitkiler!$D$78-Topraklar!$D$2)+Ayarlar!$B$3*ABS(Bitkiler!$E$78-Topraklar!$E$2)+Ayarlar!$B$4*ABS(Bitkiler!$F$78-Topraklar!$F$2)+Ayarlar!$B$5*ABS(Bitkiler!$G$78-Topraklar!$G$2)+Ayarlar!$B$6*IF(Bitkiler!$H$78=Topraklar!$H$2,0,1))/Ayarlar!$B$7)+IF(Topraklar!$K$2=Bitkiler!$C$78,0.002,IF(Topraklar!$L$2="Evet",0.001,0)))</f>
        <v/>
      </c>
      <c r="C79" s="16">
        <f>IF(OR(Topraklar!$J$3="Evet",AND(Topraklar!$L$3&lt;&gt;"Evet",Topraklar!$K$3&lt;&gt;Bitkiler!$C$78)),0,MAX(0,1-(Ayarlar!$B$2*ABS(Bitkiler!$D$78-Topraklar!$D$3)+Ayarlar!$B$3*ABS(Bitkiler!$E$78-Topraklar!$E$3)+Ayarlar!$B$4*ABS(Bitkiler!$F$78-Topraklar!$F$3)+Ayarlar!$B$5*ABS(Bitkiler!$G$78-Topraklar!$G$3)+Ayarlar!$B$6*IF(Bitkiler!$H$78=Topraklar!$H$3,0,1))/Ayarlar!$B$7)+IF(Topraklar!$K$3=Bitkiler!$C$78,0.002,IF(Topraklar!$L$3="Evet",0.001,0)))</f>
        <v/>
      </c>
      <c r="D79" s="16">
        <f>IF(OR(Topraklar!$J$4="Evet",AND(Topraklar!$L$4&lt;&gt;"Evet",Topraklar!$K$4&lt;&gt;Bitkiler!$C$78)),0,MAX(0,1-(Ayarlar!$B$2*ABS(Bitkiler!$D$78-Topraklar!$D$4)+Ayarlar!$B$3*ABS(Bitkiler!$E$78-Topraklar!$E$4)+Ayarlar!$B$4*ABS(Bitkiler!$F$78-Topraklar!$F$4)+Ayarlar!$B$5*ABS(Bitkiler!$G$78-Topraklar!$G$4)+Ayarlar!$B$6*IF(Bitkiler!$H$78=Topraklar!$H$4,0,1))/Ayarlar!$B$7)+IF(Topraklar!$K$4=Bitkiler!$C$78,0.002,IF(Topraklar!$L$4="Evet",0.001,0)))</f>
        <v/>
      </c>
      <c r="E79" s="16">
        <f>IF(OR(Topraklar!$J$5="Evet",AND(Topraklar!$L$5&lt;&gt;"Evet",Topraklar!$K$5&lt;&gt;Bitkiler!$C$78)),0,MAX(0,1-(Ayarlar!$B$2*ABS(Bitkiler!$D$78-Topraklar!$D$5)+Ayarlar!$B$3*ABS(Bitkiler!$E$78-Topraklar!$E$5)+Ayarlar!$B$4*ABS(Bitkiler!$F$78-Topraklar!$F$5)+Ayarlar!$B$5*ABS(Bitkiler!$G$78-Topraklar!$G$5)+Ayarlar!$B$6*IF(Bitkiler!$H$78=Topraklar!$H$5,0,1))/Ayarlar!$B$7)+IF(Topraklar!$K$5=Bitkiler!$C$78,0.002,IF(Topraklar!$L$5="Evet",0.001,0)))</f>
        <v/>
      </c>
      <c r="F79" s="16">
        <f>IF(OR(Topraklar!$J$6="Evet",AND(Topraklar!$L$6&lt;&gt;"Evet",Topraklar!$K$6&lt;&gt;Bitkiler!$C$78)),0,MAX(0,1-(Ayarlar!$B$2*ABS(Bitkiler!$D$78-Topraklar!$D$6)+Ayarlar!$B$3*ABS(Bitkiler!$E$78-Topraklar!$E$6)+Ayarlar!$B$4*ABS(Bitkiler!$F$78-Topraklar!$F$6)+Ayarlar!$B$5*ABS(Bitkiler!$G$78-Topraklar!$G$6)+Ayarlar!$B$6*IF(Bitkiler!$H$78=Topraklar!$H$6,0,1))/Ayarlar!$B$7)+IF(Topraklar!$K$6=Bitkiler!$C$78,0.002,IF(Topraklar!$L$6="Evet",0.001,0)))</f>
        <v/>
      </c>
      <c r="G79" s="16">
        <f>IF(OR(Topraklar!$J$7="Evet",AND(Topraklar!$L$7&lt;&gt;"Evet",Topraklar!$K$7&lt;&gt;Bitkiler!$C$78)),0,MAX(0,1-(Ayarlar!$B$2*ABS(Bitkiler!$D$78-Topraklar!$D$7)+Ayarlar!$B$3*ABS(Bitkiler!$E$78-Topraklar!$E$7)+Ayarlar!$B$4*ABS(Bitkiler!$F$78-Topraklar!$F$7)+Ayarlar!$B$5*ABS(Bitkiler!$G$78-Topraklar!$G$7)+Ayarlar!$B$6*IF(Bitkiler!$H$78=Topraklar!$H$7,0,1))/Ayarlar!$B$7)+IF(Topraklar!$K$7=Bitkiler!$C$78,0.002,IF(Topraklar!$L$7="Evet",0.001,0)))</f>
        <v/>
      </c>
      <c r="H79" s="16">
        <f>IF(OR(Topraklar!$J$8="Evet",AND(Topraklar!$L$8&lt;&gt;"Evet",Topraklar!$K$8&lt;&gt;Bitkiler!$C$78)),0,MAX(0,1-(Ayarlar!$B$2*ABS(Bitkiler!$D$78-Topraklar!$D$8)+Ayarlar!$B$3*ABS(Bitkiler!$E$78-Topraklar!$E$8)+Ayarlar!$B$4*ABS(Bitkiler!$F$78-Topraklar!$F$8)+Ayarlar!$B$5*ABS(Bitkiler!$G$78-Topraklar!$G$8)+Ayarlar!$B$6*IF(Bitkiler!$H$78=Topraklar!$H$8,0,1))/Ayarlar!$B$7)+IF(Topraklar!$K$8=Bitkiler!$C$78,0.002,IF(Topraklar!$L$8="Evet",0.001,0)))</f>
        <v/>
      </c>
      <c r="I79" s="16">
        <f>IF(OR(Topraklar!$J$9="Evet",AND(Topraklar!$L$9&lt;&gt;"Evet",Topraklar!$K$9&lt;&gt;Bitkiler!$C$78)),0,MAX(0,1-(Ayarlar!$B$2*ABS(Bitkiler!$D$78-Topraklar!$D$9)+Ayarlar!$B$3*ABS(Bitkiler!$E$78-Topraklar!$E$9)+Ayarlar!$B$4*ABS(Bitkiler!$F$78-Topraklar!$F$9)+Ayarlar!$B$5*ABS(Bitkiler!$G$78-Topraklar!$G$9)+Ayarlar!$B$6*IF(Bitkiler!$H$78=Topraklar!$H$9,0,1))/Ayarlar!$B$7)+IF(Topraklar!$K$9=Bitkiler!$C$78,0.002,IF(Topraklar!$L$9="Evet",0.001,0)))</f>
        <v/>
      </c>
      <c r="J79" s="16">
        <f>IF(OR(Topraklar!$J$10="Evet",AND(Topraklar!$L$10&lt;&gt;"Evet",Topraklar!$K$10&lt;&gt;Bitkiler!$C$78)),0,MAX(0,1-(Ayarlar!$B$2*ABS(Bitkiler!$D$78-Topraklar!$D$10)+Ayarlar!$B$3*ABS(Bitkiler!$E$78-Topraklar!$E$10)+Ayarlar!$B$4*ABS(Bitkiler!$F$78-Topraklar!$F$10)+Ayarlar!$B$5*ABS(Bitkiler!$G$78-Topraklar!$G$10)+Ayarlar!$B$6*IF(Bitkiler!$H$78=Topraklar!$H$10,0,1))/Ayarlar!$B$7)+IF(Topraklar!$K$10=Bitkiler!$C$78,0.002,IF(Topraklar!$L$10="Evet",0.001,0)))</f>
        <v/>
      </c>
      <c r="K79" s="16">
        <f>IF(OR(Topraklar!$J$11="Evet",AND(Topraklar!$L$11&lt;&gt;"Evet",Topraklar!$K$11&lt;&gt;Bitkiler!$C$78)),0,MAX(0,1-(Ayarlar!$B$2*ABS(Bitkiler!$D$78-Topraklar!$D$11)+Ayarlar!$B$3*ABS(Bitkiler!$E$78-Topraklar!$E$11)+Ayarlar!$B$4*ABS(Bitkiler!$F$78-Topraklar!$F$11)+Ayarlar!$B$5*ABS(Bitkiler!$G$78-Topraklar!$G$11)+Ayarlar!$B$6*IF(Bitkiler!$H$78=Topraklar!$H$11,0,1))/Ayarlar!$B$7)+IF(Topraklar!$K$11=Bitkiler!$C$78,0.002,IF(Topraklar!$L$11="Evet",0.001,0)))</f>
        <v/>
      </c>
      <c r="L79" s="16">
        <f>IF(OR(Topraklar!$J$12="Evet",AND(Topraklar!$L$12&lt;&gt;"Evet",Topraklar!$K$12&lt;&gt;Bitkiler!$C$78)),0,MAX(0,1-(Ayarlar!$B$2*ABS(Bitkiler!$D$78-Topraklar!$D$12)+Ayarlar!$B$3*ABS(Bitkiler!$E$78-Topraklar!$E$12)+Ayarlar!$B$4*ABS(Bitkiler!$F$78-Topraklar!$F$12)+Ayarlar!$B$5*ABS(Bitkiler!$G$78-Topraklar!$G$12)+Ayarlar!$B$6*IF(Bitkiler!$H$78=Topraklar!$H$12,0,1))/Ayarlar!$B$7)+IF(Topraklar!$K$12=Bitkiler!$C$78,0.002,IF(Topraklar!$L$12="Evet",0.001,0)))</f>
        <v/>
      </c>
      <c r="M79" s="16">
        <f>IF(OR(Topraklar!$J$13="Evet",AND(Topraklar!$L$13&lt;&gt;"Evet",Topraklar!$K$13&lt;&gt;Bitkiler!$C$78)),0,MAX(0,1-(Ayarlar!$B$2*ABS(Bitkiler!$D$78-Topraklar!$D$13)+Ayarlar!$B$3*ABS(Bitkiler!$E$78-Topraklar!$E$13)+Ayarlar!$B$4*ABS(Bitkiler!$F$78-Topraklar!$F$13)+Ayarlar!$B$5*ABS(Bitkiler!$G$78-Topraklar!$G$13)+Ayarlar!$B$6*IF(Bitkiler!$H$78=Topraklar!$H$13,0,1))/Ayarlar!$B$7)+IF(Topraklar!$K$13=Bitkiler!$C$78,0.002,IF(Topraklar!$L$13="Evet",0.001,0)))</f>
        <v/>
      </c>
      <c r="N79" s="16">
        <f>IF(OR(Topraklar!$J$14="Evet",AND(Topraklar!$L$14&lt;&gt;"Evet",Topraklar!$K$14&lt;&gt;Bitkiler!$C$78)),0,MAX(0,1-(Ayarlar!$B$2*ABS(Bitkiler!$D$78-Topraklar!$D$14)+Ayarlar!$B$3*ABS(Bitkiler!$E$78-Topraklar!$E$14)+Ayarlar!$B$4*ABS(Bitkiler!$F$78-Topraklar!$F$14)+Ayarlar!$B$5*ABS(Bitkiler!$G$78-Topraklar!$G$14)+Ayarlar!$B$6*IF(Bitkiler!$H$78=Topraklar!$H$14,0,1))/Ayarlar!$B$7)+IF(Topraklar!$K$14=Bitkiler!$C$78,0.002,IF(Topraklar!$L$14="Evet",0.001,0)))</f>
        <v/>
      </c>
      <c r="O79" s="16">
        <f>IF(OR(Topraklar!$J$15="Evet",AND(Topraklar!$L$15&lt;&gt;"Evet",Topraklar!$K$15&lt;&gt;Bitkiler!$C$78)),0,MAX(0,1-(Ayarlar!$B$2*ABS(Bitkiler!$D$78-Topraklar!$D$15)+Ayarlar!$B$3*ABS(Bitkiler!$E$78-Topraklar!$E$15)+Ayarlar!$B$4*ABS(Bitkiler!$F$78-Topraklar!$F$15)+Ayarlar!$B$5*ABS(Bitkiler!$G$78-Topraklar!$G$15)+Ayarlar!$B$6*IF(Bitkiler!$H$78=Topraklar!$H$15,0,1))/Ayarlar!$B$7)+IF(Topraklar!$K$15=Bitkiler!$C$78,0.002,IF(Topraklar!$L$15="Evet",0.001,0)))</f>
        <v/>
      </c>
      <c r="P79" s="16">
        <f>IF(OR(Topraklar!$J$16="Evet",AND(Topraklar!$L$16&lt;&gt;"Evet",Topraklar!$K$16&lt;&gt;Bitkiler!$C$78)),0,MAX(0,1-(Ayarlar!$B$2*ABS(Bitkiler!$D$78-Topraklar!$D$16)+Ayarlar!$B$3*ABS(Bitkiler!$E$78-Topraklar!$E$16)+Ayarlar!$B$4*ABS(Bitkiler!$F$78-Topraklar!$F$16)+Ayarlar!$B$5*ABS(Bitkiler!$G$78-Topraklar!$G$16)+Ayarlar!$B$6*IF(Bitkiler!$H$78=Topraklar!$H$16,0,1))/Ayarlar!$B$7)+IF(Topraklar!$K$16=Bitkiler!$C$78,0.002,IF(Topraklar!$L$16="Evet",0.001,0)))</f>
        <v/>
      </c>
      <c r="Q79" s="16">
        <f>IF(OR(Topraklar!$J$17="Evet",AND(Topraklar!$L$17&lt;&gt;"Evet",Topraklar!$K$17&lt;&gt;Bitkiler!$C$78)),0,MAX(0,1-(Ayarlar!$B$2*ABS(Bitkiler!$D$78-Topraklar!$D$17)+Ayarlar!$B$3*ABS(Bitkiler!$E$78-Topraklar!$E$17)+Ayarlar!$B$4*ABS(Bitkiler!$F$78-Topraklar!$F$17)+Ayarlar!$B$5*ABS(Bitkiler!$G$78-Topraklar!$G$17)+Ayarlar!$B$6*IF(Bitkiler!$H$78=Topraklar!$H$17,0,1))/Ayarlar!$B$7)+IF(Topraklar!$K$17=Bitkiler!$C$78,0.002,IF(Topraklar!$L$17="Evet",0.001,0)))</f>
        <v/>
      </c>
      <c r="R79" s="16">
        <f>IF(OR(Topraklar!$J$18="Evet",AND(Topraklar!$L$18&lt;&gt;"Evet",Topraklar!$K$18&lt;&gt;Bitkiler!$C$78)),0,MAX(0,1-(Ayarlar!$B$2*ABS(Bitkiler!$D$78-Topraklar!$D$18)+Ayarlar!$B$3*ABS(Bitkiler!$E$78-Topraklar!$E$18)+Ayarlar!$B$4*ABS(Bitkiler!$F$78-Topraklar!$F$18)+Ayarlar!$B$5*ABS(Bitkiler!$G$78-Topraklar!$G$18)+Ayarlar!$B$6*IF(Bitkiler!$H$78=Topraklar!$H$18,0,1))/Ayarlar!$B$7)+IF(Topraklar!$K$18=Bitkiler!$C$78,0.002,IF(Topraklar!$L$18="Evet",0.001,0)))</f>
        <v/>
      </c>
      <c r="S79" s="16">
        <f>IF(OR(Topraklar!$J$19="Evet",AND(Topraklar!$L$19&lt;&gt;"Evet",Topraklar!$K$19&lt;&gt;Bitkiler!$C$78)),0,MAX(0,1-(Ayarlar!$B$2*ABS(Bitkiler!$D$78-Topraklar!$D$19)+Ayarlar!$B$3*ABS(Bitkiler!$E$78-Topraklar!$E$19)+Ayarlar!$B$4*ABS(Bitkiler!$F$78-Topraklar!$F$19)+Ayarlar!$B$5*ABS(Bitkiler!$G$78-Topraklar!$G$19)+Ayarlar!$B$6*IF(Bitkiler!$H$78=Topraklar!$H$19,0,1))/Ayarlar!$B$7)+IF(Topraklar!$K$19=Bitkiler!$C$78,0.002,IF(Topraklar!$L$19="Evet",0.001,0)))</f>
        <v/>
      </c>
      <c r="T79" s="16">
        <f>IF(OR(Topraklar!$J$20="Evet",AND(Topraklar!$L$20&lt;&gt;"Evet",Topraklar!$K$20&lt;&gt;Bitkiler!$C$78)),0,MAX(0,1-(Ayarlar!$B$2*ABS(Bitkiler!$D$78-Topraklar!$D$20)+Ayarlar!$B$3*ABS(Bitkiler!$E$78-Topraklar!$E$20)+Ayarlar!$B$4*ABS(Bitkiler!$F$78-Topraklar!$F$20)+Ayarlar!$B$5*ABS(Bitkiler!$G$78-Topraklar!$G$20)+Ayarlar!$B$6*IF(Bitkiler!$H$78=Topraklar!$H$20,0,1))/Ayarlar!$B$7)+IF(Topraklar!$K$20=Bitkiler!$C$78,0.002,IF(Topraklar!$L$20="Evet",0.001,0)))</f>
        <v/>
      </c>
      <c r="U79" s="16">
        <f>IF(OR(Topraklar!$J$21="Evet",AND(Topraklar!$L$21&lt;&gt;"Evet",Topraklar!$K$21&lt;&gt;Bitkiler!$C$78)),0,MAX(0,1-(Ayarlar!$B$2*ABS(Bitkiler!$D$78-Topraklar!$D$21)+Ayarlar!$B$3*ABS(Bitkiler!$E$78-Topraklar!$E$21)+Ayarlar!$B$4*ABS(Bitkiler!$F$78-Topraklar!$F$21)+Ayarlar!$B$5*ABS(Bitkiler!$G$78-Topraklar!$G$21)+Ayarlar!$B$6*IF(Bitkiler!$H$78=Topraklar!$H$21,0,1))/Ayarlar!$B$7)+IF(Topraklar!$K$21=Bitkiler!$C$78,0.002,IF(Topraklar!$L$21="Evet",0.001,0)))</f>
        <v/>
      </c>
      <c r="V79" s="16">
        <f>IF(OR(Topraklar!$J$22="Evet",AND(Topraklar!$L$22&lt;&gt;"Evet",Topraklar!$K$22&lt;&gt;Bitkiler!$C$78)),0,MAX(0,1-(Ayarlar!$B$2*ABS(Bitkiler!$D$78-Topraklar!$D$22)+Ayarlar!$B$3*ABS(Bitkiler!$E$78-Topraklar!$E$22)+Ayarlar!$B$4*ABS(Bitkiler!$F$78-Topraklar!$F$22)+Ayarlar!$B$5*ABS(Bitkiler!$G$78-Topraklar!$G$22)+Ayarlar!$B$6*IF(Bitkiler!$H$78=Topraklar!$H$22,0,1))/Ayarlar!$B$7)+IF(Topraklar!$K$22=Bitkiler!$C$78,0.002,IF(Topraklar!$L$22="Evet",0.001,0)))</f>
        <v/>
      </c>
      <c r="W79" s="16">
        <f>IF(OR(Topraklar!$J$23="Evet",AND(Topraklar!$L$23&lt;&gt;"Evet",Topraklar!$K$23&lt;&gt;Bitkiler!$C$78)),0,MAX(0,1-(Ayarlar!$B$2*ABS(Bitkiler!$D$78-Topraklar!$D$23)+Ayarlar!$B$3*ABS(Bitkiler!$E$78-Topraklar!$E$23)+Ayarlar!$B$4*ABS(Bitkiler!$F$78-Topraklar!$F$23)+Ayarlar!$B$5*ABS(Bitkiler!$G$78-Topraklar!$G$23)+Ayarlar!$B$6*IF(Bitkiler!$H$78=Topraklar!$H$23,0,1))/Ayarlar!$B$7)+IF(Topraklar!$K$23=Bitkiler!$C$78,0.002,IF(Topraklar!$L$23="Evet",0.001,0)))</f>
        <v/>
      </c>
      <c r="X79" s="16">
        <f>IF(OR(Topraklar!$J$24="Evet",AND(Topraklar!$L$24&lt;&gt;"Evet",Topraklar!$K$24&lt;&gt;Bitkiler!$C$78)),0,MAX(0,1-(Ayarlar!$B$2*ABS(Bitkiler!$D$78-Topraklar!$D$24)+Ayarlar!$B$3*ABS(Bitkiler!$E$78-Topraklar!$E$24)+Ayarlar!$B$4*ABS(Bitkiler!$F$78-Topraklar!$F$24)+Ayarlar!$B$5*ABS(Bitkiler!$G$78-Topraklar!$G$24)+Ayarlar!$B$6*IF(Bitkiler!$H$78=Topraklar!$H$24,0,1))/Ayarlar!$B$7)+IF(Topraklar!$K$24=Bitkiler!$C$78,0.002,IF(Topraklar!$L$24="Evet",0.001,0)))</f>
        <v/>
      </c>
      <c r="Y79" s="16">
        <f>IF(OR(Topraklar!$J$25="Evet",AND(Topraklar!$L$25&lt;&gt;"Evet",Topraklar!$K$25&lt;&gt;Bitkiler!$C$78)),0,MAX(0,1-(Ayarlar!$B$2*ABS(Bitkiler!$D$78-Topraklar!$D$25)+Ayarlar!$B$3*ABS(Bitkiler!$E$78-Topraklar!$E$25)+Ayarlar!$B$4*ABS(Bitkiler!$F$78-Topraklar!$F$25)+Ayarlar!$B$5*ABS(Bitkiler!$G$78-Topraklar!$G$25)+Ayarlar!$B$6*IF(Bitkiler!$H$78=Topraklar!$H$25,0,1))/Ayarlar!$B$7)+IF(Topraklar!$K$25=Bitkiler!$C$78,0.002,IF(Topraklar!$L$25="Evet",0.001,0)))</f>
        <v/>
      </c>
      <c r="Z79" s="16">
        <f>IF(OR(Topraklar!$J$26="Evet",AND(Topraklar!$L$26&lt;&gt;"Evet",Topraklar!$K$26&lt;&gt;Bitkiler!$C$78)),0,MAX(0,1-(Ayarlar!$B$2*ABS(Bitkiler!$D$78-Topraklar!$D$26)+Ayarlar!$B$3*ABS(Bitkiler!$E$78-Topraklar!$E$26)+Ayarlar!$B$4*ABS(Bitkiler!$F$78-Topraklar!$F$26)+Ayarlar!$B$5*ABS(Bitkiler!$G$78-Topraklar!$G$26)+Ayarlar!$B$6*IF(Bitkiler!$H$78=Topraklar!$H$26,0,1))/Ayarlar!$B$7)+IF(Topraklar!$K$26=Bitkiler!$C$78,0.002,IF(Topraklar!$L$26="Evet",0.001,0)))</f>
        <v/>
      </c>
      <c r="AA79" s="16">
        <f>IF(OR(Topraklar!$J$27="Evet",AND(Topraklar!$L$27&lt;&gt;"Evet",Topraklar!$K$27&lt;&gt;Bitkiler!$C$78)),0,MAX(0,1-(Ayarlar!$B$2*ABS(Bitkiler!$D$78-Topraklar!$D$27)+Ayarlar!$B$3*ABS(Bitkiler!$E$78-Topraklar!$E$27)+Ayarlar!$B$4*ABS(Bitkiler!$F$78-Topraklar!$F$27)+Ayarlar!$B$5*ABS(Bitkiler!$G$78-Topraklar!$G$27)+Ayarlar!$B$6*IF(Bitkiler!$H$78=Topraklar!$H$27,0,1))/Ayarlar!$B$7)+IF(Topraklar!$K$27=Bitkiler!$C$78,0.002,IF(Topraklar!$L$27="Evet",0.001,0)))</f>
        <v/>
      </c>
      <c r="AB79" s="16">
        <f>IF(OR(Topraklar!$J$28="Evet",AND(Topraklar!$L$28&lt;&gt;"Evet",Topraklar!$K$28&lt;&gt;Bitkiler!$C$78)),0,MAX(0,1-(Ayarlar!$B$2*ABS(Bitkiler!$D$78-Topraklar!$D$28)+Ayarlar!$B$3*ABS(Bitkiler!$E$78-Topraklar!$E$28)+Ayarlar!$B$4*ABS(Bitkiler!$F$78-Topraklar!$F$28)+Ayarlar!$B$5*ABS(Bitkiler!$G$78-Topraklar!$G$28)+Ayarlar!$B$6*IF(Bitkiler!$H$78=Topraklar!$H$28,0,1))/Ayarlar!$B$7)+IF(Topraklar!$K$28=Bitkiler!$C$78,0.002,IF(Topraklar!$L$28="Evet",0.001,0)))</f>
        <v/>
      </c>
      <c r="AC79" s="16">
        <f>IF(OR(Topraklar!$J$29="Evet",AND(Topraklar!$L$29&lt;&gt;"Evet",Topraklar!$K$29&lt;&gt;Bitkiler!$C$78)),0,MAX(0,1-(Ayarlar!$B$2*ABS(Bitkiler!$D$78-Topraklar!$D$29)+Ayarlar!$B$3*ABS(Bitkiler!$E$78-Topraklar!$E$29)+Ayarlar!$B$4*ABS(Bitkiler!$F$78-Topraklar!$F$29)+Ayarlar!$B$5*ABS(Bitkiler!$G$78-Topraklar!$G$29)+Ayarlar!$B$6*IF(Bitkiler!$H$78=Topraklar!$H$29,0,1))/Ayarlar!$B$7)+IF(Topraklar!$K$29=Bitkiler!$C$78,0.002,IF(Topraklar!$L$29="Evet",0.001,0)))</f>
        <v/>
      </c>
      <c r="AD79" s="16">
        <f>IF(OR(Topraklar!$J$30="Evet",AND(Topraklar!$L$30&lt;&gt;"Evet",Topraklar!$K$30&lt;&gt;Bitkiler!$C$78)),0,MAX(0,1-(Ayarlar!$B$2*ABS(Bitkiler!$D$78-Topraklar!$D$30)+Ayarlar!$B$3*ABS(Bitkiler!$E$78-Topraklar!$E$30)+Ayarlar!$B$4*ABS(Bitkiler!$F$78-Topraklar!$F$30)+Ayarlar!$B$5*ABS(Bitkiler!$G$78-Topraklar!$G$30)+Ayarlar!$B$6*IF(Bitkiler!$H$78=Topraklar!$H$30,0,1))/Ayarlar!$B$7)+IF(Topraklar!$K$30=Bitkiler!$C$78,0.002,IF(Topraklar!$L$30="Evet",0.001,0)))</f>
        <v/>
      </c>
      <c r="AE79" s="16">
        <f>IF(OR(Topraklar!$J$31="Evet",AND(Topraklar!$L$31&lt;&gt;"Evet",Topraklar!$K$31&lt;&gt;Bitkiler!$C$78)),0,MAX(0,1-(Ayarlar!$B$2*ABS(Bitkiler!$D$78-Topraklar!$D$31)+Ayarlar!$B$3*ABS(Bitkiler!$E$78-Topraklar!$E$31)+Ayarlar!$B$4*ABS(Bitkiler!$F$78-Topraklar!$F$31)+Ayarlar!$B$5*ABS(Bitkiler!$G$78-Topraklar!$G$31)+Ayarlar!$B$6*IF(Bitkiler!$H$78=Topraklar!$H$31,0,1))/Ayarlar!$B$7)+IF(Topraklar!$K$31=Bitkiler!$C$78,0.002,IF(Topraklar!$L$31="Evet",0.001,0)))</f>
        <v/>
      </c>
      <c r="AF79" s="16">
        <f>IF(OR(Topraklar!$J$32="Evet",AND(Topraklar!$L$32&lt;&gt;"Evet",Topraklar!$K$32&lt;&gt;Bitkiler!$C$78)),0,MAX(0,1-(Ayarlar!$B$2*ABS(Bitkiler!$D$78-Topraklar!$D$32)+Ayarlar!$B$3*ABS(Bitkiler!$E$78-Topraklar!$E$32)+Ayarlar!$B$4*ABS(Bitkiler!$F$78-Topraklar!$F$32)+Ayarlar!$B$5*ABS(Bitkiler!$G$78-Topraklar!$G$32)+Ayarlar!$B$6*IF(Bitkiler!$H$78=Topraklar!$H$32,0,1))/Ayarlar!$B$7)+IF(Topraklar!$K$32=Bitkiler!$C$78,0.002,IF(Topraklar!$L$32="Evet",0.001,0)))</f>
        <v/>
      </c>
      <c r="AG79" s="16">
        <f>IF(OR(Topraklar!$J$33="Evet",AND(Topraklar!$L$33&lt;&gt;"Evet",Topraklar!$K$33&lt;&gt;Bitkiler!$C$78)),0,MAX(0,1-(Ayarlar!$B$2*ABS(Bitkiler!$D$78-Topraklar!$D$33)+Ayarlar!$B$3*ABS(Bitkiler!$E$78-Topraklar!$E$33)+Ayarlar!$B$4*ABS(Bitkiler!$F$78-Topraklar!$F$33)+Ayarlar!$B$5*ABS(Bitkiler!$G$78-Topraklar!$G$33)+Ayarlar!$B$6*IF(Bitkiler!$H$78=Topraklar!$H$33,0,1))/Ayarlar!$B$7)+IF(Topraklar!$K$33=Bitkiler!$C$78,0.002,IF(Topraklar!$L$33="Evet",0.001,0)))</f>
        <v/>
      </c>
      <c r="AH79" s="16">
        <f>IF(OR(Topraklar!$J$34="Evet",AND(Topraklar!$L$34&lt;&gt;"Evet",Topraklar!$K$34&lt;&gt;Bitkiler!$C$78)),0,MAX(0,1-(Ayarlar!$B$2*ABS(Bitkiler!$D$78-Topraklar!$D$34)+Ayarlar!$B$3*ABS(Bitkiler!$E$78-Topraklar!$E$34)+Ayarlar!$B$4*ABS(Bitkiler!$F$78-Topraklar!$F$34)+Ayarlar!$B$5*ABS(Bitkiler!$G$78-Topraklar!$G$34)+Ayarlar!$B$6*IF(Bitkiler!$H$78=Topraklar!$H$34,0,1))/Ayarlar!$B$7)+IF(Topraklar!$K$34=Bitkiler!$C$78,0.002,IF(Topraklar!$L$34="Evet",0.001,0)))</f>
        <v/>
      </c>
      <c r="AI79" s="16">
        <f>IF(OR(Topraklar!$J$35="Evet",AND(Topraklar!$L$35&lt;&gt;"Evet",Topraklar!$K$35&lt;&gt;Bitkiler!$C$78)),0,MAX(0,1-(Ayarlar!$B$2*ABS(Bitkiler!$D$78-Topraklar!$D$35)+Ayarlar!$B$3*ABS(Bitkiler!$E$78-Topraklar!$E$35)+Ayarlar!$B$4*ABS(Bitkiler!$F$78-Topraklar!$F$35)+Ayarlar!$B$5*ABS(Bitkiler!$G$78-Topraklar!$G$35)+Ayarlar!$B$6*IF(Bitkiler!$H$78=Topraklar!$H$35,0,1))/Ayarlar!$B$7)+IF(Topraklar!$K$35=Bitkiler!$C$78,0.002,IF(Topraklar!$L$35="Evet",0.001,0)))</f>
        <v/>
      </c>
      <c r="AJ79" s="16">
        <f>IF(OR(Topraklar!$J$36="Evet",AND(Topraklar!$L$36&lt;&gt;"Evet",Topraklar!$K$36&lt;&gt;Bitkiler!$C$78)),0,MAX(0,1-(Ayarlar!$B$2*ABS(Bitkiler!$D$78-Topraklar!$D$36)+Ayarlar!$B$3*ABS(Bitkiler!$E$78-Topraklar!$E$36)+Ayarlar!$B$4*ABS(Bitkiler!$F$78-Topraklar!$F$36)+Ayarlar!$B$5*ABS(Bitkiler!$G$78-Topraklar!$G$36)+Ayarlar!$B$6*IF(Bitkiler!$H$78=Topraklar!$H$36,0,1))/Ayarlar!$B$7)+IF(Topraklar!$K$36=Bitkiler!$C$78,0.002,IF(Topraklar!$L$36="Evet",0.001,0)))</f>
        <v/>
      </c>
      <c r="AK79" s="16">
        <f>IF(OR(Topraklar!$J$37="Evet",AND(Topraklar!$L$37&lt;&gt;"Evet",Topraklar!$K$37&lt;&gt;Bitkiler!$C$78)),0,MAX(0,1-(Ayarlar!$B$2*ABS(Bitkiler!$D$78-Topraklar!$D$37)+Ayarlar!$B$3*ABS(Bitkiler!$E$78-Topraklar!$E$37)+Ayarlar!$B$4*ABS(Bitkiler!$F$78-Topraklar!$F$37)+Ayarlar!$B$5*ABS(Bitkiler!$G$78-Topraklar!$G$37)+Ayarlar!$B$6*IF(Bitkiler!$H$78=Topraklar!$H$37,0,1))/Ayarlar!$B$7)+IF(Topraklar!$K$37=Bitkiler!$C$78,0.002,IF(Topraklar!$L$37="Evet",0.001,0)))</f>
        <v/>
      </c>
      <c r="AL79" s="16">
        <f>IF(OR(Topraklar!$J$38="Evet",AND(Topraklar!$L$38&lt;&gt;"Evet",Topraklar!$K$38&lt;&gt;Bitkiler!$C$78)),0,MAX(0,1-(Ayarlar!$B$2*ABS(Bitkiler!$D$78-Topraklar!$D$38)+Ayarlar!$B$3*ABS(Bitkiler!$E$78-Topraklar!$E$38)+Ayarlar!$B$4*ABS(Bitkiler!$F$78-Topraklar!$F$38)+Ayarlar!$B$5*ABS(Bitkiler!$G$78-Topraklar!$G$38)+Ayarlar!$B$6*IF(Bitkiler!$H$78=Topraklar!$H$38,0,1))/Ayarlar!$B$7)+IF(Topraklar!$K$38=Bitkiler!$C$78,0.002,IF(Topraklar!$L$38="Evet",0.001,0)))</f>
        <v/>
      </c>
      <c r="AM79" s="16">
        <f>IF(OR(Topraklar!$J$39="Evet",AND(Topraklar!$L$39&lt;&gt;"Evet",Topraklar!$K$39&lt;&gt;Bitkiler!$C$78)),0,MAX(0,1-(Ayarlar!$B$2*ABS(Bitkiler!$D$78-Topraklar!$D$39)+Ayarlar!$B$3*ABS(Bitkiler!$E$78-Topraklar!$E$39)+Ayarlar!$B$4*ABS(Bitkiler!$F$78-Topraklar!$F$39)+Ayarlar!$B$5*ABS(Bitkiler!$G$78-Topraklar!$G$39)+Ayarlar!$B$6*IF(Bitkiler!$H$78=Topraklar!$H$39,0,1))/Ayarlar!$B$7)+IF(Topraklar!$K$39=Bitkiler!$C$78,0.002,IF(Topraklar!$L$39="Evet",0.001,0)))</f>
        <v/>
      </c>
      <c r="AN79" s="16">
        <f>IF(OR(Topraklar!$J$40="Evet",AND(Topraklar!$L$40&lt;&gt;"Evet",Topraklar!$K$40&lt;&gt;Bitkiler!$C$78)),0,MAX(0,1-(Ayarlar!$B$2*ABS(Bitkiler!$D$78-Topraklar!$D$40)+Ayarlar!$B$3*ABS(Bitkiler!$E$78-Topraklar!$E$40)+Ayarlar!$B$4*ABS(Bitkiler!$F$78-Topraklar!$F$40)+Ayarlar!$B$5*ABS(Bitkiler!$G$78-Topraklar!$G$40)+Ayarlar!$B$6*IF(Bitkiler!$H$78=Topraklar!$H$40,0,1))/Ayarlar!$B$7)+IF(Topraklar!$K$40=Bitkiler!$C$78,0.002,IF(Topraklar!$L$40="Evet",0.001,0)))</f>
        <v/>
      </c>
      <c r="AO79" s="16">
        <f>IF(OR(Topraklar!$J$41="Evet",AND(Topraklar!$L$41&lt;&gt;"Evet",Topraklar!$K$41&lt;&gt;Bitkiler!$C$78)),0,MAX(0,1-(Ayarlar!$B$2*ABS(Bitkiler!$D$78-Topraklar!$D$41)+Ayarlar!$B$3*ABS(Bitkiler!$E$78-Topraklar!$E$41)+Ayarlar!$B$4*ABS(Bitkiler!$F$78-Topraklar!$F$41)+Ayarlar!$B$5*ABS(Bitkiler!$G$78-Topraklar!$G$41)+Ayarlar!$B$6*IF(Bitkiler!$H$78=Topraklar!$H$41,0,1))/Ayarlar!$B$7)+IF(Topraklar!$K$41=Bitkiler!$C$78,0.002,IF(Topraklar!$L$41="Evet",0.001,0)))</f>
        <v/>
      </c>
      <c r="AP79" s="16">
        <f>IF(OR(Topraklar!$J$42="Evet",AND(Topraklar!$L$42&lt;&gt;"Evet",Topraklar!$K$42&lt;&gt;Bitkiler!$C$78)),0,MAX(0,1-(Ayarlar!$B$2*ABS(Bitkiler!$D$78-Topraklar!$D$42)+Ayarlar!$B$3*ABS(Bitkiler!$E$78-Topraklar!$E$42)+Ayarlar!$B$4*ABS(Bitkiler!$F$78-Topraklar!$F$42)+Ayarlar!$B$5*ABS(Bitkiler!$G$78-Topraklar!$G$42)+Ayarlar!$B$6*IF(Bitkiler!$H$78=Topraklar!$H$42,0,1))/Ayarlar!$B$7)+IF(Topraklar!$K$42=Bitkiler!$C$78,0.002,IF(Topraklar!$L$42="Evet",0.001,0)))</f>
        <v/>
      </c>
      <c r="AQ79" s="16">
        <f>IF(OR(Topraklar!$J$43="Evet",AND(Topraklar!$L$43&lt;&gt;"Evet",Topraklar!$K$43&lt;&gt;Bitkiler!$C$78)),0,MAX(0,1-(Ayarlar!$B$2*ABS(Bitkiler!$D$78-Topraklar!$D$43)+Ayarlar!$B$3*ABS(Bitkiler!$E$78-Topraklar!$E$43)+Ayarlar!$B$4*ABS(Bitkiler!$F$78-Topraklar!$F$43)+Ayarlar!$B$5*ABS(Bitkiler!$G$78-Topraklar!$G$43)+Ayarlar!$B$6*IF(Bitkiler!$H$78=Topraklar!$H$43,0,1))/Ayarlar!$B$7)+IF(Topraklar!$K$43=Bitkiler!$C$78,0.002,IF(Topraklar!$L$43="Evet",0.001,0)))</f>
        <v/>
      </c>
      <c r="AR79" s="16">
        <f>IF(OR(Topraklar!$J$44="Evet",AND(Topraklar!$L$44&lt;&gt;"Evet",Topraklar!$K$44&lt;&gt;Bitkiler!$C$78)),0,MAX(0,1-(Ayarlar!$B$2*ABS(Bitkiler!$D$78-Topraklar!$D$44)+Ayarlar!$B$3*ABS(Bitkiler!$E$78-Topraklar!$E$44)+Ayarlar!$B$4*ABS(Bitkiler!$F$78-Topraklar!$F$44)+Ayarlar!$B$5*ABS(Bitkiler!$G$78-Topraklar!$G$44)+Ayarlar!$B$6*IF(Bitkiler!$H$78=Topraklar!$H$44,0,1))/Ayarlar!$B$7)+IF(Topraklar!$K$44=Bitkiler!$C$78,0.002,IF(Topraklar!$L$44="Evet",0.001,0)))</f>
        <v/>
      </c>
      <c r="AS79" s="16">
        <f>IF(OR(Topraklar!$J$45="Evet",AND(Topraklar!$L$45&lt;&gt;"Evet",Topraklar!$K$45&lt;&gt;Bitkiler!$C$78)),0,MAX(0,1-(Ayarlar!$B$2*ABS(Bitkiler!$D$78-Topraklar!$D$45)+Ayarlar!$B$3*ABS(Bitkiler!$E$78-Topraklar!$E$45)+Ayarlar!$B$4*ABS(Bitkiler!$F$78-Topraklar!$F$45)+Ayarlar!$B$5*ABS(Bitkiler!$G$78-Topraklar!$G$45)+Ayarlar!$B$6*IF(Bitkiler!$H$78=Topraklar!$H$45,0,1))/Ayarlar!$B$7)+IF(Topraklar!$K$45=Bitkiler!$C$78,0.002,IF(Topraklar!$L$45="Evet",0.001,0)))</f>
        <v/>
      </c>
      <c r="AT79" s="16">
        <f>IF(OR(Topraklar!$J$46="Evet",AND(Topraklar!$L$46&lt;&gt;"Evet",Topraklar!$K$46&lt;&gt;Bitkiler!$C$78)),0,MAX(0,1-(Ayarlar!$B$2*ABS(Bitkiler!$D$78-Topraklar!$D$46)+Ayarlar!$B$3*ABS(Bitkiler!$E$78-Topraklar!$E$46)+Ayarlar!$B$4*ABS(Bitkiler!$F$78-Topraklar!$F$46)+Ayarlar!$B$5*ABS(Bitkiler!$G$78-Topraklar!$G$46)+Ayarlar!$B$6*IF(Bitkiler!$H$78=Topraklar!$H$46,0,1))/Ayarlar!$B$7)+IF(Topraklar!$K$46=Bitkiler!$C$78,0.002,IF(Topraklar!$L$46="Evet",0.001,0)))</f>
        <v/>
      </c>
      <c r="AU79" s="16">
        <f>IF(OR(Topraklar!$J$47="Evet",AND(Topraklar!$L$47&lt;&gt;"Evet",Topraklar!$K$47&lt;&gt;Bitkiler!$C$78)),0,MAX(0,1-(Ayarlar!$B$2*ABS(Bitkiler!$D$78-Topraklar!$D$47)+Ayarlar!$B$3*ABS(Bitkiler!$E$78-Topraklar!$E$47)+Ayarlar!$B$4*ABS(Bitkiler!$F$78-Topraklar!$F$47)+Ayarlar!$B$5*ABS(Bitkiler!$G$78-Topraklar!$G$47)+Ayarlar!$B$6*IF(Bitkiler!$H$78=Topraklar!$H$47,0,1))/Ayarlar!$B$7)+IF(Topraklar!$K$47=Bitkiler!$C$78,0.002,IF(Topraklar!$L$47="Evet",0.001,0)))</f>
        <v/>
      </c>
      <c r="AV79" s="16">
        <f>IF(OR(Topraklar!$J$48="Evet",AND(Topraklar!$L$48&lt;&gt;"Evet",Topraklar!$K$48&lt;&gt;Bitkiler!$C$78)),0,MAX(0,1-(Ayarlar!$B$2*ABS(Bitkiler!$D$78-Topraklar!$D$48)+Ayarlar!$B$3*ABS(Bitkiler!$E$78-Topraklar!$E$48)+Ayarlar!$B$4*ABS(Bitkiler!$F$78-Topraklar!$F$48)+Ayarlar!$B$5*ABS(Bitkiler!$G$78-Topraklar!$G$48)+Ayarlar!$B$6*IF(Bitkiler!$H$78=Topraklar!$H$48,0,1))/Ayarlar!$B$7)+IF(Topraklar!$K$48=Bitkiler!$C$78,0.002,IF(Topraklar!$L$48="Evet",0.001,0)))</f>
        <v/>
      </c>
      <c r="AW79" s="16">
        <f>IF(OR(Topraklar!$J$49="Evet",AND(Topraklar!$L$49&lt;&gt;"Evet",Topraklar!$K$49&lt;&gt;Bitkiler!$C$78)),0,MAX(0,1-(Ayarlar!$B$2*ABS(Bitkiler!$D$78-Topraklar!$D$49)+Ayarlar!$B$3*ABS(Bitkiler!$E$78-Topraklar!$E$49)+Ayarlar!$B$4*ABS(Bitkiler!$F$78-Topraklar!$F$49)+Ayarlar!$B$5*ABS(Bitkiler!$G$78-Topraklar!$G$49)+Ayarlar!$B$6*IF(Bitkiler!$H$78=Topraklar!$H$49,0,1))/Ayarlar!$B$7)+IF(Topraklar!$K$49=Bitkiler!$C$78,0.002,IF(Topraklar!$L$49="Evet",0.001,0)))</f>
        <v/>
      </c>
      <c r="AX79" s="16">
        <f>IF(OR(Topraklar!$J$50="Evet",AND(Topraklar!$L$50&lt;&gt;"Evet",Topraklar!$K$50&lt;&gt;Bitkiler!$C$78)),0,MAX(0,1-(Ayarlar!$B$2*ABS(Bitkiler!$D$78-Topraklar!$D$50)+Ayarlar!$B$3*ABS(Bitkiler!$E$78-Topraklar!$E$50)+Ayarlar!$B$4*ABS(Bitkiler!$F$78-Topraklar!$F$50)+Ayarlar!$B$5*ABS(Bitkiler!$G$78-Topraklar!$G$50)+Ayarlar!$B$6*IF(Bitkiler!$H$78=Topraklar!$H$50,0,1))/Ayarlar!$B$7)+IF(Topraklar!$K$50=Bitkiler!$C$78,0.002,IF(Topraklar!$L$50="Evet",0.001,0)))</f>
        <v/>
      </c>
      <c r="AY79" s="16">
        <f>IF(OR(Topraklar!$J$51="Evet",AND(Topraklar!$L$51&lt;&gt;"Evet",Topraklar!$K$51&lt;&gt;Bitkiler!$C$78)),0,MAX(0,1-(Ayarlar!$B$2*ABS(Bitkiler!$D$78-Topraklar!$D$51)+Ayarlar!$B$3*ABS(Bitkiler!$E$78-Topraklar!$E$51)+Ayarlar!$B$4*ABS(Bitkiler!$F$78-Topraklar!$F$51)+Ayarlar!$B$5*ABS(Bitkiler!$G$78-Topraklar!$G$51)+Ayarlar!$B$6*IF(Bitkiler!$H$78=Topraklar!$H$51,0,1))/Ayarlar!$B$7)+IF(Topraklar!$K$51=Bitkiler!$C$78,0.002,IF(Topraklar!$L$51="Evet",0.001,0)))</f>
        <v/>
      </c>
    </row>
    <row r="80">
      <c r="A80" s="15">
        <f>Bitkiler!A79</f>
        <v/>
      </c>
      <c r="B80" s="16">
        <f>IF(OR(Topraklar!$J$2="Evet",AND(Topraklar!$L$2&lt;&gt;"Evet",Topraklar!$K$2&lt;&gt;Bitkiler!$C$79)),0,MAX(0,1-(Ayarlar!$B$2*ABS(Bitkiler!$D$79-Topraklar!$D$2)+Ayarlar!$B$3*ABS(Bitkiler!$E$79-Topraklar!$E$2)+Ayarlar!$B$4*ABS(Bitkiler!$F$79-Topraklar!$F$2)+Ayarlar!$B$5*ABS(Bitkiler!$G$79-Topraklar!$G$2)+Ayarlar!$B$6*IF(Bitkiler!$H$79=Topraklar!$H$2,0,1))/Ayarlar!$B$7)+IF(Topraklar!$K$2=Bitkiler!$C$79,0.002,IF(Topraklar!$L$2="Evet",0.001,0)))</f>
        <v/>
      </c>
      <c r="C80" s="16">
        <f>IF(OR(Topraklar!$J$3="Evet",AND(Topraklar!$L$3&lt;&gt;"Evet",Topraklar!$K$3&lt;&gt;Bitkiler!$C$79)),0,MAX(0,1-(Ayarlar!$B$2*ABS(Bitkiler!$D$79-Topraklar!$D$3)+Ayarlar!$B$3*ABS(Bitkiler!$E$79-Topraklar!$E$3)+Ayarlar!$B$4*ABS(Bitkiler!$F$79-Topraklar!$F$3)+Ayarlar!$B$5*ABS(Bitkiler!$G$79-Topraklar!$G$3)+Ayarlar!$B$6*IF(Bitkiler!$H$79=Topraklar!$H$3,0,1))/Ayarlar!$B$7)+IF(Topraklar!$K$3=Bitkiler!$C$79,0.002,IF(Topraklar!$L$3="Evet",0.001,0)))</f>
        <v/>
      </c>
      <c r="D80" s="16">
        <f>IF(OR(Topraklar!$J$4="Evet",AND(Topraklar!$L$4&lt;&gt;"Evet",Topraklar!$K$4&lt;&gt;Bitkiler!$C$79)),0,MAX(0,1-(Ayarlar!$B$2*ABS(Bitkiler!$D$79-Topraklar!$D$4)+Ayarlar!$B$3*ABS(Bitkiler!$E$79-Topraklar!$E$4)+Ayarlar!$B$4*ABS(Bitkiler!$F$79-Topraklar!$F$4)+Ayarlar!$B$5*ABS(Bitkiler!$G$79-Topraklar!$G$4)+Ayarlar!$B$6*IF(Bitkiler!$H$79=Topraklar!$H$4,0,1))/Ayarlar!$B$7)+IF(Topraklar!$K$4=Bitkiler!$C$79,0.002,IF(Topraklar!$L$4="Evet",0.001,0)))</f>
        <v/>
      </c>
      <c r="E80" s="16">
        <f>IF(OR(Topraklar!$J$5="Evet",AND(Topraklar!$L$5&lt;&gt;"Evet",Topraklar!$K$5&lt;&gt;Bitkiler!$C$79)),0,MAX(0,1-(Ayarlar!$B$2*ABS(Bitkiler!$D$79-Topraklar!$D$5)+Ayarlar!$B$3*ABS(Bitkiler!$E$79-Topraklar!$E$5)+Ayarlar!$B$4*ABS(Bitkiler!$F$79-Topraklar!$F$5)+Ayarlar!$B$5*ABS(Bitkiler!$G$79-Topraklar!$G$5)+Ayarlar!$B$6*IF(Bitkiler!$H$79=Topraklar!$H$5,0,1))/Ayarlar!$B$7)+IF(Topraklar!$K$5=Bitkiler!$C$79,0.002,IF(Topraklar!$L$5="Evet",0.001,0)))</f>
        <v/>
      </c>
      <c r="F80" s="16">
        <f>IF(OR(Topraklar!$J$6="Evet",AND(Topraklar!$L$6&lt;&gt;"Evet",Topraklar!$K$6&lt;&gt;Bitkiler!$C$79)),0,MAX(0,1-(Ayarlar!$B$2*ABS(Bitkiler!$D$79-Topraklar!$D$6)+Ayarlar!$B$3*ABS(Bitkiler!$E$79-Topraklar!$E$6)+Ayarlar!$B$4*ABS(Bitkiler!$F$79-Topraklar!$F$6)+Ayarlar!$B$5*ABS(Bitkiler!$G$79-Topraklar!$G$6)+Ayarlar!$B$6*IF(Bitkiler!$H$79=Topraklar!$H$6,0,1))/Ayarlar!$B$7)+IF(Topraklar!$K$6=Bitkiler!$C$79,0.002,IF(Topraklar!$L$6="Evet",0.001,0)))</f>
        <v/>
      </c>
      <c r="G80" s="16">
        <f>IF(OR(Topraklar!$J$7="Evet",AND(Topraklar!$L$7&lt;&gt;"Evet",Topraklar!$K$7&lt;&gt;Bitkiler!$C$79)),0,MAX(0,1-(Ayarlar!$B$2*ABS(Bitkiler!$D$79-Topraklar!$D$7)+Ayarlar!$B$3*ABS(Bitkiler!$E$79-Topraklar!$E$7)+Ayarlar!$B$4*ABS(Bitkiler!$F$79-Topraklar!$F$7)+Ayarlar!$B$5*ABS(Bitkiler!$G$79-Topraklar!$G$7)+Ayarlar!$B$6*IF(Bitkiler!$H$79=Topraklar!$H$7,0,1))/Ayarlar!$B$7)+IF(Topraklar!$K$7=Bitkiler!$C$79,0.002,IF(Topraklar!$L$7="Evet",0.001,0)))</f>
        <v/>
      </c>
      <c r="H80" s="16">
        <f>IF(OR(Topraklar!$J$8="Evet",AND(Topraklar!$L$8&lt;&gt;"Evet",Topraklar!$K$8&lt;&gt;Bitkiler!$C$79)),0,MAX(0,1-(Ayarlar!$B$2*ABS(Bitkiler!$D$79-Topraklar!$D$8)+Ayarlar!$B$3*ABS(Bitkiler!$E$79-Topraklar!$E$8)+Ayarlar!$B$4*ABS(Bitkiler!$F$79-Topraklar!$F$8)+Ayarlar!$B$5*ABS(Bitkiler!$G$79-Topraklar!$G$8)+Ayarlar!$B$6*IF(Bitkiler!$H$79=Topraklar!$H$8,0,1))/Ayarlar!$B$7)+IF(Topraklar!$K$8=Bitkiler!$C$79,0.002,IF(Topraklar!$L$8="Evet",0.001,0)))</f>
        <v/>
      </c>
      <c r="I80" s="16">
        <f>IF(OR(Topraklar!$J$9="Evet",AND(Topraklar!$L$9&lt;&gt;"Evet",Topraklar!$K$9&lt;&gt;Bitkiler!$C$79)),0,MAX(0,1-(Ayarlar!$B$2*ABS(Bitkiler!$D$79-Topraklar!$D$9)+Ayarlar!$B$3*ABS(Bitkiler!$E$79-Topraklar!$E$9)+Ayarlar!$B$4*ABS(Bitkiler!$F$79-Topraklar!$F$9)+Ayarlar!$B$5*ABS(Bitkiler!$G$79-Topraklar!$G$9)+Ayarlar!$B$6*IF(Bitkiler!$H$79=Topraklar!$H$9,0,1))/Ayarlar!$B$7)+IF(Topraklar!$K$9=Bitkiler!$C$79,0.002,IF(Topraklar!$L$9="Evet",0.001,0)))</f>
        <v/>
      </c>
      <c r="J80" s="16">
        <f>IF(OR(Topraklar!$J$10="Evet",AND(Topraklar!$L$10&lt;&gt;"Evet",Topraklar!$K$10&lt;&gt;Bitkiler!$C$79)),0,MAX(0,1-(Ayarlar!$B$2*ABS(Bitkiler!$D$79-Topraklar!$D$10)+Ayarlar!$B$3*ABS(Bitkiler!$E$79-Topraklar!$E$10)+Ayarlar!$B$4*ABS(Bitkiler!$F$79-Topraklar!$F$10)+Ayarlar!$B$5*ABS(Bitkiler!$G$79-Topraklar!$G$10)+Ayarlar!$B$6*IF(Bitkiler!$H$79=Topraklar!$H$10,0,1))/Ayarlar!$B$7)+IF(Topraklar!$K$10=Bitkiler!$C$79,0.002,IF(Topraklar!$L$10="Evet",0.001,0)))</f>
        <v/>
      </c>
      <c r="K80" s="16">
        <f>IF(OR(Topraklar!$J$11="Evet",AND(Topraklar!$L$11&lt;&gt;"Evet",Topraklar!$K$11&lt;&gt;Bitkiler!$C$79)),0,MAX(0,1-(Ayarlar!$B$2*ABS(Bitkiler!$D$79-Topraklar!$D$11)+Ayarlar!$B$3*ABS(Bitkiler!$E$79-Topraklar!$E$11)+Ayarlar!$B$4*ABS(Bitkiler!$F$79-Topraklar!$F$11)+Ayarlar!$B$5*ABS(Bitkiler!$G$79-Topraklar!$G$11)+Ayarlar!$B$6*IF(Bitkiler!$H$79=Topraklar!$H$11,0,1))/Ayarlar!$B$7)+IF(Topraklar!$K$11=Bitkiler!$C$79,0.002,IF(Topraklar!$L$11="Evet",0.001,0)))</f>
        <v/>
      </c>
      <c r="L80" s="16">
        <f>IF(OR(Topraklar!$J$12="Evet",AND(Topraklar!$L$12&lt;&gt;"Evet",Topraklar!$K$12&lt;&gt;Bitkiler!$C$79)),0,MAX(0,1-(Ayarlar!$B$2*ABS(Bitkiler!$D$79-Topraklar!$D$12)+Ayarlar!$B$3*ABS(Bitkiler!$E$79-Topraklar!$E$12)+Ayarlar!$B$4*ABS(Bitkiler!$F$79-Topraklar!$F$12)+Ayarlar!$B$5*ABS(Bitkiler!$G$79-Topraklar!$G$12)+Ayarlar!$B$6*IF(Bitkiler!$H$79=Topraklar!$H$12,0,1))/Ayarlar!$B$7)+IF(Topraklar!$K$12=Bitkiler!$C$79,0.002,IF(Topraklar!$L$12="Evet",0.001,0)))</f>
        <v/>
      </c>
      <c r="M80" s="16">
        <f>IF(OR(Topraklar!$J$13="Evet",AND(Topraklar!$L$13&lt;&gt;"Evet",Topraklar!$K$13&lt;&gt;Bitkiler!$C$79)),0,MAX(0,1-(Ayarlar!$B$2*ABS(Bitkiler!$D$79-Topraklar!$D$13)+Ayarlar!$B$3*ABS(Bitkiler!$E$79-Topraklar!$E$13)+Ayarlar!$B$4*ABS(Bitkiler!$F$79-Topraklar!$F$13)+Ayarlar!$B$5*ABS(Bitkiler!$G$79-Topraklar!$G$13)+Ayarlar!$B$6*IF(Bitkiler!$H$79=Topraklar!$H$13,0,1))/Ayarlar!$B$7)+IF(Topraklar!$K$13=Bitkiler!$C$79,0.002,IF(Topraklar!$L$13="Evet",0.001,0)))</f>
        <v/>
      </c>
      <c r="N80" s="16">
        <f>IF(OR(Topraklar!$J$14="Evet",AND(Topraklar!$L$14&lt;&gt;"Evet",Topraklar!$K$14&lt;&gt;Bitkiler!$C$79)),0,MAX(0,1-(Ayarlar!$B$2*ABS(Bitkiler!$D$79-Topraklar!$D$14)+Ayarlar!$B$3*ABS(Bitkiler!$E$79-Topraklar!$E$14)+Ayarlar!$B$4*ABS(Bitkiler!$F$79-Topraklar!$F$14)+Ayarlar!$B$5*ABS(Bitkiler!$G$79-Topraklar!$G$14)+Ayarlar!$B$6*IF(Bitkiler!$H$79=Topraklar!$H$14,0,1))/Ayarlar!$B$7)+IF(Topraklar!$K$14=Bitkiler!$C$79,0.002,IF(Topraklar!$L$14="Evet",0.001,0)))</f>
        <v/>
      </c>
      <c r="O80" s="16">
        <f>IF(OR(Topraklar!$J$15="Evet",AND(Topraklar!$L$15&lt;&gt;"Evet",Topraklar!$K$15&lt;&gt;Bitkiler!$C$79)),0,MAX(0,1-(Ayarlar!$B$2*ABS(Bitkiler!$D$79-Topraklar!$D$15)+Ayarlar!$B$3*ABS(Bitkiler!$E$79-Topraklar!$E$15)+Ayarlar!$B$4*ABS(Bitkiler!$F$79-Topraklar!$F$15)+Ayarlar!$B$5*ABS(Bitkiler!$G$79-Topraklar!$G$15)+Ayarlar!$B$6*IF(Bitkiler!$H$79=Topraklar!$H$15,0,1))/Ayarlar!$B$7)+IF(Topraklar!$K$15=Bitkiler!$C$79,0.002,IF(Topraklar!$L$15="Evet",0.001,0)))</f>
        <v/>
      </c>
      <c r="P80" s="16">
        <f>IF(OR(Topraklar!$J$16="Evet",AND(Topraklar!$L$16&lt;&gt;"Evet",Topraklar!$K$16&lt;&gt;Bitkiler!$C$79)),0,MAX(0,1-(Ayarlar!$B$2*ABS(Bitkiler!$D$79-Topraklar!$D$16)+Ayarlar!$B$3*ABS(Bitkiler!$E$79-Topraklar!$E$16)+Ayarlar!$B$4*ABS(Bitkiler!$F$79-Topraklar!$F$16)+Ayarlar!$B$5*ABS(Bitkiler!$G$79-Topraklar!$G$16)+Ayarlar!$B$6*IF(Bitkiler!$H$79=Topraklar!$H$16,0,1))/Ayarlar!$B$7)+IF(Topraklar!$K$16=Bitkiler!$C$79,0.002,IF(Topraklar!$L$16="Evet",0.001,0)))</f>
        <v/>
      </c>
      <c r="Q80" s="16">
        <f>IF(OR(Topraklar!$J$17="Evet",AND(Topraklar!$L$17&lt;&gt;"Evet",Topraklar!$K$17&lt;&gt;Bitkiler!$C$79)),0,MAX(0,1-(Ayarlar!$B$2*ABS(Bitkiler!$D$79-Topraklar!$D$17)+Ayarlar!$B$3*ABS(Bitkiler!$E$79-Topraklar!$E$17)+Ayarlar!$B$4*ABS(Bitkiler!$F$79-Topraklar!$F$17)+Ayarlar!$B$5*ABS(Bitkiler!$G$79-Topraklar!$G$17)+Ayarlar!$B$6*IF(Bitkiler!$H$79=Topraklar!$H$17,0,1))/Ayarlar!$B$7)+IF(Topraklar!$K$17=Bitkiler!$C$79,0.002,IF(Topraklar!$L$17="Evet",0.001,0)))</f>
        <v/>
      </c>
      <c r="R80" s="16">
        <f>IF(OR(Topraklar!$J$18="Evet",AND(Topraklar!$L$18&lt;&gt;"Evet",Topraklar!$K$18&lt;&gt;Bitkiler!$C$79)),0,MAX(0,1-(Ayarlar!$B$2*ABS(Bitkiler!$D$79-Topraklar!$D$18)+Ayarlar!$B$3*ABS(Bitkiler!$E$79-Topraklar!$E$18)+Ayarlar!$B$4*ABS(Bitkiler!$F$79-Topraklar!$F$18)+Ayarlar!$B$5*ABS(Bitkiler!$G$79-Topraklar!$G$18)+Ayarlar!$B$6*IF(Bitkiler!$H$79=Topraklar!$H$18,0,1))/Ayarlar!$B$7)+IF(Topraklar!$K$18=Bitkiler!$C$79,0.002,IF(Topraklar!$L$18="Evet",0.001,0)))</f>
        <v/>
      </c>
      <c r="S80" s="16">
        <f>IF(OR(Topraklar!$J$19="Evet",AND(Topraklar!$L$19&lt;&gt;"Evet",Topraklar!$K$19&lt;&gt;Bitkiler!$C$79)),0,MAX(0,1-(Ayarlar!$B$2*ABS(Bitkiler!$D$79-Topraklar!$D$19)+Ayarlar!$B$3*ABS(Bitkiler!$E$79-Topraklar!$E$19)+Ayarlar!$B$4*ABS(Bitkiler!$F$79-Topraklar!$F$19)+Ayarlar!$B$5*ABS(Bitkiler!$G$79-Topraklar!$G$19)+Ayarlar!$B$6*IF(Bitkiler!$H$79=Topraklar!$H$19,0,1))/Ayarlar!$B$7)+IF(Topraklar!$K$19=Bitkiler!$C$79,0.002,IF(Topraklar!$L$19="Evet",0.001,0)))</f>
        <v/>
      </c>
      <c r="T80" s="16">
        <f>IF(OR(Topraklar!$J$20="Evet",AND(Topraklar!$L$20&lt;&gt;"Evet",Topraklar!$K$20&lt;&gt;Bitkiler!$C$79)),0,MAX(0,1-(Ayarlar!$B$2*ABS(Bitkiler!$D$79-Topraklar!$D$20)+Ayarlar!$B$3*ABS(Bitkiler!$E$79-Topraklar!$E$20)+Ayarlar!$B$4*ABS(Bitkiler!$F$79-Topraklar!$F$20)+Ayarlar!$B$5*ABS(Bitkiler!$G$79-Topraklar!$G$20)+Ayarlar!$B$6*IF(Bitkiler!$H$79=Topraklar!$H$20,0,1))/Ayarlar!$B$7)+IF(Topraklar!$K$20=Bitkiler!$C$79,0.002,IF(Topraklar!$L$20="Evet",0.001,0)))</f>
        <v/>
      </c>
      <c r="U80" s="16">
        <f>IF(OR(Topraklar!$J$21="Evet",AND(Topraklar!$L$21&lt;&gt;"Evet",Topraklar!$K$21&lt;&gt;Bitkiler!$C$79)),0,MAX(0,1-(Ayarlar!$B$2*ABS(Bitkiler!$D$79-Topraklar!$D$21)+Ayarlar!$B$3*ABS(Bitkiler!$E$79-Topraklar!$E$21)+Ayarlar!$B$4*ABS(Bitkiler!$F$79-Topraklar!$F$21)+Ayarlar!$B$5*ABS(Bitkiler!$G$79-Topraklar!$G$21)+Ayarlar!$B$6*IF(Bitkiler!$H$79=Topraklar!$H$21,0,1))/Ayarlar!$B$7)+IF(Topraklar!$K$21=Bitkiler!$C$79,0.002,IF(Topraklar!$L$21="Evet",0.001,0)))</f>
        <v/>
      </c>
      <c r="V80" s="16">
        <f>IF(OR(Topraklar!$J$22="Evet",AND(Topraklar!$L$22&lt;&gt;"Evet",Topraklar!$K$22&lt;&gt;Bitkiler!$C$79)),0,MAX(0,1-(Ayarlar!$B$2*ABS(Bitkiler!$D$79-Topraklar!$D$22)+Ayarlar!$B$3*ABS(Bitkiler!$E$79-Topraklar!$E$22)+Ayarlar!$B$4*ABS(Bitkiler!$F$79-Topraklar!$F$22)+Ayarlar!$B$5*ABS(Bitkiler!$G$79-Topraklar!$G$22)+Ayarlar!$B$6*IF(Bitkiler!$H$79=Topraklar!$H$22,0,1))/Ayarlar!$B$7)+IF(Topraklar!$K$22=Bitkiler!$C$79,0.002,IF(Topraklar!$L$22="Evet",0.001,0)))</f>
        <v/>
      </c>
      <c r="W80" s="16">
        <f>IF(OR(Topraklar!$J$23="Evet",AND(Topraklar!$L$23&lt;&gt;"Evet",Topraklar!$K$23&lt;&gt;Bitkiler!$C$79)),0,MAX(0,1-(Ayarlar!$B$2*ABS(Bitkiler!$D$79-Topraklar!$D$23)+Ayarlar!$B$3*ABS(Bitkiler!$E$79-Topraklar!$E$23)+Ayarlar!$B$4*ABS(Bitkiler!$F$79-Topraklar!$F$23)+Ayarlar!$B$5*ABS(Bitkiler!$G$79-Topraklar!$G$23)+Ayarlar!$B$6*IF(Bitkiler!$H$79=Topraklar!$H$23,0,1))/Ayarlar!$B$7)+IF(Topraklar!$K$23=Bitkiler!$C$79,0.002,IF(Topraklar!$L$23="Evet",0.001,0)))</f>
        <v/>
      </c>
      <c r="X80" s="16">
        <f>IF(OR(Topraklar!$J$24="Evet",AND(Topraklar!$L$24&lt;&gt;"Evet",Topraklar!$K$24&lt;&gt;Bitkiler!$C$79)),0,MAX(0,1-(Ayarlar!$B$2*ABS(Bitkiler!$D$79-Topraklar!$D$24)+Ayarlar!$B$3*ABS(Bitkiler!$E$79-Topraklar!$E$24)+Ayarlar!$B$4*ABS(Bitkiler!$F$79-Topraklar!$F$24)+Ayarlar!$B$5*ABS(Bitkiler!$G$79-Topraklar!$G$24)+Ayarlar!$B$6*IF(Bitkiler!$H$79=Topraklar!$H$24,0,1))/Ayarlar!$B$7)+IF(Topraklar!$K$24=Bitkiler!$C$79,0.002,IF(Topraklar!$L$24="Evet",0.001,0)))</f>
        <v/>
      </c>
      <c r="Y80" s="16">
        <f>IF(OR(Topraklar!$J$25="Evet",AND(Topraklar!$L$25&lt;&gt;"Evet",Topraklar!$K$25&lt;&gt;Bitkiler!$C$79)),0,MAX(0,1-(Ayarlar!$B$2*ABS(Bitkiler!$D$79-Topraklar!$D$25)+Ayarlar!$B$3*ABS(Bitkiler!$E$79-Topraklar!$E$25)+Ayarlar!$B$4*ABS(Bitkiler!$F$79-Topraklar!$F$25)+Ayarlar!$B$5*ABS(Bitkiler!$G$79-Topraklar!$G$25)+Ayarlar!$B$6*IF(Bitkiler!$H$79=Topraklar!$H$25,0,1))/Ayarlar!$B$7)+IF(Topraklar!$K$25=Bitkiler!$C$79,0.002,IF(Topraklar!$L$25="Evet",0.001,0)))</f>
        <v/>
      </c>
      <c r="Z80" s="16">
        <f>IF(OR(Topraklar!$J$26="Evet",AND(Topraklar!$L$26&lt;&gt;"Evet",Topraklar!$K$26&lt;&gt;Bitkiler!$C$79)),0,MAX(0,1-(Ayarlar!$B$2*ABS(Bitkiler!$D$79-Topraklar!$D$26)+Ayarlar!$B$3*ABS(Bitkiler!$E$79-Topraklar!$E$26)+Ayarlar!$B$4*ABS(Bitkiler!$F$79-Topraklar!$F$26)+Ayarlar!$B$5*ABS(Bitkiler!$G$79-Topraklar!$G$26)+Ayarlar!$B$6*IF(Bitkiler!$H$79=Topraklar!$H$26,0,1))/Ayarlar!$B$7)+IF(Topraklar!$K$26=Bitkiler!$C$79,0.002,IF(Topraklar!$L$26="Evet",0.001,0)))</f>
        <v/>
      </c>
      <c r="AA80" s="16">
        <f>IF(OR(Topraklar!$J$27="Evet",AND(Topraklar!$L$27&lt;&gt;"Evet",Topraklar!$K$27&lt;&gt;Bitkiler!$C$79)),0,MAX(0,1-(Ayarlar!$B$2*ABS(Bitkiler!$D$79-Topraklar!$D$27)+Ayarlar!$B$3*ABS(Bitkiler!$E$79-Topraklar!$E$27)+Ayarlar!$B$4*ABS(Bitkiler!$F$79-Topraklar!$F$27)+Ayarlar!$B$5*ABS(Bitkiler!$G$79-Topraklar!$G$27)+Ayarlar!$B$6*IF(Bitkiler!$H$79=Topraklar!$H$27,0,1))/Ayarlar!$B$7)+IF(Topraklar!$K$27=Bitkiler!$C$79,0.002,IF(Topraklar!$L$27="Evet",0.001,0)))</f>
        <v/>
      </c>
      <c r="AB80" s="16">
        <f>IF(OR(Topraklar!$J$28="Evet",AND(Topraklar!$L$28&lt;&gt;"Evet",Topraklar!$K$28&lt;&gt;Bitkiler!$C$79)),0,MAX(0,1-(Ayarlar!$B$2*ABS(Bitkiler!$D$79-Topraklar!$D$28)+Ayarlar!$B$3*ABS(Bitkiler!$E$79-Topraklar!$E$28)+Ayarlar!$B$4*ABS(Bitkiler!$F$79-Topraklar!$F$28)+Ayarlar!$B$5*ABS(Bitkiler!$G$79-Topraklar!$G$28)+Ayarlar!$B$6*IF(Bitkiler!$H$79=Topraklar!$H$28,0,1))/Ayarlar!$B$7)+IF(Topraklar!$K$28=Bitkiler!$C$79,0.002,IF(Topraklar!$L$28="Evet",0.001,0)))</f>
        <v/>
      </c>
      <c r="AC80" s="16">
        <f>IF(OR(Topraklar!$J$29="Evet",AND(Topraklar!$L$29&lt;&gt;"Evet",Topraklar!$K$29&lt;&gt;Bitkiler!$C$79)),0,MAX(0,1-(Ayarlar!$B$2*ABS(Bitkiler!$D$79-Topraklar!$D$29)+Ayarlar!$B$3*ABS(Bitkiler!$E$79-Topraklar!$E$29)+Ayarlar!$B$4*ABS(Bitkiler!$F$79-Topraklar!$F$29)+Ayarlar!$B$5*ABS(Bitkiler!$G$79-Topraklar!$G$29)+Ayarlar!$B$6*IF(Bitkiler!$H$79=Topraklar!$H$29,0,1))/Ayarlar!$B$7)+IF(Topraklar!$K$29=Bitkiler!$C$79,0.002,IF(Topraklar!$L$29="Evet",0.001,0)))</f>
        <v/>
      </c>
      <c r="AD80" s="16">
        <f>IF(OR(Topraklar!$J$30="Evet",AND(Topraklar!$L$30&lt;&gt;"Evet",Topraklar!$K$30&lt;&gt;Bitkiler!$C$79)),0,MAX(0,1-(Ayarlar!$B$2*ABS(Bitkiler!$D$79-Topraklar!$D$30)+Ayarlar!$B$3*ABS(Bitkiler!$E$79-Topraklar!$E$30)+Ayarlar!$B$4*ABS(Bitkiler!$F$79-Topraklar!$F$30)+Ayarlar!$B$5*ABS(Bitkiler!$G$79-Topraklar!$G$30)+Ayarlar!$B$6*IF(Bitkiler!$H$79=Topraklar!$H$30,0,1))/Ayarlar!$B$7)+IF(Topraklar!$K$30=Bitkiler!$C$79,0.002,IF(Topraklar!$L$30="Evet",0.001,0)))</f>
        <v/>
      </c>
      <c r="AE80" s="16">
        <f>IF(OR(Topraklar!$J$31="Evet",AND(Topraklar!$L$31&lt;&gt;"Evet",Topraklar!$K$31&lt;&gt;Bitkiler!$C$79)),0,MAX(0,1-(Ayarlar!$B$2*ABS(Bitkiler!$D$79-Topraklar!$D$31)+Ayarlar!$B$3*ABS(Bitkiler!$E$79-Topraklar!$E$31)+Ayarlar!$B$4*ABS(Bitkiler!$F$79-Topraklar!$F$31)+Ayarlar!$B$5*ABS(Bitkiler!$G$79-Topraklar!$G$31)+Ayarlar!$B$6*IF(Bitkiler!$H$79=Topraklar!$H$31,0,1))/Ayarlar!$B$7)+IF(Topraklar!$K$31=Bitkiler!$C$79,0.002,IF(Topraklar!$L$31="Evet",0.001,0)))</f>
        <v/>
      </c>
      <c r="AF80" s="16">
        <f>IF(OR(Topraklar!$J$32="Evet",AND(Topraklar!$L$32&lt;&gt;"Evet",Topraklar!$K$32&lt;&gt;Bitkiler!$C$79)),0,MAX(0,1-(Ayarlar!$B$2*ABS(Bitkiler!$D$79-Topraklar!$D$32)+Ayarlar!$B$3*ABS(Bitkiler!$E$79-Topraklar!$E$32)+Ayarlar!$B$4*ABS(Bitkiler!$F$79-Topraklar!$F$32)+Ayarlar!$B$5*ABS(Bitkiler!$G$79-Topraklar!$G$32)+Ayarlar!$B$6*IF(Bitkiler!$H$79=Topraklar!$H$32,0,1))/Ayarlar!$B$7)+IF(Topraklar!$K$32=Bitkiler!$C$79,0.002,IF(Topraklar!$L$32="Evet",0.001,0)))</f>
        <v/>
      </c>
      <c r="AG80" s="16">
        <f>IF(OR(Topraklar!$J$33="Evet",AND(Topraklar!$L$33&lt;&gt;"Evet",Topraklar!$K$33&lt;&gt;Bitkiler!$C$79)),0,MAX(0,1-(Ayarlar!$B$2*ABS(Bitkiler!$D$79-Topraklar!$D$33)+Ayarlar!$B$3*ABS(Bitkiler!$E$79-Topraklar!$E$33)+Ayarlar!$B$4*ABS(Bitkiler!$F$79-Topraklar!$F$33)+Ayarlar!$B$5*ABS(Bitkiler!$G$79-Topraklar!$G$33)+Ayarlar!$B$6*IF(Bitkiler!$H$79=Topraklar!$H$33,0,1))/Ayarlar!$B$7)+IF(Topraklar!$K$33=Bitkiler!$C$79,0.002,IF(Topraklar!$L$33="Evet",0.001,0)))</f>
        <v/>
      </c>
      <c r="AH80" s="16">
        <f>IF(OR(Topraklar!$J$34="Evet",AND(Topraklar!$L$34&lt;&gt;"Evet",Topraklar!$K$34&lt;&gt;Bitkiler!$C$79)),0,MAX(0,1-(Ayarlar!$B$2*ABS(Bitkiler!$D$79-Topraklar!$D$34)+Ayarlar!$B$3*ABS(Bitkiler!$E$79-Topraklar!$E$34)+Ayarlar!$B$4*ABS(Bitkiler!$F$79-Topraklar!$F$34)+Ayarlar!$B$5*ABS(Bitkiler!$G$79-Topraklar!$G$34)+Ayarlar!$B$6*IF(Bitkiler!$H$79=Topraklar!$H$34,0,1))/Ayarlar!$B$7)+IF(Topraklar!$K$34=Bitkiler!$C$79,0.002,IF(Topraklar!$L$34="Evet",0.001,0)))</f>
        <v/>
      </c>
      <c r="AI80" s="16">
        <f>IF(OR(Topraklar!$J$35="Evet",AND(Topraklar!$L$35&lt;&gt;"Evet",Topraklar!$K$35&lt;&gt;Bitkiler!$C$79)),0,MAX(0,1-(Ayarlar!$B$2*ABS(Bitkiler!$D$79-Topraklar!$D$35)+Ayarlar!$B$3*ABS(Bitkiler!$E$79-Topraklar!$E$35)+Ayarlar!$B$4*ABS(Bitkiler!$F$79-Topraklar!$F$35)+Ayarlar!$B$5*ABS(Bitkiler!$G$79-Topraklar!$G$35)+Ayarlar!$B$6*IF(Bitkiler!$H$79=Topraklar!$H$35,0,1))/Ayarlar!$B$7)+IF(Topraklar!$K$35=Bitkiler!$C$79,0.002,IF(Topraklar!$L$35="Evet",0.001,0)))</f>
        <v/>
      </c>
      <c r="AJ80" s="16">
        <f>IF(OR(Topraklar!$J$36="Evet",AND(Topraklar!$L$36&lt;&gt;"Evet",Topraklar!$K$36&lt;&gt;Bitkiler!$C$79)),0,MAX(0,1-(Ayarlar!$B$2*ABS(Bitkiler!$D$79-Topraklar!$D$36)+Ayarlar!$B$3*ABS(Bitkiler!$E$79-Topraklar!$E$36)+Ayarlar!$B$4*ABS(Bitkiler!$F$79-Topraklar!$F$36)+Ayarlar!$B$5*ABS(Bitkiler!$G$79-Topraklar!$G$36)+Ayarlar!$B$6*IF(Bitkiler!$H$79=Topraklar!$H$36,0,1))/Ayarlar!$B$7)+IF(Topraklar!$K$36=Bitkiler!$C$79,0.002,IF(Topraklar!$L$36="Evet",0.001,0)))</f>
        <v/>
      </c>
      <c r="AK80" s="16">
        <f>IF(OR(Topraklar!$J$37="Evet",AND(Topraklar!$L$37&lt;&gt;"Evet",Topraklar!$K$37&lt;&gt;Bitkiler!$C$79)),0,MAX(0,1-(Ayarlar!$B$2*ABS(Bitkiler!$D$79-Topraklar!$D$37)+Ayarlar!$B$3*ABS(Bitkiler!$E$79-Topraklar!$E$37)+Ayarlar!$B$4*ABS(Bitkiler!$F$79-Topraklar!$F$37)+Ayarlar!$B$5*ABS(Bitkiler!$G$79-Topraklar!$G$37)+Ayarlar!$B$6*IF(Bitkiler!$H$79=Topraklar!$H$37,0,1))/Ayarlar!$B$7)+IF(Topraklar!$K$37=Bitkiler!$C$79,0.002,IF(Topraklar!$L$37="Evet",0.001,0)))</f>
        <v/>
      </c>
      <c r="AL80" s="16">
        <f>IF(OR(Topraklar!$J$38="Evet",AND(Topraklar!$L$38&lt;&gt;"Evet",Topraklar!$K$38&lt;&gt;Bitkiler!$C$79)),0,MAX(0,1-(Ayarlar!$B$2*ABS(Bitkiler!$D$79-Topraklar!$D$38)+Ayarlar!$B$3*ABS(Bitkiler!$E$79-Topraklar!$E$38)+Ayarlar!$B$4*ABS(Bitkiler!$F$79-Topraklar!$F$38)+Ayarlar!$B$5*ABS(Bitkiler!$G$79-Topraklar!$G$38)+Ayarlar!$B$6*IF(Bitkiler!$H$79=Topraklar!$H$38,0,1))/Ayarlar!$B$7)+IF(Topraklar!$K$38=Bitkiler!$C$79,0.002,IF(Topraklar!$L$38="Evet",0.001,0)))</f>
        <v/>
      </c>
      <c r="AM80" s="16">
        <f>IF(OR(Topraklar!$J$39="Evet",AND(Topraklar!$L$39&lt;&gt;"Evet",Topraklar!$K$39&lt;&gt;Bitkiler!$C$79)),0,MAX(0,1-(Ayarlar!$B$2*ABS(Bitkiler!$D$79-Topraklar!$D$39)+Ayarlar!$B$3*ABS(Bitkiler!$E$79-Topraklar!$E$39)+Ayarlar!$B$4*ABS(Bitkiler!$F$79-Topraklar!$F$39)+Ayarlar!$B$5*ABS(Bitkiler!$G$79-Topraklar!$G$39)+Ayarlar!$B$6*IF(Bitkiler!$H$79=Topraklar!$H$39,0,1))/Ayarlar!$B$7)+IF(Topraklar!$K$39=Bitkiler!$C$79,0.002,IF(Topraklar!$L$39="Evet",0.001,0)))</f>
        <v/>
      </c>
      <c r="AN80" s="16">
        <f>IF(OR(Topraklar!$J$40="Evet",AND(Topraklar!$L$40&lt;&gt;"Evet",Topraklar!$K$40&lt;&gt;Bitkiler!$C$79)),0,MAX(0,1-(Ayarlar!$B$2*ABS(Bitkiler!$D$79-Topraklar!$D$40)+Ayarlar!$B$3*ABS(Bitkiler!$E$79-Topraklar!$E$40)+Ayarlar!$B$4*ABS(Bitkiler!$F$79-Topraklar!$F$40)+Ayarlar!$B$5*ABS(Bitkiler!$G$79-Topraklar!$G$40)+Ayarlar!$B$6*IF(Bitkiler!$H$79=Topraklar!$H$40,0,1))/Ayarlar!$B$7)+IF(Topraklar!$K$40=Bitkiler!$C$79,0.002,IF(Topraklar!$L$40="Evet",0.001,0)))</f>
        <v/>
      </c>
      <c r="AO80" s="16">
        <f>IF(OR(Topraklar!$J$41="Evet",AND(Topraklar!$L$41&lt;&gt;"Evet",Topraklar!$K$41&lt;&gt;Bitkiler!$C$79)),0,MAX(0,1-(Ayarlar!$B$2*ABS(Bitkiler!$D$79-Topraklar!$D$41)+Ayarlar!$B$3*ABS(Bitkiler!$E$79-Topraklar!$E$41)+Ayarlar!$B$4*ABS(Bitkiler!$F$79-Topraklar!$F$41)+Ayarlar!$B$5*ABS(Bitkiler!$G$79-Topraklar!$G$41)+Ayarlar!$B$6*IF(Bitkiler!$H$79=Topraklar!$H$41,0,1))/Ayarlar!$B$7)+IF(Topraklar!$K$41=Bitkiler!$C$79,0.002,IF(Topraklar!$L$41="Evet",0.001,0)))</f>
        <v/>
      </c>
      <c r="AP80" s="16">
        <f>IF(OR(Topraklar!$J$42="Evet",AND(Topraklar!$L$42&lt;&gt;"Evet",Topraklar!$K$42&lt;&gt;Bitkiler!$C$79)),0,MAX(0,1-(Ayarlar!$B$2*ABS(Bitkiler!$D$79-Topraklar!$D$42)+Ayarlar!$B$3*ABS(Bitkiler!$E$79-Topraklar!$E$42)+Ayarlar!$B$4*ABS(Bitkiler!$F$79-Topraklar!$F$42)+Ayarlar!$B$5*ABS(Bitkiler!$G$79-Topraklar!$G$42)+Ayarlar!$B$6*IF(Bitkiler!$H$79=Topraklar!$H$42,0,1))/Ayarlar!$B$7)+IF(Topraklar!$K$42=Bitkiler!$C$79,0.002,IF(Topraklar!$L$42="Evet",0.001,0)))</f>
        <v/>
      </c>
      <c r="AQ80" s="16">
        <f>IF(OR(Topraklar!$J$43="Evet",AND(Topraklar!$L$43&lt;&gt;"Evet",Topraklar!$K$43&lt;&gt;Bitkiler!$C$79)),0,MAX(0,1-(Ayarlar!$B$2*ABS(Bitkiler!$D$79-Topraklar!$D$43)+Ayarlar!$B$3*ABS(Bitkiler!$E$79-Topraklar!$E$43)+Ayarlar!$B$4*ABS(Bitkiler!$F$79-Topraklar!$F$43)+Ayarlar!$B$5*ABS(Bitkiler!$G$79-Topraklar!$G$43)+Ayarlar!$B$6*IF(Bitkiler!$H$79=Topraklar!$H$43,0,1))/Ayarlar!$B$7)+IF(Topraklar!$K$43=Bitkiler!$C$79,0.002,IF(Topraklar!$L$43="Evet",0.001,0)))</f>
        <v/>
      </c>
      <c r="AR80" s="16">
        <f>IF(OR(Topraklar!$J$44="Evet",AND(Topraklar!$L$44&lt;&gt;"Evet",Topraklar!$K$44&lt;&gt;Bitkiler!$C$79)),0,MAX(0,1-(Ayarlar!$B$2*ABS(Bitkiler!$D$79-Topraklar!$D$44)+Ayarlar!$B$3*ABS(Bitkiler!$E$79-Topraklar!$E$44)+Ayarlar!$B$4*ABS(Bitkiler!$F$79-Topraklar!$F$44)+Ayarlar!$B$5*ABS(Bitkiler!$G$79-Topraklar!$G$44)+Ayarlar!$B$6*IF(Bitkiler!$H$79=Topraklar!$H$44,0,1))/Ayarlar!$B$7)+IF(Topraklar!$K$44=Bitkiler!$C$79,0.002,IF(Topraklar!$L$44="Evet",0.001,0)))</f>
        <v/>
      </c>
      <c r="AS80" s="16">
        <f>IF(OR(Topraklar!$J$45="Evet",AND(Topraklar!$L$45&lt;&gt;"Evet",Topraklar!$K$45&lt;&gt;Bitkiler!$C$79)),0,MAX(0,1-(Ayarlar!$B$2*ABS(Bitkiler!$D$79-Topraklar!$D$45)+Ayarlar!$B$3*ABS(Bitkiler!$E$79-Topraklar!$E$45)+Ayarlar!$B$4*ABS(Bitkiler!$F$79-Topraklar!$F$45)+Ayarlar!$B$5*ABS(Bitkiler!$G$79-Topraklar!$G$45)+Ayarlar!$B$6*IF(Bitkiler!$H$79=Topraklar!$H$45,0,1))/Ayarlar!$B$7)+IF(Topraklar!$K$45=Bitkiler!$C$79,0.002,IF(Topraklar!$L$45="Evet",0.001,0)))</f>
        <v/>
      </c>
      <c r="AT80" s="16">
        <f>IF(OR(Topraklar!$J$46="Evet",AND(Topraklar!$L$46&lt;&gt;"Evet",Topraklar!$K$46&lt;&gt;Bitkiler!$C$79)),0,MAX(0,1-(Ayarlar!$B$2*ABS(Bitkiler!$D$79-Topraklar!$D$46)+Ayarlar!$B$3*ABS(Bitkiler!$E$79-Topraklar!$E$46)+Ayarlar!$B$4*ABS(Bitkiler!$F$79-Topraklar!$F$46)+Ayarlar!$B$5*ABS(Bitkiler!$G$79-Topraklar!$G$46)+Ayarlar!$B$6*IF(Bitkiler!$H$79=Topraklar!$H$46,0,1))/Ayarlar!$B$7)+IF(Topraklar!$K$46=Bitkiler!$C$79,0.002,IF(Topraklar!$L$46="Evet",0.001,0)))</f>
        <v/>
      </c>
      <c r="AU80" s="16">
        <f>IF(OR(Topraklar!$J$47="Evet",AND(Topraklar!$L$47&lt;&gt;"Evet",Topraklar!$K$47&lt;&gt;Bitkiler!$C$79)),0,MAX(0,1-(Ayarlar!$B$2*ABS(Bitkiler!$D$79-Topraklar!$D$47)+Ayarlar!$B$3*ABS(Bitkiler!$E$79-Topraklar!$E$47)+Ayarlar!$B$4*ABS(Bitkiler!$F$79-Topraklar!$F$47)+Ayarlar!$B$5*ABS(Bitkiler!$G$79-Topraklar!$G$47)+Ayarlar!$B$6*IF(Bitkiler!$H$79=Topraklar!$H$47,0,1))/Ayarlar!$B$7)+IF(Topraklar!$K$47=Bitkiler!$C$79,0.002,IF(Topraklar!$L$47="Evet",0.001,0)))</f>
        <v/>
      </c>
      <c r="AV80" s="16">
        <f>IF(OR(Topraklar!$J$48="Evet",AND(Topraklar!$L$48&lt;&gt;"Evet",Topraklar!$K$48&lt;&gt;Bitkiler!$C$79)),0,MAX(0,1-(Ayarlar!$B$2*ABS(Bitkiler!$D$79-Topraklar!$D$48)+Ayarlar!$B$3*ABS(Bitkiler!$E$79-Topraklar!$E$48)+Ayarlar!$B$4*ABS(Bitkiler!$F$79-Topraklar!$F$48)+Ayarlar!$B$5*ABS(Bitkiler!$G$79-Topraklar!$G$48)+Ayarlar!$B$6*IF(Bitkiler!$H$79=Topraklar!$H$48,0,1))/Ayarlar!$B$7)+IF(Topraklar!$K$48=Bitkiler!$C$79,0.002,IF(Topraklar!$L$48="Evet",0.001,0)))</f>
        <v/>
      </c>
      <c r="AW80" s="16">
        <f>IF(OR(Topraklar!$J$49="Evet",AND(Topraklar!$L$49&lt;&gt;"Evet",Topraklar!$K$49&lt;&gt;Bitkiler!$C$79)),0,MAX(0,1-(Ayarlar!$B$2*ABS(Bitkiler!$D$79-Topraklar!$D$49)+Ayarlar!$B$3*ABS(Bitkiler!$E$79-Topraklar!$E$49)+Ayarlar!$B$4*ABS(Bitkiler!$F$79-Topraklar!$F$49)+Ayarlar!$B$5*ABS(Bitkiler!$G$79-Topraklar!$G$49)+Ayarlar!$B$6*IF(Bitkiler!$H$79=Topraklar!$H$49,0,1))/Ayarlar!$B$7)+IF(Topraklar!$K$49=Bitkiler!$C$79,0.002,IF(Topraklar!$L$49="Evet",0.001,0)))</f>
        <v/>
      </c>
      <c r="AX80" s="16">
        <f>IF(OR(Topraklar!$J$50="Evet",AND(Topraklar!$L$50&lt;&gt;"Evet",Topraklar!$K$50&lt;&gt;Bitkiler!$C$79)),0,MAX(0,1-(Ayarlar!$B$2*ABS(Bitkiler!$D$79-Topraklar!$D$50)+Ayarlar!$B$3*ABS(Bitkiler!$E$79-Topraklar!$E$50)+Ayarlar!$B$4*ABS(Bitkiler!$F$79-Topraklar!$F$50)+Ayarlar!$B$5*ABS(Bitkiler!$G$79-Topraklar!$G$50)+Ayarlar!$B$6*IF(Bitkiler!$H$79=Topraklar!$H$50,0,1))/Ayarlar!$B$7)+IF(Topraklar!$K$50=Bitkiler!$C$79,0.002,IF(Topraklar!$L$50="Evet",0.001,0)))</f>
        <v/>
      </c>
      <c r="AY80" s="16">
        <f>IF(OR(Topraklar!$J$51="Evet",AND(Topraklar!$L$51&lt;&gt;"Evet",Topraklar!$K$51&lt;&gt;Bitkiler!$C$79)),0,MAX(0,1-(Ayarlar!$B$2*ABS(Bitkiler!$D$79-Topraklar!$D$51)+Ayarlar!$B$3*ABS(Bitkiler!$E$79-Topraklar!$E$51)+Ayarlar!$B$4*ABS(Bitkiler!$F$79-Topraklar!$F$51)+Ayarlar!$B$5*ABS(Bitkiler!$G$79-Topraklar!$G$51)+Ayarlar!$B$6*IF(Bitkiler!$H$79=Topraklar!$H$51,0,1))/Ayarlar!$B$7)+IF(Topraklar!$K$51=Bitkiler!$C$79,0.002,IF(Topraklar!$L$51="Evet",0.001,0)))</f>
        <v/>
      </c>
    </row>
    <row r="81">
      <c r="A81" s="15">
        <f>Bitkiler!A80</f>
        <v/>
      </c>
      <c r="B81" s="16">
        <f>IF(OR(Topraklar!$J$2="Evet",AND(Topraklar!$L$2&lt;&gt;"Evet",Topraklar!$K$2&lt;&gt;Bitkiler!$C$80)),0,MAX(0,1-(Ayarlar!$B$2*ABS(Bitkiler!$D$80-Topraklar!$D$2)+Ayarlar!$B$3*ABS(Bitkiler!$E$80-Topraklar!$E$2)+Ayarlar!$B$4*ABS(Bitkiler!$F$80-Topraklar!$F$2)+Ayarlar!$B$5*ABS(Bitkiler!$G$80-Topraklar!$G$2)+Ayarlar!$B$6*IF(Bitkiler!$H$80=Topraklar!$H$2,0,1))/Ayarlar!$B$7)+IF(Topraklar!$K$2=Bitkiler!$C$80,0.002,IF(Topraklar!$L$2="Evet",0.001,0)))</f>
        <v/>
      </c>
      <c r="C81" s="16">
        <f>IF(OR(Topraklar!$J$3="Evet",AND(Topraklar!$L$3&lt;&gt;"Evet",Topraklar!$K$3&lt;&gt;Bitkiler!$C$80)),0,MAX(0,1-(Ayarlar!$B$2*ABS(Bitkiler!$D$80-Topraklar!$D$3)+Ayarlar!$B$3*ABS(Bitkiler!$E$80-Topraklar!$E$3)+Ayarlar!$B$4*ABS(Bitkiler!$F$80-Topraklar!$F$3)+Ayarlar!$B$5*ABS(Bitkiler!$G$80-Topraklar!$G$3)+Ayarlar!$B$6*IF(Bitkiler!$H$80=Topraklar!$H$3,0,1))/Ayarlar!$B$7)+IF(Topraklar!$K$3=Bitkiler!$C$80,0.002,IF(Topraklar!$L$3="Evet",0.001,0)))</f>
        <v/>
      </c>
      <c r="D81" s="16">
        <f>IF(OR(Topraklar!$J$4="Evet",AND(Topraklar!$L$4&lt;&gt;"Evet",Topraklar!$K$4&lt;&gt;Bitkiler!$C$80)),0,MAX(0,1-(Ayarlar!$B$2*ABS(Bitkiler!$D$80-Topraklar!$D$4)+Ayarlar!$B$3*ABS(Bitkiler!$E$80-Topraklar!$E$4)+Ayarlar!$B$4*ABS(Bitkiler!$F$80-Topraklar!$F$4)+Ayarlar!$B$5*ABS(Bitkiler!$G$80-Topraklar!$G$4)+Ayarlar!$B$6*IF(Bitkiler!$H$80=Topraklar!$H$4,0,1))/Ayarlar!$B$7)+IF(Topraklar!$K$4=Bitkiler!$C$80,0.002,IF(Topraklar!$L$4="Evet",0.001,0)))</f>
        <v/>
      </c>
      <c r="E81" s="16">
        <f>IF(OR(Topraklar!$J$5="Evet",AND(Topraklar!$L$5&lt;&gt;"Evet",Topraklar!$K$5&lt;&gt;Bitkiler!$C$80)),0,MAX(0,1-(Ayarlar!$B$2*ABS(Bitkiler!$D$80-Topraklar!$D$5)+Ayarlar!$B$3*ABS(Bitkiler!$E$80-Topraklar!$E$5)+Ayarlar!$B$4*ABS(Bitkiler!$F$80-Topraklar!$F$5)+Ayarlar!$B$5*ABS(Bitkiler!$G$80-Topraklar!$G$5)+Ayarlar!$B$6*IF(Bitkiler!$H$80=Topraklar!$H$5,0,1))/Ayarlar!$B$7)+IF(Topraklar!$K$5=Bitkiler!$C$80,0.002,IF(Topraklar!$L$5="Evet",0.001,0)))</f>
        <v/>
      </c>
      <c r="F81" s="16">
        <f>IF(OR(Topraklar!$J$6="Evet",AND(Topraklar!$L$6&lt;&gt;"Evet",Topraklar!$K$6&lt;&gt;Bitkiler!$C$80)),0,MAX(0,1-(Ayarlar!$B$2*ABS(Bitkiler!$D$80-Topraklar!$D$6)+Ayarlar!$B$3*ABS(Bitkiler!$E$80-Topraklar!$E$6)+Ayarlar!$B$4*ABS(Bitkiler!$F$80-Topraklar!$F$6)+Ayarlar!$B$5*ABS(Bitkiler!$G$80-Topraklar!$G$6)+Ayarlar!$B$6*IF(Bitkiler!$H$80=Topraklar!$H$6,0,1))/Ayarlar!$B$7)+IF(Topraklar!$K$6=Bitkiler!$C$80,0.002,IF(Topraklar!$L$6="Evet",0.001,0)))</f>
        <v/>
      </c>
      <c r="G81" s="16">
        <f>IF(OR(Topraklar!$J$7="Evet",AND(Topraklar!$L$7&lt;&gt;"Evet",Topraklar!$K$7&lt;&gt;Bitkiler!$C$80)),0,MAX(0,1-(Ayarlar!$B$2*ABS(Bitkiler!$D$80-Topraklar!$D$7)+Ayarlar!$B$3*ABS(Bitkiler!$E$80-Topraklar!$E$7)+Ayarlar!$B$4*ABS(Bitkiler!$F$80-Topraklar!$F$7)+Ayarlar!$B$5*ABS(Bitkiler!$G$80-Topraklar!$G$7)+Ayarlar!$B$6*IF(Bitkiler!$H$80=Topraklar!$H$7,0,1))/Ayarlar!$B$7)+IF(Topraklar!$K$7=Bitkiler!$C$80,0.002,IF(Topraklar!$L$7="Evet",0.001,0)))</f>
        <v/>
      </c>
      <c r="H81" s="16">
        <f>IF(OR(Topraklar!$J$8="Evet",AND(Topraklar!$L$8&lt;&gt;"Evet",Topraklar!$K$8&lt;&gt;Bitkiler!$C$80)),0,MAX(0,1-(Ayarlar!$B$2*ABS(Bitkiler!$D$80-Topraklar!$D$8)+Ayarlar!$B$3*ABS(Bitkiler!$E$80-Topraklar!$E$8)+Ayarlar!$B$4*ABS(Bitkiler!$F$80-Topraklar!$F$8)+Ayarlar!$B$5*ABS(Bitkiler!$G$80-Topraklar!$G$8)+Ayarlar!$B$6*IF(Bitkiler!$H$80=Topraklar!$H$8,0,1))/Ayarlar!$B$7)+IF(Topraklar!$K$8=Bitkiler!$C$80,0.002,IF(Topraklar!$L$8="Evet",0.001,0)))</f>
        <v/>
      </c>
      <c r="I81" s="16">
        <f>IF(OR(Topraklar!$J$9="Evet",AND(Topraklar!$L$9&lt;&gt;"Evet",Topraklar!$K$9&lt;&gt;Bitkiler!$C$80)),0,MAX(0,1-(Ayarlar!$B$2*ABS(Bitkiler!$D$80-Topraklar!$D$9)+Ayarlar!$B$3*ABS(Bitkiler!$E$80-Topraklar!$E$9)+Ayarlar!$B$4*ABS(Bitkiler!$F$80-Topraklar!$F$9)+Ayarlar!$B$5*ABS(Bitkiler!$G$80-Topraklar!$G$9)+Ayarlar!$B$6*IF(Bitkiler!$H$80=Topraklar!$H$9,0,1))/Ayarlar!$B$7)+IF(Topraklar!$K$9=Bitkiler!$C$80,0.002,IF(Topraklar!$L$9="Evet",0.001,0)))</f>
        <v/>
      </c>
      <c r="J81" s="16">
        <f>IF(OR(Topraklar!$J$10="Evet",AND(Topraklar!$L$10&lt;&gt;"Evet",Topraklar!$K$10&lt;&gt;Bitkiler!$C$80)),0,MAX(0,1-(Ayarlar!$B$2*ABS(Bitkiler!$D$80-Topraklar!$D$10)+Ayarlar!$B$3*ABS(Bitkiler!$E$80-Topraklar!$E$10)+Ayarlar!$B$4*ABS(Bitkiler!$F$80-Topraklar!$F$10)+Ayarlar!$B$5*ABS(Bitkiler!$G$80-Topraklar!$G$10)+Ayarlar!$B$6*IF(Bitkiler!$H$80=Topraklar!$H$10,0,1))/Ayarlar!$B$7)+IF(Topraklar!$K$10=Bitkiler!$C$80,0.002,IF(Topraklar!$L$10="Evet",0.001,0)))</f>
        <v/>
      </c>
      <c r="K81" s="16">
        <f>IF(OR(Topraklar!$J$11="Evet",AND(Topraklar!$L$11&lt;&gt;"Evet",Topraklar!$K$11&lt;&gt;Bitkiler!$C$80)),0,MAX(0,1-(Ayarlar!$B$2*ABS(Bitkiler!$D$80-Topraklar!$D$11)+Ayarlar!$B$3*ABS(Bitkiler!$E$80-Topraklar!$E$11)+Ayarlar!$B$4*ABS(Bitkiler!$F$80-Topraklar!$F$11)+Ayarlar!$B$5*ABS(Bitkiler!$G$80-Topraklar!$G$11)+Ayarlar!$B$6*IF(Bitkiler!$H$80=Topraklar!$H$11,0,1))/Ayarlar!$B$7)+IF(Topraklar!$K$11=Bitkiler!$C$80,0.002,IF(Topraklar!$L$11="Evet",0.001,0)))</f>
        <v/>
      </c>
      <c r="L81" s="16">
        <f>IF(OR(Topraklar!$J$12="Evet",AND(Topraklar!$L$12&lt;&gt;"Evet",Topraklar!$K$12&lt;&gt;Bitkiler!$C$80)),0,MAX(0,1-(Ayarlar!$B$2*ABS(Bitkiler!$D$80-Topraklar!$D$12)+Ayarlar!$B$3*ABS(Bitkiler!$E$80-Topraklar!$E$12)+Ayarlar!$B$4*ABS(Bitkiler!$F$80-Topraklar!$F$12)+Ayarlar!$B$5*ABS(Bitkiler!$G$80-Topraklar!$G$12)+Ayarlar!$B$6*IF(Bitkiler!$H$80=Topraklar!$H$12,0,1))/Ayarlar!$B$7)+IF(Topraklar!$K$12=Bitkiler!$C$80,0.002,IF(Topraklar!$L$12="Evet",0.001,0)))</f>
        <v/>
      </c>
      <c r="M81" s="16">
        <f>IF(OR(Topraklar!$J$13="Evet",AND(Topraklar!$L$13&lt;&gt;"Evet",Topraklar!$K$13&lt;&gt;Bitkiler!$C$80)),0,MAX(0,1-(Ayarlar!$B$2*ABS(Bitkiler!$D$80-Topraklar!$D$13)+Ayarlar!$B$3*ABS(Bitkiler!$E$80-Topraklar!$E$13)+Ayarlar!$B$4*ABS(Bitkiler!$F$80-Topraklar!$F$13)+Ayarlar!$B$5*ABS(Bitkiler!$G$80-Topraklar!$G$13)+Ayarlar!$B$6*IF(Bitkiler!$H$80=Topraklar!$H$13,0,1))/Ayarlar!$B$7)+IF(Topraklar!$K$13=Bitkiler!$C$80,0.002,IF(Topraklar!$L$13="Evet",0.001,0)))</f>
        <v/>
      </c>
      <c r="N81" s="16">
        <f>IF(OR(Topraklar!$J$14="Evet",AND(Topraklar!$L$14&lt;&gt;"Evet",Topraklar!$K$14&lt;&gt;Bitkiler!$C$80)),0,MAX(0,1-(Ayarlar!$B$2*ABS(Bitkiler!$D$80-Topraklar!$D$14)+Ayarlar!$B$3*ABS(Bitkiler!$E$80-Topraklar!$E$14)+Ayarlar!$B$4*ABS(Bitkiler!$F$80-Topraklar!$F$14)+Ayarlar!$B$5*ABS(Bitkiler!$G$80-Topraklar!$G$14)+Ayarlar!$B$6*IF(Bitkiler!$H$80=Topraklar!$H$14,0,1))/Ayarlar!$B$7)+IF(Topraklar!$K$14=Bitkiler!$C$80,0.002,IF(Topraklar!$L$14="Evet",0.001,0)))</f>
        <v/>
      </c>
      <c r="O81" s="16">
        <f>IF(OR(Topraklar!$J$15="Evet",AND(Topraklar!$L$15&lt;&gt;"Evet",Topraklar!$K$15&lt;&gt;Bitkiler!$C$80)),0,MAX(0,1-(Ayarlar!$B$2*ABS(Bitkiler!$D$80-Topraklar!$D$15)+Ayarlar!$B$3*ABS(Bitkiler!$E$80-Topraklar!$E$15)+Ayarlar!$B$4*ABS(Bitkiler!$F$80-Topraklar!$F$15)+Ayarlar!$B$5*ABS(Bitkiler!$G$80-Topraklar!$G$15)+Ayarlar!$B$6*IF(Bitkiler!$H$80=Topraklar!$H$15,0,1))/Ayarlar!$B$7)+IF(Topraklar!$K$15=Bitkiler!$C$80,0.002,IF(Topraklar!$L$15="Evet",0.001,0)))</f>
        <v/>
      </c>
      <c r="P81" s="16">
        <f>IF(OR(Topraklar!$J$16="Evet",AND(Topraklar!$L$16&lt;&gt;"Evet",Topraklar!$K$16&lt;&gt;Bitkiler!$C$80)),0,MAX(0,1-(Ayarlar!$B$2*ABS(Bitkiler!$D$80-Topraklar!$D$16)+Ayarlar!$B$3*ABS(Bitkiler!$E$80-Topraklar!$E$16)+Ayarlar!$B$4*ABS(Bitkiler!$F$80-Topraklar!$F$16)+Ayarlar!$B$5*ABS(Bitkiler!$G$80-Topraklar!$G$16)+Ayarlar!$B$6*IF(Bitkiler!$H$80=Topraklar!$H$16,0,1))/Ayarlar!$B$7)+IF(Topraklar!$K$16=Bitkiler!$C$80,0.002,IF(Topraklar!$L$16="Evet",0.001,0)))</f>
        <v/>
      </c>
      <c r="Q81" s="16">
        <f>IF(OR(Topraklar!$J$17="Evet",AND(Topraklar!$L$17&lt;&gt;"Evet",Topraklar!$K$17&lt;&gt;Bitkiler!$C$80)),0,MAX(0,1-(Ayarlar!$B$2*ABS(Bitkiler!$D$80-Topraklar!$D$17)+Ayarlar!$B$3*ABS(Bitkiler!$E$80-Topraklar!$E$17)+Ayarlar!$B$4*ABS(Bitkiler!$F$80-Topraklar!$F$17)+Ayarlar!$B$5*ABS(Bitkiler!$G$80-Topraklar!$G$17)+Ayarlar!$B$6*IF(Bitkiler!$H$80=Topraklar!$H$17,0,1))/Ayarlar!$B$7)+IF(Topraklar!$K$17=Bitkiler!$C$80,0.002,IF(Topraklar!$L$17="Evet",0.001,0)))</f>
        <v/>
      </c>
      <c r="R81" s="16">
        <f>IF(OR(Topraklar!$J$18="Evet",AND(Topraklar!$L$18&lt;&gt;"Evet",Topraklar!$K$18&lt;&gt;Bitkiler!$C$80)),0,MAX(0,1-(Ayarlar!$B$2*ABS(Bitkiler!$D$80-Topraklar!$D$18)+Ayarlar!$B$3*ABS(Bitkiler!$E$80-Topraklar!$E$18)+Ayarlar!$B$4*ABS(Bitkiler!$F$80-Topraklar!$F$18)+Ayarlar!$B$5*ABS(Bitkiler!$G$80-Topraklar!$G$18)+Ayarlar!$B$6*IF(Bitkiler!$H$80=Topraklar!$H$18,0,1))/Ayarlar!$B$7)+IF(Topraklar!$K$18=Bitkiler!$C$80,0.002,IF(Topraklar!$L$18="Evet",0.001,0)))</f>
        <v/>
      </c>
      <c r="S81" s="16">
        <f>IF(OR(Topraklar!$J$19="Evet",AND(Topraklar!$L$19&lt;&gt;"Evet",Topraklar!$K$19&lt;&gt;Bitkiler!$C$80)),0,MAX(0,1-(Ayarlar!$B$2*ABS(Bitkiler!$D$80-Topraklar!$D$19)+Ayarlar!$B$3*ABS(Bitkiler!$E$80-Topraklar!$E$19)+Ayarlar!$B$4*ABS(Bitkiler!$F$80-Topraklar!$F$19)+Ayarlar!$B$5*ABS(Bitkiler!$G$80-Topraklar!$G$19)+Ayarlar!$B$6*IF(Bitkiler!$H$80=Topraklar!$H$19,0,1))/Ayarlar!$B$7)+IF(Topraklar!$K$19=Bitkiler!$C$80,0.002,IF(Topraklar!$L$19="Evet",0.001,0)))</f>
        <v/>
      </c>
      <c r="T81" s="16">
        <f>IF(OR(Topraklar!$J$20="Evet",AND(Topraklar!$L$20&lt;&gt;"Evet",Topraklar!$K$20&lt;&gt;Bitkiler!$C$80)),0,MAX(0,1-(Ayarlar!$B$2*ABS(Bitkiler!$D$80-Topraklar!$D$20)+Ayarlar!$B$3*ABS(Bitkiler!$E$80-Topraklar!$E$20)+Ayarlar!$B$4*ABS(Bitkiler!$F$80-Topraklar!$F$20)+Ayarlar!$B$5*ABS(Bitkiler!$G$80-Topraklar!$G$20)+Ayarlar!$B$6*IF(Bitkiler!$H$80=Topraklar!$H$20,0,1))/Ayarlar!$B$7)+IF(Topraklar!$K$20=Bitkiler!$C$80,0.002,IF(Topraklar!$L$20="Evet",0.001,0)))</f>
        <v/>
      </c>
      <c r="U81" s="16">
        <f>IF(OR(Topraklar!$J$21="Evet",AND(Topraklar!$L$21&lt;&gt;"Evet",Topraklar!$K$21&lt;&gt;Bitkiler!$C$80)),0,MAX(0,1-(Ayarlar!$B$2*ABS(Bitkiler!$D$80-Topraklar!$D$21)+Ayarlar!$B$3*ABS(Bitkiler!$E$80-Topraklar!$E$21)+Ayarlar!$B$4*ABS(Bitkiler!$F$80-Topraklar!$F$21)+Ayarlar!$B$5*ABS(Bitkiler!$G$80-Topraklar!$G$21)+Ayarlar!$B$6*IF(Bitkiler!$H$80=Topraklar!$H$21,0,1))/Ayarlar!$B$7)+IF(Topraklar!$K$21=Bitkiler!$C$80,0.002,IF(Topraklar!$L$21="Evet",0.001,0)))</f>
        <v/>
      </c>
      <c r="V81" s="16">
        <f>IF(OR(Topraklar!$J$22="Evet",AND(Topraklar!$L$22&lt;&gt;"Evet",Topraklar!$K$22&lt;&gt;Bitkiler!$C$80)),0,MAX(0,1-(Ayarlar!$B$2*ABS(Bitkiler!$D$80-Topraklar!$D$22)+Ayarlar!$B$3*ABS(Bitkiler!$E$80-Topraklar!$E$22)+Ayarlar!$B$4*ABS(Bitkiler!$F$80-Topraklar!$F$22)+Ayarlar!$B$5*ABS(Bitkiler!$G$80-Topraklar!$G$22)+Ayarlar!$B$6*IF(Bitkiler!$H$80=Topraklar!$H$22,0,1))/Ayarlar!$B$7)+IF(Topraklar!$K$22=Bitkiler!$C$80,0.002,IF(Topraklar!$L$22="Evet",0.001,0)))</f>
        <v/>
      </c>
      <c r="W81" s="16">
        <f>IF(OR(Topraklar!$J$23="Evet",AND(Topraklar!$L$23&lt;&gt;"Evet",Topraklar!$K$23&lt;&gt;Bitkiler!$C$80)),0,MAX(0,1-(Ayarlar!$B$2*ABS(Bitkiler!$D$80-Topraklar!$D$23)+Ayarlar!$B$3*ABS(Bitkiler!$E$80-Topraklar!$E$23)+Ayarlar!$B$4*ABS(Bitkiler!$F$80-Topraklar!$F$23)+Ayarlar!$B$5*ABS(Bitkiler!$G$80-Topraklar!$G$23)+Ayarlar!$B$6*IF(Bitkiler!$H$80=Topraklar!$H$23,0,1))/Ayarlar!$B$7)+IF(Topraklar!$K$23=Bitkiler!$C$80,0.002,IF(Topraklar!$L$23="Evet",0.001,0)))</f>
        <v/>
      </c>
      <c r="X81" s="16">
        <f>IF(OR(Topraklar!$J$24="Evet",AND(Topraklar!$L$24&lt;&gt;"Evet",Topraklar!$K$24&lt;&gt;Bitkiler!$C$80)),0,MAX(0,1-(Ayarlar!$B$2*ABS(Bitkiler!$D$80-Topraklar!$D$24)+Ayarlar!$B$3*ABS(Bitkiler!$E$80-Topraklar!$E$24)+Ayarlar!$B$4*ABS(Bitkiler!$F$80-Topraklar!$F$24)+Ayarlar!$B$5*ABS(Bitkiler!$G$80-Topraklar!$G$24)+Ayarlar!$B$6*IF(Bitkiler!$H$80=Topraklar!$H$24,0,1))/Ayarlar!$B$7)+IF(Topraklar!$K$24=Bitkiler!$C$80,0.002,IF(Topraklar!$L$24="Evet",0.001,0)))</f>
        <v/>
      </c>
      <c r="Y81" s="16">
        <f>IF(OR(Topraklar!$J$25="Evet",AND(Topraklar!$L$25&lt;&gt;"Evet",Topraklar!$K$25&lt;&gt;Bitkiler!$C$80)),0,MAX(0,1-(Ayarlar!$B$2*ABS(Bitkiler!$D$80-Topraklar!$D$25)+Ayarlar!$B$3*ABS(Bitkiler!$E$80-Topraklar!$E$25)+Ayarlar!$B$4*ABS(Bitkiler!$F$80-Topraklar!$F$25)+Ayarlar!$B$5*ABS(Bitkiler!$G$80-Topraklar!$G$25)+Ayarlar!$B$6*IF(Bitkiler!$H$80=Topraklar!$H$25,0,1))/Ayarlar!$B$7)+IF(Topraklar!$K$25=Bitkiler!$C$80,0.002,IF(Topraklar!$L$25="Evet",0.001,0)))</f>
        <v/>
      </c>
      <c r="Z81" s="16">
        <f>IF(OR(Topraklar!$J$26="Evet",AND(Topraklar!$L$26&lt;&gt;"Evet",Topraklar!$K$26&lt;&gt;Bitkiler!$C$80)),0,MAX(0,1-(Ayarlar!$B$2*ABS(Bitkiler!$D$80-Topraklar!$D$26)+Ayarlar!$B$3*ABS(Bitkiler!$E$80-Topraklar!$E$26)+Ayarlar!$B$4*ABS(Bitkiler!$F$80-Topraklar!$F$26)+Ayarlar!$B$5*ABS(Bitkiler!$G$80-Topraklar!$G$26)+Ayarlar!$B$6*IF(Bitkiler!$H$80=Topraklar!$H$26,0,1))/Ayarlar!$B$7)+IF(Topraklar!$K$26=Bitkiler!$C$80,0.002,IF(Topraklar!$L$26="Evet",0.001,0)))</f>
        <v/>
      </c>
      <c r="AA81" s="16">
        <f>IF(OR(Topraklar!$J$27="Evet",AND(Topraklar!$L$27&lt;&gt;"Evet",Topraklar!$K$27&lt;&gt;Bitkiler!$C$80)),0,MAX(0,1-(Ayarlar!$B$2*ABS(Bitkiler!$D$80-Topraklar!$D$27)+Ayarlar!$B$3*ABS(Bitkiler!$E$80-Topraklar!$E$27)+Ayarlar!$B$4*ABS(Bitkiler!$F$80-Topraklar!$F$27)+Ayarlar!$B$5*ABS(Bitkiler!$G$80-Topraklar!$G$27)+Ayarlar!$B$6*IF(Bitkiler!$H$80=Topraklar!$H$27,0,1))/Ayarlar!$B$7)+IF(Topraklar!$K$27=Bitkiler!$C$80,0.002,IF(Topraklar!$L$27="Evet",0.001,0)))</f>
        <v/>
      </c>
      <c r="AB81" s="16">
        <f>IF(OR(Topraklar!$J$28="Evet",AND(Topraklar!$L$28&lt;&gt;"Evet",Topraklar!$K$28&lt;&gt;Bitkiler!$C$80)),0,MAX(0,1-(Ayarlar!$B$2*ABS(Bitkiler!$D$80-Topraklar!$D$28)+Ayarlar!$B$3*ABS(Bitkiler!$E$80-Topraklar!$E$28)+Ayarlar!$B$4*ABS(Bitkiler!$F$80-Topraklar!$F$28)+Ayarlar!$B$5*ABS(Bitkiler!$G$80-Topraklar!$G$28)+Ayarlar!$B$6*IF(Bitkiler!$H$80=Topraklar!$H$28,0,1))/Ayarlar!$B$7)+IF(Topraklar!$K$28=Bitkiler!$C$80,0.002,IF(Topraklar!$L$28="Evet",0.001,0)))</f>
        <v/>
      </c>
      <c r="AC81" s="16">
        <f>IF(OR(Topraklar!$J$29="Evet",AND(Topraklar!$L$29&lt;&gt;"Evet",Topraklar!$K$29&lt;&gt;Bitkiler!$C$80)),0,MAX(0,1-(Ayarlar!$B$2*ABS(Bitkiler!$D$80-Topraklar!$D$29)+Ayarlar!$B$3*ABS(Bitkiler!$E$80-Topraklar!$E$29)+Ayarlar!$B$4*ABS(Bitkiler!$F$80-Topraklar!$F$29)+Ayarlar!$B$5*ABS(Bitkiler!$G$80-Topraklar!$G$29)+Ayarlar!$B$6*IF(Bitkiler!$H$80=Topraklar!$H$29,0,1))/Ayarlar!$B$7)+IF(Topraklar!$K$29=Bitkiler!$C$80,0.002,IF(Topraklar!$L$29="Evet",0.001,0)))</f>
        <v/>
      </c>
      <c r="AD81" s="16">
        <f>IF(OR(Topraklar!$J$30="Evet",AND(Topraklar!$L$30&lt;&gt;"Evet",Topraklar!$K$30&lt;&gt;Bitkiler!$C$80)),0,MAX(0,1-(Ayarlar!$B$2*ABS(Bitkiler!$D$80-Topraklar!$D$30)+Ayarlar!$B$3*ABS(Bitkiler!$E$80-Topraklar!$E$30)+Ayarlar!$B$4*ABS(Bitkiler!$F$80-Topraklar!$F$30)+Ayarlar!$B$5*ABS(Bitkiler!$G$80-Topraklar!$G$30)+Ayarlar!$B$6*IF(Bitkiler!$H$80=Topraklar!$H$30,0,1))/Ayarlar!$B$7)+IF(Topraklar!$K$30=Bitkiler!$C$80,0.002,IF(Topraklar!$L$30="Evet",0.001,0)))</f>
        <v/>
      </c>
      <c r="AE81" s="16">
        <f>IF(OR(Topraklar!$J$31="Evet",AND(Topraklar!$L$31&lt;&gt;"Evet",Topraklar!$K$31&lt;&gt;Bitkiler!$C$80)),0,MAX(0,1-(Ayarlar!$B$2*ABS(Bitkiler!$D$80-Topraklar!$D$31)+Ayarlar!$B$3*ABS(Bitkiler!$E$80-Topraklar!$E$31)+Ayarlar!$B$4*ABS(Bitkiler!$F$80-Topraklar!$F$31)+Ayarlar!$B$5*ABS(Bitkiler!$G$80-Topraklar!$G$31)+Ayarlar!$B$6*IF(Bitkiler!$H$80=Topraklar!$H$31,0,1))/Ayarlar!$B$7)+IF(Topraklar!$K$31=Bitkiler!$C$80,0.002,IF(Topraklar!$L$31="Evet",0.001,0)))</f>
        <v/>
      </c>
      <c r="AF81" s="16">
        <f>IF(OR(Topraklar!$J$32="Evet",AND(Topraklar!$L$32&lt;&gt;"Evet",Topraklar!$K$32&lt;&gt;Bitkiler!$C$80)),0,MAX(0,1-(Ayarlar!$B$2*ABS(Bitkiler!$D$80-Topraklar!$D$32)+Ayarlar!$B$3*ABS(Bitkiler!$E$80-Topraklar!$E$32)+Ayarlar!$B$4*ABS(Bitkiler!$F$80-Topraklar!$F$32)+Ayarlar!$B$5*ABS(Bitkiler!$G$80-Topraklar!$G$32)+Ayarlar!$B$6*IF(Bitkiler!$H$80=Topraklar!$H$32,0,1))/Ayarlar!$B$7)+IF(Topraklar!$K$32=Bitkiler!$C$80,0.002,IF(Topraklar!$L$32="Evet",0.001,0)))</f>
        <v/>
      </c>
      <c r="AG81" s="16">
        <f>IF(OR(Topraklar!$J$33="Evet",AND(Topraklar!$L$33&lt;&gt;"Evet",Topraklar!$K$33&lt;&gt;Bitkiler!$C$80)),0,MAX(0,1-(Ayarlar!$B$2*ABS(Bitkiler!$D$80-Topraklar!$D$33)+Ayarlar!$B$3*ABS(Bitkiler!$E$80-Topraklar!$E$33)+Ayarlar!$B$4*ABS(Bitkiler!$F$80-Topraklar!$F$33)+Ayarlar!$B$5*ABS(Bitkiler!$G$80-Topraklar!$G$33)+Ayarlar!$B$6*IF(Bitkiler!$H$80=Topraklar!$H$33,0,1))/Ayarlar!$B$7)+IF(Topraklar!$K$33=Bitkiler!$C$80,0.002,IF(Topraklar!$L$33="Evet",0.001,0)))</f>
        <v/>
      </c>
      <c r="AH81" s="16">
        <f>IF(OR(Topraklar!$J$34="Evet",AND(Topraklar!$L$34&lt;&gt;"Evet",Topraklar!$K$34&lt;&gt;Bitkiler!$C$80)),0,MAX(0,1-(Ayarlar!$B$2*ABS(Bitkiler!$D$80-Topraklar!$D$34)+Ayarlar!$B$3*ABS(Bitkiler!$E$80-Topraklar!$E$34)+Ayarlar!$B$4*ABS(Bitkiler!$F$80-Topraklar!$F$34)+Ayarlar!$B$5*ABS(Bitkiler!$G$80-Topraklar!$G$34)+Ayarlar!$B$6*IF(Bitkiler!$H$80=Topraklar!$H$34,0,1))/Ayarlar!$B$7)+IF(Topraklar!$K$34=Bitkiler!$C$80,0.002,IF(Topraklar!$L$34="Evet",0.001,0)))</f>
        <v/>
      </c>
      <c r="AI81" s="16">
        <f>IF(OR(Topraklar!$J$35="Evet",AND(Topraklar!$L$35&lt;&gt;"Evet",Topraklar!$K$35&lt;&gt;Bitkiler!$C$80)),0,MAX(0,1-(Ayarlar!$B$2*ABS(Bitkiler!$D$80-Topraklar!$D$35)+Ayarlar!$B$3*ABS(Bitkiler!$E$80-Topraklar!$E$35)+Ayarlar!$B$4*ABS(Bitkiler!$F$80-Topraklar!$F$35)+Ayarlar!$B$5*ABS(Bitkiler!$G$80-Topraklar!$G$35)+Ayarlar!$B$6*IF(Bitkiler!$H$80=Topraklar!$H$35,0,1))/Ayarlar!$B$7)+IF(Topraklar!$K$35=Bitkiler!$C$80,0.002,IF(Topraklar!$L$35="Evet",0.001,0)))</f>
        <v/>
      </c>
      <c r="AJ81" s="16">
        <f>IF(OR(Topraklar!$J$36="Evet",AND(Topraklar!$L$36&lt;&gt;"Evet",Topraklar!$K$36&lt;&gt;Bitkiler!$C$80)),0,MAX(0,1-(Ayarlar!$B$2*ABS(Bitkiler!$D$80-Topraklar!$D$36)+Ayarlar!$B$3*ABS(Bitkiler!$E$80-Topraklar!$E$36)+Ayarlar!$B$4*ABS(Bitkiler!$F$80-Topraklar!$F$36)+Ayarlar!$B$5*ABS(Bitkiler!$G$80-Topraklar!$G$36)+Ayarlar!$B$6*IF(Bitkiler!$H$80=Topraklar!$H$36,0,1))/Ayarlar!$B$7)+IF(Topraklar!$K$36=Bitkiler!$C$80,0.002,IF(Topraklar!$L$36="Evet",0.001,0)))</f>
        <v/>
      </c>
      <c r="AK81" s="16">
        <f>IF(OR(Topraklar!$J$37="Evet",AND(Topraklar!$L$37&lt;&gt;"Evet",Topraklar!$K$37&lt;&gt;Bitkiler!$C$80)),0,MAX(0,1-(Ayarlar!$B$2*ABS(Bitkiler!$D$80-Topraklar!$D$37)+Ayarlar!$B$3*ABS(Bitkiler!$E$80-Topraklar!$E$37)+Ayarlar!$B$4*ABS(Bitkiler!$F$80-Topraklar!$F$37)+Ayarlar!$B$5*ABS(Bitkiler!$G$80-Topraklar!$G$37)+Ayarlar!$B$6*IF(Bitkiler!$H$80=Topraklar!$H$37,0,1))/Ayarlar!$B$7)+IF(Topraklar!$K$37=Bitkiler!$C$80,0.002,IF(Topraklar!$L$37="Evet",0.001,0)))</f>
        <v/>
      </c>
      <c r="AL81" s="16">
        <f>IF(OR(Topraklar!$J$38="Evet",AND(Topraklar!$L$38&lt;&gt;"Evet",Topraklar!$K$38&lt;&gt;Bitkiler!$C$80)),0,MAX(0,1-(Ayarlar!$B$2*ABS(Bitkiler!$D$80-Topraklar!$D$38)+Ayarlar!$B$3*ABS(Bitkiler!$E$80-Topraklar!$E$38)+Ayarlar!$B$4*ABS(Bitkiler!$F$80-Topraklar!$F$38)+Ayarlar!$B$5*ABS(Bitkiler!$G$80-Topraklar!$G$38)+Ayarlar!$B$6*IF(Bitkiler!$H$80=Topraklar!$H$38,0,1))/Ayarlar!$B$7)+IF(Topraklar!$K$38=Bitkiler!$C$80,0.002,IF(Topraklar!$L$38="Evet",0.001,0)))</f>
        <v/>
      </c>
      <c r="AM81" s="16">
        <f>IF(OR(Topraklar!$J$39="Evet",AND(Topraklar!$L$39&lt;&gt;"Evet",Topraklar!$K$39&lt;&gt;Bitkiler!$C$80)),0,MAX(0,1-(Ayarlar!$B$2*ABS(Bitkiler!$D$80-Topraklar!$D$39)+Ayarlar!$B$3*ABS(Bitkiler!$E$80-Topraklar!$E$39)+Ayarlar!$B$4*ABS(Bitkiler!$F$80-Topraklar!$F$39)+Ayarlar!$B$5*ABS(Bitkiler!$G$80-Topraklar!$G$39)+Ayarlar!$B$6*IF(Bitkiler!$H$80=Topraklar!$H$39,0,1))/Ayarlar!$B$7)+IF(Topraklar!$K$39=Bitkiler!$C$80,0.002,IF(Topraklar!$L$39="Evet",0.001,0)))</f>
        <v/>
      </c>
      <c r="AN81" s="16">
        <f>IF(OR(Topraklar!$J$40="Evet",AND(Topraklar!$L$40&lt;&gt;"Evet",Topraklar!$K$40&lt;&gt;Bitkiler!$C$80)),0,MAX(0,1-(Ayarlar!$B$2*ABS(Bitkiler!$D$80-Topraklar!$D$40)+Ayarlar!$B$3*ABS(Bitkiler!$E$80-Topraklar!$E$40)+Ayarlar!$B$4*ABS(Bitkiler!$F$80-Topraklar!$F$40)+Ayarlar!$B$5*ABS(Bitkiler!$G$80-Topraklar!$G$40)+Ayarlar!$B$6*IF(Bitkiler!$H$80=Topraklar!$H$40,0,1))/Ayarlar!$B$7)+IF(Topraklar!$K$40=Bitkiler!$C$80,0.002,IF(Topraklar!$L$40="Evet",0.001,0)))</f>
        <v/>
      </c>
      <c r="AO81" s="16">
        <f>IF(OR(Topraklar!$J$41="Evet",AND(Topraklar!$L$41&lt;&gt;"Evet",Topraklar!$K$41&lt;&gt;Bitkiler!$C$80)),0,MAX(0,1-(Ayarlar!$B$2*ABS(Bitkiler!$D$80-Topraklar!$D$41)+Ayarlar!$B$3*ABS(Bitkiler!$E$80-Topraklar!$E$41)+Ayarlar!$B$4*ABS(Bitkiler!$F$80-Topraklar!$F$41)+Ayarlar!$B$5*ABS(Bitkiler!$G$80-Topraklar!$G$41)+Ayarlar!$B$6*IF(Bitkiler!$H$80=Topraklar!$H$41,0,1))/Ayarlar!$B$7)+IF(Topraklar!$K$41=Bitkiler!$C$80,0.002,IF(Topraklar!$L$41="Evet",0.001,0)))</f>
        <v/>
      </c>
      <c r="AP81" s="16">
        <f>IF(OR(Topraklar!$J$42="Evet",AND(Topraklar!$L$42&lt;&gt;"Evet",Topraklar!$K$42&lt;&gt;Bitkiler!$C$80)),0,MAX(0,1-(Ayarlar!$B$2*ABS(Bitkiler!$D$80-Topraklar!$D$42)+Ayarlar!$B$3*ABS(Bitkiler!$E$80-Topraklar!$E$42)+Ayarlar!$B$4*ABS(Bitkiler!$F$80-Topraklar!$F$42)+Ayarlar!$B$5*ABS(Bitkiler!$G$80-Topraklar!$G$42)+Ayarlar!$B$6*IF(Bitkiler!$H$80=Topraklar!$H$42,0,1))/Ayarlar!$B$7)+IF(Topraklar!$K$42=Bitkiler!$C$80,0.002,IF(Topraklar!$L$42="Evet",0.001,0)))</f>
        <v/>
      </c>
      <c r="AQ81" s="16">
        <f>IF(OR(Topraklar!$J$43="Evet",AND(Topraklar!$L$43&lt;&gt;"Evet",Topraklar!$K$43&lt;&gt;Bitkiler!$C$80)),0,MAX(0,1-(Ayarlar!$B$2*ABS(Bitkiler!$D$80-Topraklar!$D$43)+Ayarlar!$B$3*ABS(Bitkiler!$E$80-Topraklar!$E$43)+Ayarlar!$B$4*ABS(Bitkiler!$F$80-Topraklar!$F$43)+Ayarlar!$B$5*ABS(Bitkiler!$G$80-Topraklar!$G$43)+Ayarlar!$B$6*IF(Bitkiler!$H$80=Topraklar!$H$43,0,1))/Ayarlar!$B$7)+IF(Topraklar!$K$43=Bitkiler!$C$80,0.002,IF(Topraklar!$L$43="Evet",0.001,0)))</f>
        <v/>
      </c>
      <c r="AR81" s="16">
        <f>IF(OR(Topraklar!$J$44="Evet",AND(Topraklar!$L$44&lt;&gt;"Evet",Topraklar!$K$44&lt;&gt;Bitkiler!$C$80)),0,MAX(0,1-(Ayarlar!$B$2*ABS(Bitkiler!$D$80-Topraklar!$D$44)+Ayarlar!$B$3*ABS(Bitkiler!$E$80-Topraklar!$E$44)+Ayarlar!$B$4*ABS(Bitkiler!$F$80-Topraklar!$F$44)+Ayarlar!$B$5*ABS(Bitkiler!$G$80-Topraklar!$G$44)+Ayarlar!$B$6*IF(Bitkiler!$H$80=Topraklar!$H$44,0,1))/Ayarlar!$B$7)+IF(Topraklar!$K$44=Bitkiler!$C$80,0.002,IF(Topraklar!$L$44="Evet",0.001,0)))</f>
        <v/>
      </c>
      <c r="AS81" s="16">
        <f>IF(OR(Topraklar!$J$45="Evet",AND(Topraklar!$L$45&lt;&gt;"Evet",Topraklar!$K$45&lt;&gt;Bitkiler!$C$80)),0,MAX(0,1-(Ayarlar!$B$2*ABS(Bitkiler!$D$80-Topraklar!$D$45)+Ayarlar!$B$3*ABS(Bitkiler!$E$80-Topraklar!$E$45)+Ayarlar!$B$4*ABS(Bitkiler!$F$80-Topraklar!$F$45)+Ayarlar!$B$5*ABS(Bitkiler!$G$80-Topraklar!$G$45)+Ayarlar!$B$6*IF(Bitkiler!$H$80=Topraklar!$H$45,0,1))/Ayarlar!$B$7)+IF(Topraklar!$K$45=Bitkiler!$C$80,0.002,IF(Topraklar!$L$45="Evet",0.001,0)))</f>
        <v/>
      </c>
      <c r="AT81" s="16">
        <f>IF(OR(Topraklar!$J$46="Evet",AND(Topraklar!$L$46&lt;&gt;"Evet",Topraklar!$K$46&lt;&gt;Bitkiler!$C$80)),0,MAX(0,1-(Ayarlar!$B$2*ABS(Bitkiler!$D$80-Topraklar!$D$46)+Ayarlar!$B$3*ABS(Bitkiler!$E$80-Topraklar!$E$46)+Ayarlar!$B$4*ABS(Bitkiler!$F$80-Topraklar!$F$46)+Ayarlar!$B$5*ABS(Bitkiler!$G$80-Topraklar!$G$46)+Ayarlar!$B$6*IF(Bitkiler!$H$80=Topraklar!$H$46,0,1))/Ayarlar!$B$7)+IF(Topraklar!$K$46=Bitkiler!$C$80,0.002,IF(Topraklar!$L$46="Evet",0.001,0)))</f>
        <v/>
      </c>
      <c r="AU81" s="16">
        <f>IF(OR(Topraklar!$J$47="Evet",AND(Topraklar!$L$47&lt;&gt;"Evet",Topraklar!$K$47&lt;&gt;Bitkiler!$C$80)),0,MAX(0,1-(Ayarlar!$B$2*ABS(Bitkiler!$D$80-Topraklar!$D$47)+Ayarlar!$B$3*ABS(Bitkiler!$E$80-Topraklar!$E$47)+Ayarlar!$B$4*ABS(Bitkiler!$F$80-Topraklar!$F$47)+Ayarlar!$B$5*ABS(Bitkiler!$G$80-Topraklar!$G$47)+Ayarlar!$B$6*IF(Bitkiler!$H$80=Topraklar!$H$47,0,1))/Ayarlar!$B$7)+IF(Topraklar!$K$47=Bitkiler!$C$80,0.002,IF(Topraklar!$L$47="Evet",0.001,0)))</f>
        <v/>
      </c>
      <c r="AV81" s="16">
        <f>IF(OR(Topraklar!$J$48="Evet",AND(Topraklar!$L$48&lt;&gt;"Evet",Topraklar!$K$48&lt;&gt;Bitkiler!$C$80)),0,MAX(0,1-(Ayarlar!$B$2*ABS(Bitkiler!$D$80-Topraklar!$D$48)+Ayarlar!$B$3*ABS(Bitkiler!$E$80-Topraklar!$E$48)+Ayarlar!$B$4*ABS(Bitkiler!$F$80-Topraklar!$F$48)+Ayarlar!$B$5*ABS(Bitkiler!$G$80-Topraklar!$G$48)+Ayarlar!$B$6*IF(Bitkiler!$H$80=Topraklar!$H$48,0,1))/Ayarlar!$B$7)+IF(Topraklar!$K$48=Bitkiler!$C$80,0.002,IF(Topraklar!$L$48="Evet",0.001,0)))</f>
        <v/>
      </c>
      <c r="AW81" s="16">
        <f>IF(OR(Topraklar!$J$49="Evet",AND(Topraklar!$L$49&lt;&gt;"Evet",Topraklar!$K$49&lt;&gt;Bitkiler!$C$80)),0,MAX(0,1-(Ayarlar!$B$2*ABS(Bitkiler!$D$80-Topraklar!$D$49)+Ayarlar!$B$3*ABS(Bitkiler!$E$80-Topraklar!$E$49)+Ayarlar!$B$4*ABS(Bitkiler!$F$80-Topraklar!$F$49)+Ayarlar!$B$5*ABS(Bitkiler!$G$80-Topraklar!$G$49)+Ayarlar!$B$6*IF(Bitkiler!$H$80=Topraklar!$H$49,0,1))/Ayarlar!$B$7)+IF(Topraklar!$K$49=Bitkiler!$C$80,0.002,IF(Topraklar!$L$49="Evet",0.001,0)))</f>
        <v/>
      </c>
      <c r="AX81" s="16">
        <f>IF(OR(Topraklar!$J$50="Evet",AND(Topraklar!$L$50&lt;&gt;"Evet",Topraklar!$K$50&lt;&gt;Bitkiler!$C$80)),0,MAX(0,1-(Ayarlar!$B$2*ABS(Bitkiler!$D$80-Topraklar!$D$50)+Ayarlar!$B$3*ABS(Bitkiler!$E$80-Topraklar!$E$50)+Ayarlar!$B$4*ABS(Bitkiler!$F$80-Topraklar!$F$50)+Ayarlar!$B$5*ABS(Bitkiler!$G$80-Topraklar!$G$50)+Ayarlar!$B$6*IF(Bitkiler!$H$80=Topraklar!$H$50,0,1))/Ayarlar!$B$7)+IF(Topraklar!$K$50=Bitkiler!$C$80,0.002,IF(Topraklar!$L$50="Evet",0.001,0)))</f>
        <v/>
      </c>
      <c r="AY81" s="16">
        <f>IF(OR(Topraklar!$J$51="Evet",AND(Topraklar!$L$51&lt;&gt;"Evet",Topraklar!$K$51&lt;&gt;Bitkiler!$C$80)),0,MAX(0,1-(Ayarlar!$B$2*ABS(Bitkiler!$D$80-Topraklar!$D$51)+Ayarlar!$B$3*ABS(Bitkiler!$E$80-Topraklar!$E$51)+Ayarlar!$B$4*ABS(Bitkiler!$F$80-Topraklar!$F$51)+Ayarlar!$B$5*ABS(Bitkiler!$G$80-Topraklar!$G$51)+Ayarlar!$B$6*IF(Bitkiler!$H$80=Topraklar!$H$51,0,1))/Ayarlar!$B$7)+IF(Topraklar!$K$51=Bitkiler!$C$80,0.002,IF(Topraklar!$L$51="Evet",0.001,0)))</f>
        <v/>
      </c>
    </row>
    <row r="82">
      <c r="A82" s="15">
        <f>Bitkiler!A81</f>
        <v/>
      </c>
      <c r="B82" s="16">
        <f>IF(OR(Topraklar!$J$2="Evet",AND(Topraklar!$L$2&lt;&gt;"Evet",Topraklar!$K$2&lt;&gt;Bitkiler!$C$81)),0,MAX(0,1-(Ayarlar!$B$2*ABS(Bitkiler!$D$81-Topraklar!$D$2)+Ayarlar!$B$3*ABS(Bitkiler!$E$81-Topraklar!$E$2)+Ayarlar!$B$4*ABS(Bitkiler!$F$81-Topraklar!$F$2)+Ayarlar!$B$5*ABS(Bitkiler!$G$81-Topraklar!$G$2)+Ayarlar!$B$6*IF(Bitkiler!$H$81=Topraklar!$H$2,0,1))/Ayarlar!$B$7)+IF(Topraklar!$K$2=Bitkiler!$C$81,0.002,IF(Topraklar!$L$2="Evet",0.001,0)))</f>
        <v/>
      </c>
      <c r="C82" s="16">
        <f>IF(OR(Topraklar!$J$3="Evet",AND(Topraklar!$L$3&lt;&gt;"Evet",Topraklar!$K$3&lt;&gt;Bitkiler!$C$81)),0,MAX(0,1-(Ayarlar!$B$2*ABS(Bitkiler!$D$81-Topraklar!$D$3)+Ayarlar!$B$3*ABS(Bitkiler!$E$81-Topraklar!$E$3)+Ayarlar!$B$4*ABS(Bitkiler!$F$81-Topraklar!$F$3)+Ayarlar!$B$5*ABS(Bitkiler!$G$81-Topraklar!$G$3)+Ayarlar!$B$6*IF(Bitkiler!$H$81=Topraklar!$H$3,0,1))/Ayarlar!$B$7)+IF(Topraklar!$K$3=Bitkiler!$C$81,0.002,IF(Topraklar!$L$3="Evet",0.001,0)))</f>
        <v/>
      </c>
      <c r="D82" s="16">
        <f>IF(OR(Topraklar!$J$4="Evet",AND(Topraklar!$L$4&lt;&gt;"Evet",Topraklar!$K$4&lt;&gt;Bitkiler!$C$81)),0,MAX(0,1-(Ayarlar!$B$2*ABS(Bitkiler!$D$81-Topraklar!$D$4)+Ayarlar!$B$3*ABS(Bitkiler!$E$81-Topraklar!$E$4)+Ayarlar!$B$4*ABS(Bitkiler!$F$81-Topraklar!$F$4)+Ayarlar!$B$5*ABS(Bitkiler!$G$81-Topraklar!$G$4)+Ayarlar!$B$6*IF(Bitkiler!$H$81=Topraklar!$H$4,0,1))/Ayarlar!$B$7)+IF(Topraklar!$K$4=Bitkiler!$C$81,0.002,IF(Topraklar!$L$4="Evet",0.001,0)))</f>
        <v/>
      </c>
      <c r="E82" s="16">
        <f>IF(OR(Topraklar!$J$5="Evet",AND(Topraklar!$L$5&lt;&gt;"Evet",Topraklar!$K$5&lt;&gt;Bitkiler!$C$81)),0,MAX(0,1-(Ayarlar!$B$2*ABS(Bitkiler!$D$81-Topraklar!$D$5)+Ayarlar!$B$3*ABS(Bitkiler!$E$81-Topraklar!$E$5)+Ayarlar!$B$4*ABS(Bitkiler!$F$81-Topraklar!$F$5)+Ayarlar!$B$5*ABS(Bitkiler!$G$81-Topraklar!$G$5)+Ayarlar!$B$6*IF(Bitkiler!$H$81=Topraklar!$H$5,0,1))/Ayarlar!$B$7)+IF(Topraklar!$K$5=Bitkiler!$C$81,0.002,IF(Topraklar!$L$5="Evet",0.001,0)))</f>
        <v/>
      </c>
      <c r="F82" s="16">
        <f>IF(OR(Topraklar!$J$6="Evet",AND(Topraklar!$L$6&lt;&gt;"Evet",Topraklar!$K$6&lt;&gt;Bitkiler!$C$81)),0,MAX(0,1-(Ayarlar!$B$2*ABS(Bitkiler!$D$81-Topraklar!$D$6)+Ayarlar!$B$3*ABS(Bitkiler!$E$81-Topraklar!$E$6)+Ayarlar!$B$4*ABS(Bitkiler!$F$81-Topraklar!$F$6)+Ayarlar!$B$5*ABS(Bitkiler!$G$81-Topraklar!$G$6)+Ayarlar!$B$6*IF(Bitkiler!$H$81=Topraklar!$H$6,0,1))/Ayarlar!$B$7)+IF(Topraklar!$K$6=Bitkiler!$C$81,0.002,IF(Topraklar!$L$6="Evet",0.001,0)))</f>
        <v/>
      </c>
      <c r="G82" s="16">
        <f>IF(OR(Topraklar!$J$7="Evet",AND(Topraklar!$L$7&lt;&gt;"Evet",Topraklar!$K$7&lt;&gt;Bitkiler!$C$81)),0,MAX(0,1-(Ayarlar!$B$2*ABS(Bitkiler!$D$81-Topraklar!$D$7)+Ayarlar!$B$3*ABS(Bitkiler!$E$81-Topraklar!$E$7)+Ayarlar!$B$4*ABS(Bitkiler!$F$81-Topraklar!$F$7)+Ayarlar!$B$5*ABS(Bitkiler!$G$81-Topraklar!$G$7)+Ayarlar!$B$6*IF(Bitkiler!$H$81=Topraklar!$H$7,0,1))/Ayarlar!$B$7)+IF(Topraklar!$K$7=Bitkiler!$C$81,0.002,IF(Topraklar!$L$7="Evet",0.001,0)))</f>
        <v/>
      </c>
      <c r="H82" s="16">
        <f>IF(OR(Topraklar!$J$8="Evet",AND(Topraklar!$L$8&lt;&gt;"Evet",Topraklar!$K$8&lt;&gt;Bitkiler!$C$81)),0,MAX(0,1-(Ayarlar!$B$2*ABS(Bitkiler!$D$81-Topraklar!$D$8)+Ayarlar!$B$3*ABS(Bitkiler!$E$81-Topraklar!$E$8)+Ayarlar!$B$4*ABS(Bitkiler!$F$81-Topraklar!$F$8)+Ayarlar!$B$5*ABS(Bitkiler!$G$81-Topraklar!$G$8)+Ayarlar!$B$6*IF(Bitkiler!$H$81=Topraklar!$H$8,0,1))/Ayarlar!$B$7)+IF(Topraklar!$K$8=Bitkiler!$C$81,0.002,IF(Topraklar!$L$8="Evet",0.001,0)))</f>
        <v/>
      </c>
      <c r="I82" s="16">
        <f>IF(OR(Topraklar!$J$9="Evet",AND(Topraklar!$L$9&lt;&gt;"Evet",Topraklar!$K$9&lt;&gt;Bitkiler!$C$81)),0,MAX(0,1-(Ayarlar!$B$2*ABS(Bitkiler!$D$81-Topraklar!$D$9)+Ayarlar!$B$3*ABS(Bitkiler!$E$81-Topraklar!$E$9)+Ayarlar!$B$4*ABS(Bitkiler!$F$81-Topraklar!$F$9)+Ayarlar!$B$5*ABS(Bitkiler!$G$81-Topraklar!$G$9)+Ayarlar!$B$6*IF(Bitkiler!$H$81=Topraklar!$H$9,0,1))/Ayarlar!$B$7)+IF(Topraklar!$K$9=Bitkiler!$C$81,0.002,IF(Topraklar!$L$9="Evet",0.001,0)))</f>
        <v/>
      </c>
      <c r="J82" s="16">
        <f>IF(OR(Topraklar!$J$10="Evet",AND(Topraklar!$L$10&lt;&gt;"Evet",Topraklar!$K$10&lt;&gt;Bitkiler!$C$81)),0,MAX(0,1-(Ayarlar!$B$2*ABS(Bitkiler!$D$81-Topraklar!$D$10)+Ayarlar!$B$3*ABS(Bitkiler!$E$81-Topraklar!$E$10)+Ayarlar!$B$4*ABS(Bitkiler!$F$81-Topraklar!$F$10)+Ayarlar!$B$5*ABS(Bitkiler!$G$81-Topraklar!$G$10)+Ayarlar!$B$6*IF(Bitkiler!$H$81=Topraklar!$H$10,0,1))/Ayarlar!$B$7)+IF(Topraklar!$K$10=Bitkiler!$C$81,0.002,IF(Topraklar!$L$10="Evet",0.001,0)))</f>
        <v/>
      </c>
      <c r="K82" s="16">
        <f>IF(OR(Topraklar!$J$11="Evet",AND(Topraklar!$L$11&lt;&gt;"Evet",Topraklar!$K$11&lt;&gt;Bitkiler!$C$81)),0,MAX(0,1-(Ayarlar!$B$2*ABS(Bitkiler!$D$81-Topraklar!$D$11)+Ayarlar!$B$3*ABS(Bitkiler!$E$81-Topraklar!$E$11)+Ayarlar!$B$4*ABS(Bitkiler!$F$81-Topraklar!$F$11)+Ayarlar!$B$5*ABS(Bitkiler!$G$81-Topraklar!$G$11)+Ayarlar!$B$6*IF(Bitkiler!$H$81=Topraklar!$H$11,0,1))/Ayarlar!$B$7)+IF(Topraklar!$K$11=Bitkiler!$C$81,0.002,IF(Topraklar!$L$11="Evet",0.001,0)))</f>
        <v/>
      </c>
      <c r="L82" s="16">
        <f>IF(OR(Topraklar!$J$12="Evet",AND(Topraklar!$L$12&lt;&gt;"Evet",Topraklar!$K$12&lt;&gt;Bitkiler!$C$81)),0,MAX(0,1-(Ayarlar!$B$2*ABS(Bitkiler!$D$81-Topraklar!$D$12)+Ayarlar!$B$3*ABS(Bitkiler!$E$81-Topraklar!$E$12)+Ayarlar!$B$4*ABS(Bitkiler!$F$81-Topraklar!$F$12)+Ayarlar!$B$5*ABS(Bitkiler!$G$81-Topraklar!$G$12)+Ayarlar!$B$6*IF(Bitkiler!$H$81=Topraklar!$H$12,0,1))/Ayarlar!$B$7)+IF(Topraklar!$K$12=Bitkiler!$C$81,0.002,IF(Topraklar!$L$12="Evet",0.001,0)))</f>
        <v/>
      </c>
      <c r="M82" s="16">
        <f>IF(OR(Topraklar!$J$13="Evet",AND(Topraklar!$L$13&lt;&gt;"Evet",Topraklar!$K$13&lt;&gt;Bitkiler!$C$81)),0,MAX(0,1-(Ayarlar!$B$2*ABS(Bitkiler!$D$81-Topraklar!$D$13)+Ayarlar!$B$3*ABS(Bitkiler!$E$81-Topraklar!$E$13)+Ayarlar!$B$4*ABS(Bitkiler!$F$81-Topraklar!$F$13)+Ayarlar!$B$5*ABS(Bitkiler!$G$81-Topraklar!$G$13)+Ayarlar!$B$6*IF(Bitkiler!$H$81=Topraklar!$H$13,0,1))/Ayarlar!$B$7)+IF(Topraklar!$K$13=Bitkiler!$C$81,0.002,IF(Topraklar!$L$13="Evet",0.001,0)))</f>
        <v/>
      </c>
      <c r="N82" s="16">
        <f>IF(OR(Topraklar!$J$14="Evet",AND(Topraklar!$L$14&lt;&gt;"Evet",Topraklar!$K$14&lt;&gt;Bitkiler!$C$81)),0,MAX(0,1-(Ayarlar!$B$2*ABS(Bitkiler!$D$81-Topraklar!$D$14)+Ayarlar!$B$3*ABS(Bitkiler!$E$81-Topraklar!$E$14)+Ayarlar!$B$4*ABS(Bitkiler!$F$81-Topraklar!$F$14)+Ayarlar!$B$5*ABS(Bitkiler!$G$81-Topraklar!$G$14)+Ayarlar!$B$6*IF(Bitkiler!$H$81=Topraklar!$H$14,0,1))/Ayarlar!$B$7)+IF(Topraklar!$K$14=Bitkiler!$C$81,0.002,IF(Topraklar!$L$14="Evet",0.001,0)))</f>
        <v/>
      </c>
      <c r="O82" s="16">
        <f>IF(OR(Topraklar!$J$15="Evet",AND(Topraklar!$L$15&lt;&gt;"Evet",Topraklar!$K$15&lt;&gt;Bitkiler!$C$81)),0,MAX(0,1-(Ayarlar!$B$2*ABS(Bitkiler!$D$81-Topraklar!$D$15)+Ayarlar!$B$3*ABS(Bitkiler!$E$81-Topraklar!$E$15)+Ayarlar!$B$4*ABS(Bitkiler!$F$81-Topraklar!$F$15)+Ayarlar!$B$5*ABS(Bitkiler!$G$81-Topraklar!$G$15)+Ayarlar!$B$6*IF(Bitkiler!$H$81=Topraklar!$H$15,0,1))/Ayarlar!$B$7)+IF(Topraklar!$K$15=Bitkiler!$C$81,0.002,IF(Topraklar!$L$15="Evet",0.001,0)))</f>
        <v/>
      </c>
      <c r="P82" s="16">
        <f>IF(OR(Topraklar!$J$16="Evet",AND(Topraklar!$L$16&lt;&gt;"Evet",Topraklar!$K$16&lt;&gt;Bitkiler!$C$81)),0,MAX(0,1-(Ayarlar!$B$2*ABS(Bitkiler!$D$81-Topraklar!$D$16)+Ayarlar!$B$3*ABS(Bitkiler!$E$81-Topraklar!$E$16)+Ayarlar!$B$4*ABS(Bitkiler!$F$81-Topraklar!$F$16)+Ayarlar!$B$5*ABS(Bitkiler!$G$81-Topraklar!$G$16)+Ayarlar!$B$6*IF(Bitkiler!$H$81=Topraklar!$H$16,0,1))/Ayarlar!$B$7)+IF(Topraklar!$K$16=Bitkiler!$C$81,0.002,IF(Topraklar!$L$16="Evet",0.001,0)))</f>
        <v/>
      </c>
      <c r="Q82" s="16">
        <f>IF(OR(Topraklar!$J$17="Evet",AND(Topraklar!$L$17&lt;&gt;"Evet",Topraklar!$K$17&lt;&gt;Bitkiler!$C$81)),0,MAX(0,1-(Ayarlar!$B$2*ABS(Bitkiler!$D$81-Topraklar!$D$17)+Ayarlar!$B$3*ABS(Bitkiler!$E$81-Topraklar!$E$17)+Ayarlar!$B$4*ABS(Bitkiler!$F$81-Topraklar!$F$17)+Ayarlar!$B$5*ABS(Bitkiler!$G$81-Topraklar!$G$17)+Ayarlar!$B$6*IF(Bitkiler!$H$81=Topraklar!$H$17,0,1))/Ayarlar!$B$7)+IF(Topraklar!$K$17=Bitkiler!$C$81,0.002,IF(Topraklar!$L$17="Evet",0.001,0)))</f>
        <v/>
      </c>
      <c r="R82" s="16">
        <f>IF(OR(Topraklar!$J$18="Evet",AND(Topraklar!$L$18&lt;&gt;"Evet",Topraklar!$K$18&lt;&gt;Bitkiler!$C$81)),0,MAX(0,1-(Ayarlar!$B$2*ABS(Bitkiler!$D$81-Topraklar!$D$18)+Ayarlar!$B$3*ABS(Bitkiler!$E$81-Topraklar!$E$18)+Ayarlar!$B$4*ABS(Bitkiler!$F$81-Topraklar!$F$18)+Ayarlar!$B$5*ABS(Bitkiler!$G$81-Topraklar!$G$18)+Ayarlar!$B$6*IF(Bitkiler!$H$81=Topraklar!$H$18,0,1))/Ayarlar!$B$7)+IF(Topraklar!$K$18=Bitkiler!$C$81,0.002,IF(Topraklar!$L$18="Evet",0.001,0)))</f>
        <v/>
      </c>
      <c r="S82" s="16">
        <f>IF(OR(Topraklar!$J$19="Evet",AND(Topraklar!$L$19&lt;&gt;"Evet",Topraklar!$K$19&lt;&gt;Bitkiler!$C$81)),0,MAX(0,1-(Ayarlar!$B$2*ABS(Bitkiler!$D$81-Topraklar!$D$19)+Ayarlar!$B$3*ABS(Bitkiler!$E$81-Topraklar!$E$19)+Ayarlar!$B$4*ABS(Bitkiler!$F$81-Topraklar!$F$19)+Ayarlar!$B$5*ABS(Bitkiler!$G$81-Topraklar!$G$19)+Ayarlar!$B$6*IF(Bitkiler!$H$81=Topraklar!$H$19,0,1))/Ayarlar!$B$7)+IF(Topraklar!$K$19=Bitkiler!$C$81,0.002,IF(Topraklar!$L$19="Evet",0.001,0)))</f>
        <v/>
      </c>
      <c r="T82" s="16">
        <f>IF(OR(Topraklar!$J$20="Evet",AND(Topraklar!$L$20&lt;&gt;"Evet",Topraklar!$K$20&lt;&gt;Bitkiler!$C$81)),0,MAX(0,1-(Ayarlar!$B$2*ABS(Bitkiler!$D$81-Topraklar!$D$20)+Ayarlar!$B$3*ABS(Bitkiler!$E$81-Topraklar!$E$20)+Ayarlar!$B$4*ABS(Bitkiler!$F$81-Topraklar!$F$20)+Ayarlar!$B$5*ABS(Bitkiler!$G$81-Topraklar!$G$20)+Ayarlar!$B$6*IF(Bitkiler!$H$81=Topraklar!$H$20,0,1))/Ayarlar!$B$7)+IF(Topraklar!$K$20=Bitkiler!$C$81,0.002,IF(Topraklar!$L$20="Evet",0.001,0)))</f>
        <v/>
      </c>
      <c r="U82" s="16">
        <f>IF(OR(Topraklar!$J$21="Evet",AND(Topraklar!$L$21&lt;&gt;"Evet",Topraklar!$K$21&lt;&gt;Bitkiler!$C$81)),0,MAX(0,1-(Ayarlar!$B$2*ABS(Bitkiler!$D$81-Topraklar!$D$21)+Ayarlar!$B$3*ABS(Bitkiler!$E$81-Topraklar!$E$21)+Ayarlar!$B$4*ABS(Bitkiler!$F$81-Topraklar!$F$21)+Ayarlar!$B$5*ABS(Bitkiler!$G$81-Topraklar!$G$21)+Ayarlar!$B$6*IF(Bitkiler!$H$81=Topraklar!$H$21,0,1))/Ayarlar!$B$7)+IF(Topraklar!$K$21=Bitkiler!$C$81,0.002,IF(Topraklar!$L$21="Evet",0.001,0)))</f>
        <v/>
      </c>
      <c r="V82" s="16">
        <f>IF(OR(Topraklar!$J$22="Evet",AND(Topraklar!$L$22&lt;&gt;"Evet",Topraklar!$K$22&lt;&gt;Bitkiler!$C$81)),0,MAX(0,1-(Ayarlar!$B$2*ABS(Bitkiler!$D$81-Topraklar!$D$22)+Ayarlar!$B$3*ABS(Bitkiler!$E$81-Topraklar!$E$22)+Ayarlar!$B$4*ABS(Bitkiler!$F$81-Topraklar!$F$22)+Ayarlar!$B$5*ABS(Bitkiler!$G$81-Topraklar!$G$22)+Ayarlar!$B$6*IF(Bitkiler!$H$81=Topraklar!$H$22,0,1))/Ayarlar!$B$7)+IF(Topraklar!$K$22=Bitkiler!$C$81,0.002,IF(Topraklar!$L$22="Evet",0.001,0)))</f>
        <v/>
      </c>
      <c r="W82" s="16">
        <f>IF(OR(Topraklar!$J$23="Evet",AND(Topraklar!$L$23&lt;&gt;"Evet",Topraklar!$K$23&lt;&gt;Bitkiler!$C$81)),0,MAX(0,1-(Ayarlar!$B$2*ABS(Bitkiler!$D$81-Topraklar!$D$23)+Ayarlar!$B$3*ABS(Bitkiler!$E$81-Topraklar!$E$23)+Ayarlar!$B$4*ABS(Bitkiler!$F$81-Topraklar!$F$23)+Ayarlar!$B$5*ABS(Bitkiler!$G$81-Topraklar!$G$23)+Ayarlar!$B$6*IF(Bitkiler!$H$81=Topraklar!$H$23,0,1))/Ayarlar!$B$7)+IF(Topraklar!$K$23=Bitkiler!$C$81,0.002,IF(Topraklar!$L$23="Evet",0.001,0)))</f>
        <v/>
      </c>
      <c r="X82" s="16">
        <f>IF(OR(Topraklar!$J$24="Evet",AND(Topraklar!$L$24&lt;&gt;"Evet",Topraklar!$K$24&lt;&gt;Bitkiler!$C$81)),0,MAX(0,1-(Ayarlar!$B$2*ABS(Bitkiler!$D$81-Topraklar!$D$24)+Ayarlar!$B$3*ABS(Bitkiler!$E$81-Topraklar!$E$24)+Ayarlar!$B$4*ABS(Bitkiler!$F$81-Topraklar!$F$24)+Ayarlar!$B$5*ABS(Bitkiler!$G$81-Topraklar!$G$24)+Ayarlar!$B$6*IF(Bitkiler!$H$81=Topraklar!$H$24,0,1))/Ayarlar!$B$7)+IF(Topraklar!$K$24=Bitkiler!$C$81,0.002,IF(Topraklar!$L$24="Evet",0.001,0)))</f>
        <v/>
      </c>
      <c r="Y82" s="16">
        <f>IF(OR(Topraklar!$J$25="Evet",AND(Topraklar!$L$25&lt;&gt;"Evet",Topraklar!$K$25&lt;&gt;Bitkiler!$C$81)),0,MAX(0,1-(Ayarlar!$B$2*ABS(Bitkiler!$D$81-Topraklar!$D$25)+Ayarlar!$B$3*ABS(Bitkiler!$E$81-Topraklar!$E$25)+Ayarlar!$B$4*ABS(Bitkiler!$F$81-Topraklar!$F$25)+Ayarlar!$B$5*ABS(Bitkiler!$G$81-Topraklar!$G$25)+Ayarlar!$B$6*IF(Bitkiler!$H$81=Topraklar!$H$25,0,1))/Ayarlar!$B$7)+IF(Topraklar!$K$25=Bitkiler!$C$81,0.002,IF(Topraklar!$L$25="Evet",0.001,0)))</f>
        <v/>
      </c>
      <c r="Z82" s="16">
        <f>IF(OR(Topraklar!$J$26="Evet",AND(Topraklar!$L$26&lt;&gt;"Evet",Topraklar!$K$26&lt;&gt;Bitkiler!$C$81)),0,MAX(0,1-(Ayarlar!$B$2*ABS(Bitkiler!$D$81-Topraklar!$D$26)+Ayarlar!$B$3*ABS(Bitkiler!$E$81-Topraklar!$E$26)+Ayarlar!$B$4*ABS(Bitkiler!$F$81-Topraklar!$F$26)+Ayarlar!$B$5*ABS(Bitkiler!$G$81-Topraklar!$G$26)+Ayarlar!$B$6*IF(Bitkiler!$H$81=Topraklar!$H$26,0,1))/Ayarlar!$B$7)+IF(Topraklar!$K$26=Bitkiler!$C$81,0.002,IF(Topraklar!$L$26="Evet",0.001,0)))</f>
        <v/>
      </c>
      <c r="AA82" s="16">
        <f>IF(OR(Topraklar!$J$27="Evet",AND(Topraklar!$L$27&lt;&gt;"Evet",Topraklar!$K$27&lt;&gt;Bitkiler!$C$81)),0,MAX(0,1-(Ayarlar!$B$2*ABS(Bitkiler!$D$81-Topraklar!$D$27)+Ayarlar!$B$3*ABS(Bitkiler!$E$81-Topraklar!$E$27)+Ayarlar!$B$4*ABS(Bitkiler!$F$81-Topraklar!$F$27)+Ayarlar!$B$5*ABS(Bitkiler!$G$81-Topraklar!$G$27)+Ayarlar!$B$6*IF(Bitkiler!$H$81=Topraklar!$H$27,0,1))/Ayarlar!$B$7)+IF(Topraklar!$K$27=Bitkiler!$C$81,0.002,IF(Topraklar!$L$27="Evet",0.001,0)))</f>
        <v/>
      </c>
      <c r="AB82" s="16">
        <f>IF(OR(Topraklar!$J$28="Evet",AND(Topraklar!$L$28&lt;&gt;"Evet",Topraklar!$K$28&lt;&gt;Bitkiler!$C$81)),0,MAX(0,1-(Ayarlar!$B$2*ABS(Bitkiler!$D$81-Topraklar!$D$28)+Ayarlar!$B$3*ABS(Bitkiler!$E$81-Topraklar!$E$28)+Ayarlar!$B$4*ABS(Bitkiler!$F$81-Topraklar!$F$28)+Ayarlar!$B$5*ABS(Bitkiler!$G$81-Topraklar!$G$28)+Ayarlar!$B$6*IF(Bitkiler!$H$81=Topraklar!$H$28,0,1))/Ayarlar!$B$7)+IF(Topraklar!$K$28=Bitkiler!$C$81,0.002,IF(Topraklar!$L$28="Evet",0.001,0)))</f>
        <v/>
      </c>
      <c r="AC82" s="16">
        <f>IF(OR(Topraklar!$J$29="Evet",AND(Topraklar!$L$29&lt;&gt;"Evet",Topraklar!$K$29&lt;&gt;Bitkiler!$C$81)),0,MAX(0,1-(Ayarlar!$B$2*ABS(Bitkiler!$D$81-Topraklar!$D$29)+Ayarlar!$B$3*ABS(Bitkiler!$E$81-Topraklar!$E$29)+Ayarlar!$B$4*ABS(Bitkiler!$F$81-Topraklar!$F$29)+Ayarlar!$B$5*ABS(Bitkiler!$G$81-Topraklar!$G$29)+Ayarlar!$B$6*IF(Bitkiler!$H$81=Topraklar!$H$29,0,1))/Ayarlar!$B$7)+IF(Topraklar!$K$29=Bitkiler!$C$81,0.002,IF(Topraklar!$L$29="Evet",0.001,0)))</f>
        <v/>
      </c>
      <c r="AD82" s="16">
        <f>IF(OR(Topraklar!$J$30="Evet",AND(Topraklar!$L$30&lt;&gt;"Evet",Topraklar!$K$30&lt;&gt;Bitkiler!$C$81)),0,MAX(0,1-(Ayarlar!$B$2*ABS(Bitkiler!$D$81-Topraklar!$D$30)+Ayarlar!$B$3*ABS(Bitkiler!$E$81-Topraklar!$E$30)+Ayarlar!$B$4*ABS(Bitkiler!$F$81-Topraklar!$F$30)+Ayarlar!$B$5*ABS(Bitkiler!$G$81-Topraklar!$G$30)+Ayarlar!$B$6*IF(Bitkiler!$H$81=Topraklar!$H$30,0,1))/Ayarlar!$B$7)+IF(Topraklar!$K$30=Bitkiler!$C$81,0.002,IF(Topraklar!$L$30="Evet",0.001,0)))</f>
        <v/>
      </c>
      <c r="AE82" s="16">
        <f>IF(OR(Topraklar!$J$31="Evet",AND(Topraklar!$L$31&lt;&gt;"Evet",Topraklar!$K$31&lt;&gt;Bitkiler!$C$81)),0,MAX(0,1-(Ayarlar!$B$2*ABS(Bitkiler!$D$81-Topraklar!$D$31)+Ayarlar!$B$3*ABS(Bitkiler!$E$81-Topraklar!$E$31)+Ayarlar!$B$4*ABS(Bitkiler!$F$81-Topraklar!$F$31)+Ayarlar!$B$5*ABS(Bitkiler!$G$81-Topraklar!$G$31)+Ayarlar!$B$6*IF(Bitkiler!$H$81=Topraklar!$H$31,0,1))/Ayarlar!$B$7)+IF(Topraklar!$K$31=Bitkiler!$C$81,0.002,IF(Topraklar!$L$31="Evet",0.001,0)))</f>
        <v/>
      </c>
      <c r="AF82" s="16">
        <f>IF(OR(Topraklar!$J$32="Evet",AND(Topraklar!$L$32&lt;&gt;"Evet",Topraklar!$K$32&lt;&gt;Bitkiler!$C$81)),0,MAX(0,1-(Ayarlar!$B$2*ABS(Bitkiler!$D$81-Topraklar!$D$32)+Ayarlar!$B$3*ABS(Bitkiler!$E$81-Topraklar!$E$32)+Ayarlar!$B$4*ABS(Bitkiler!$F$81-Topraklar!$F$32)+Ayarlar!$B$5*ABS(Bitkiler!$G$81-Topraklar!$G$32)+Ayarlar!$B$6*IF(Bitkiler!$H$81=Topraklar!$H$32,0,1))/Ayarlar!$B$7)+IF(Topraklar!$K$32=Bitkiler!$C$81,0.002,IF(Topraklar!$L$32="Evet",0.001,0)))</f>
        <v/>
      </c>
      <c r="AG82" s="16">
        <f>IF(OR(Topraklar!$J$33="Evet",AND(Topraklar!$L$33&lt;&gt;"Evet",Topraklar!$K$33&lt;&gt;Bitkiler!$C$81)),0,MAX(0,1-(Ayarlar!$B$2*ABS(Bitkiler!$D$81-Topraklar!$D$33)+Ayarlar!$B$3*ABS(Bitkiler!$E$81-Topraklar!$E$33)+Ayarlar!$B$4*ABS(Bitkiler!$F$81-Topraklar!$F$33)+Ayarlar!$B$5*ABS(Bitkiler!$G$81-Topraklar!$G$33)+Ayarlar!$B$6*IF(Bitkiler!$H$81=Topraklar!$H$33,0,1))/Ayarlar!$B$7)+IF(Topraklar!$K$33=Bitkiler!$C$81,0.002,IF(Topraklar!$L$33="Evet",0.001,0)))</f>
        <v/>
      </c>
      <c r="AH82" s="16">
        <f>IF(OR(Topraklar!$J$34="Evet",AND(Topraklar!$L$34&lt;&gt;"Evet",Topraklar!$K$34&lt;&gt;Bitkiler!$C$81)),0,MAX(0,1-(Ayarlar!$B$2*ABS(Bitkiler!$D$81-Topraklar!$D$34)+Ayarlar!$B$3*ABS(Bitkiler!$E$81-Topraklar!$E$34)+Ayarlar!$B$4*ABS(Bitkiler!$F$81-Topraklar!$F$34)+Ayarlar!$B$5*ABS(Bitkiler!$G$81-Topraklar!$G$34)+Ayarlar!$B$6*IF(Bitkiler!$H$81=Topraklar!$H$34,0,1))/Ayarlar!$B$7)+IF(Topraklar!$K$34=Bitkiler!$C$81,0.002,IF(Topraklar!$L$34="Evet",0.001,0)))</f>
        <v/>
      </c>
      <c r="AI82" s="16">
        <f>IF(OR(Topraklar!$J$35="Evet",AND(Topraklar!$L$35&lt;&gt;"Evet",Topraklar!$K$35&lt;&gt;Bitkiler!$C$81)),0,MAX(0,1-(Ayarlar!$B$2*ABS(Bitkiler!$D$81-Topraklar!$D$35)+Ayarlar!$B$3*ABS(Bitkiler!$E$81-Topraklar!$E$35)+Ayarlar!$B$4*ABS(Bitkiler!$F$81-Topraklar!$F$35)+Ayarlar!$B$5*ABS(Bitkiler!$G$81-Topraklar!$G$35)+Ayarlar!$B$6*IF(Bitkiler!$H$81=Topraklar!$H$35,0,1))/Ayarlar!$B$7)+IF(Topraklar!$K$35=Bitkiler!$C$81,0.002,IF(Topraklar!$L$35="Evet",0.001,0)))</f>
        <v/>
      </c>
      <c r="AJ82" s="16">
        <f>IF(OR(Topraklar!$J$36="Evet",AND(Topraklar!$L$36&lt;&gt;"Evet",Topraklar!$K$36&lt;&gt;Bitkiler!$C$81)),0,MAX(0,1-(Ayarlar!$B$2*ABS(Bitkiler!$D$81-Topraklar!$D$36)+Ayarlar!$B$3*ABS(Bitkiler!$E$81-Topraklar!$E$36)+Ayarlar!$B$4*ABS(Bitkiler!$F$81-Topraklar!$F$36)+Ayarlar!$B$5*ABS(Bitkiler!$G$81-Topraklar!$G$36)+Ayarlar!$B$6*IF(Bitkiler!$H$81=Topraklar!$H$36,0,1))/Ayarlar!$B$7)+IF(Topraklar!$K$36=Bitkiler!$C$81,0.002,IF(Topraklar!$L$36="Evet",0.001,0)))</f>
        <v/>
      </c>
      <c r="AK82" s="16">
        <f>IF(OR(Topraklar!$J$37="Evet",AND(Topraklar!$L$37&lt;&gt;"Evet",Topraklar!$K$37&lt;&gt;Bitkiler!$C$81)),0,MAX(0,1-(Ayarlar!$B$2*ABS(Bitkiler!$D$81-Topraklar!$D$37)+Ayarlar!$B$3*ABS(Bitkiler!$E$81-Topraklar!$E$37)+Ayarlar!$B$4*ABS(Bitkiler!$F$81-Topraklar!$F$37)+Ayarlar!$B$5*ABS(Bitkiler!$G$81-Topraklar!$G$37)+Ayarlar!$B$6*IF(Bitkiler!$H$81=Topraklar!$H$37,0,1))/Ayarlar!$B$7)+IF(Topraklar!$K$37=Bitkiler!$C$81,0.002,IF(Topraklar!$L$37="Evet",0.001,0)))</f>
        <v/>
      </c>
      <c r="AL82" s="16">
        <f>IF(OR(Topraklar!$J$38="Evet",AND(Topraklar!$L$38&lt;&gt;"Evet",Topraklar!$K$38&lt;&gt;Bitkiler!$C$81)),0,MAX(0,1-(Ayarlar!$B$2*ABS(Bitkiler!$D$81-Topraklar!$D$38)+Ayarlar!$B$3*ABS(Bitkiler!$E$81-Topraklar!$E$38)+Ayarlar!$B$4*ABS(Bitkiler!$F$81-Topraklar!$F$38)+Ayarlar!$B$5*ABS(Bitkiler!$G$81-Topraklar!$G$38)+Ayarlar!$B$6*IF(Bitkiler!$H$81=Topraklar!$H$38,0,1))/Ayarlar!$B$7)+IF(Topraklar!$K$38=Bitkiler!$C$81,0.002,IF(Topraklar!$L$38="Evet",0.001,0)))</f>
        <v/>
      </c>
      <c r="AM82" s="16">
        <f>IF(OR(Topraklar!$J$39="Evet",AND(Topraklar!$L$39&lt;&gt;"Evet",Topraklar!$K$39&lt;&gt;Bitkiler!$C$81)),0,MAX(0,1-(Ayarlar!$B$2*ABS(Bitkiler!$D$81-Topraklar!$D$39)+Ayarlar!$B$3*ABS(Bitkiler!$E$81-Topraklar!$E$39)+Ayarlar!$B$4*ABS(Bitkiler!$F$81-Topraklar!$F$39)+Ayarlar!$B$5*ABS(Bitkiler!$G$81-Topraklar!$G$39)+Ayarlar!$B$6*IF(Bitkiler!$H$81=Topraklar!$H$39,0,1))/Ayarlar!$B$7)+IF(Topraklar!$K$39=Bitkiler!$C$81,0.002,IF(Topraklar!$L$39="Evet",0.001,0)))</f>
        <v/>
      </c>
      <c r="AN82" s="16">
        <f>IF(OR(Topraklar!$J$40="Evet",AND(Topraklar!$L$40&lt;&gt;"Evet",Topraklar!$K$40&lt;&gt;Bitkiler!$C$81)),0,MAX(0,1-(Ayarlar!$B$2*ABS(Bitkiler!$D$81-Topraklar!$D$40)+Ayarlar!$B$3*ABS(Bitkiler!$E$81-Topraklar!$E$40)+Ayarlar!$B$4*ABS(Bitkiler!$F$81-Topraklar!$F$40)+Ayarlar!$B$5*ABS(Bitkiler!$G$81-Topraklar!$G$40)+Ayarlar!$B$6*IF(Bitkiler!$H$81=Topraklar!$H$40,0,1))/Ayarlar!$B$7)+IF(Topraklar!$K$40=Bitkiler!$C$81,0.002,IF(Topraklar!$L$40="Evet",0.001,0)))</f>
        <v/>
      </c>
      <c r="AO82" s="16">
        <f>IF(OR(Topraklar!$J$41="Evet",AND(Topraklar!$L$41&lt;&gt;"Evet",Topraklar!$K$41&lt;&gt;Bitkiler!$C$81)),0,MAX(0,1-(Ayarlar!$B$2*ABS(Bitkiler!$D$81-Topraklar!$D$41)+Ayarlar!$B$3*ABS(Bitkiler!$E$81-Topraklar!$E$41)+Ayarlar!$B$4*ABS(Bitkiler!$F$81-Topraklar!$F$41)+Ayarlar!$B$5*ABS(Bitkiler!$G$81-Topraklar!$G$41)+Ayarlar!$B$6*IF(Bitkiler!$H$81=Topraklar!$H$41,0,1))/Ayarlar!$B$7)+IF(Topraklar!$K$41=Bitkiler!$C$81,0.002,IF(Topraklar!$L$41="Evet",0.001,0)))</f>
        <v/>
      </c>
      <c r="AP82" s="16">
        <f>IF(OR(Topraklar!$J$42="Evet",AND(Topraklar!$L$42&lt;&gt;"Evet",Topraklar!$K$42&lt;&gt;Bitkiler!$C$81)),0,MAX(0,1-(Ayarlar!$B$2*ABS(Bitkiler!$D$81-Topraklar!$D$42)+Ayarlar!$B$3*ABS(Bitkiler!$E$81-Topraklar!$E$42)+Ayarlar!$B$4*ABS(Bitkiler!$F$81-Topraklar!$F$42)+Ayarlar!$B$5*ABS(Bitkiler!$G$81-Topraklar!$G$42)+Ayarlar!$B$6*IF(Bitkiler!$H$81=Topraklar!$H$42,0,1))/Ayarlar!$B$7)+IF(Topraklar!$K$42=Bitkiler!$C$81,0.002,IF(Topraklar!$L$42="Evet",0.001,0)))</f>
        <v/>
      </c>
      <c r="AQ82" s="16">
        <f>IF(OR(Topraklar!$J$43="Evet",AND(Topraklar!$L$43&lt;&gt;"Evet",Topraklar!$K$43&lt;&gt;Bitkiler!$C$81)),0,MAX(0,1-(Ayarlar!$B$2*ABS(Bitkiler!$D$81-Topraklar!$D$43)+Ayarlar!$B$3*ABS(Bitkiler!$E$81-Topraklar!$E$43)+Ayarlar!$B$4*ABS(Bitkiler!$F$81-Topraklar!$F$43)+Ayarlar!$B$5*ABS(Bitkiler!$G$81-Topraklar!$G$43)+Ayarlar!$B$6*IF(Bitkiler!$H$81=Topraklar!$H$43,0,1))/Ayarlar!$B$7)+IF(Topraklar!$K$43=Bitkiler!$C$81,0.002,IF(Topraklar!$L$43="Evet",0.001,0)))</f>
        <v/>
      </c>
      <c r="AR82" s="16">
        <f>IF(OR(Topraklar!$J$44="Evet",AND(Topraklar!$L$44&lt;&gt;"Evet",Topraklar!$K$44&lt;&gt;Bitkiler!$C$81)),0,MAX(0,1-(Ayarlar!$B$2*ABS(Bitkiler!$D$81-Topraklar!$D$44)+Ayarlar!$B$3*ABS(Bitkiler!$E$81-Topraklar!$E$44)+Ayarlar!$B$4*ABS(Bitkiler!$F$81-Topraklar!$F$44)+Ayarlar!$B$5*ABS(Bitkiler!$G$81-Topraklar!$G$44)+Ayarlar!$B$6*IF(Bitkiler!$H$81=Topraklar!$H$44,0,1))/Ayarlar!$B$7)+IF(Topraklar!$K$44=Bitkiler!$C$81,0.002,IF(Topraklar!$L$44="Evet",0.001,0)))</f>
        <v/>
      </c>
      <c r="AS82" s="16">
        <f>IF(OR(Topraklar!$J$45="Evet",AND(Topraklar!$L$45&lt;&gt;"Evet",Topraklar!$K$45&lt;&gt;Bitkiler!$C$81)),0,MAX(0,1-(Ayarlar!$B$2*ABS(Bitkiler!$D$81-Topraklar!$D$45)+Ayarlar!$B$3*ABS(Bitkiler!$E$81-Topraklar!$E$45)+Ayarlar!$B$4*ABS(Bitkiler!$F$81-Topraklar!$F$45)+Ayarlar!$B$5*ABS(Bitkiler!$G$81-Topraklar!$G$45)+Ayarlar!$B$6*IF(Bitkiler!$H$81=Topraklar!$H$45,0,1))/Ayarlar!$B$7)+IF(Topraklar!$K$45=Bitkiler!$C$81,0.002,IF(Topraklar!$L$45="Evet",0.001,0)))</f>
        <v/>
      </c>
      <c r="AT82" s="16">
        <f>IF(OR(Topraklar!$J$46="Evet",AND(Topraklar!$L$46&lt;&gt;"Evet",Topraklar!$K$46&lt;&gt;Bitkiler!$C$81)),0,MAX(0,1-(Ayarlar!$B$2*ABS(Bitkiler!$D$81-Topraklar!$D$46)+Ayarlar!$B$3*ABS(Bitkiler!$E$81-Topraklar!$E$46)+Ayarlar!$B$4*ABS(Bitkiler!$F$81-Topraklar!$F$46)+Ayarlar!$B$5*ABS(Bitkiler!$G$81-Topraklar!$G$46)+Ayarlar!$B$6*IF(Bitkiler!$H$81=Topraklar!$H$46,0,1))/Ayarlar!$B$7)+IF(Topraklar!$K$46=Bitkiler!$C$81,0.002,IF(Topraklar!$L$46="Evet",0.001,0)))</f>
        <v/>
      </c>
      <c r="AU82" s="16">
        <f>IF(OR(Topraklar!$J$47="Evet",AND(Topraklar!$L$47&lt;&gt;"Evet",Topraklar!$K$47&lt;&gt;Bitkiler!$C$81)),0,MAX(0,1-(Ayarlar!$B$2*ABS(Bitkiler!$D$81-Topraklar!$D$47)+Ayarlar!$B$3*ABS(Bitkiler!$E$81-Topraklar!$E$47)+Ayarlar!$B$4*ABS(Bitkiler!$F$81-Topraklar!$F$47)+Ayarlar!$B$5*ABS(Bitkiler!$G$81-Topraklar!$G$47)+Ayarlar!$B$6*IF(Bitkiler!$H$81=Topraklar!$H$47,0,1))/Ayarlar!$B$7)+IF(Topraklar!$K$47=Bitkiler!$C$81,0.002,IF(Topraklar!$L$47="Evet",0.001,0)))</f>
        <v/>
      </c>
      <c r="AV82" s="16">
        <f>IF(OR(Topraklar!$J$48="Evet",AND(Topraklar!$L$48&lt;&gt;"Evet",Topraklar!$K$48&lt;&gt;Bitkiler!$C$81)),0,MAX(0,1-(Ayarlar!$B$2*ABS(Bitkiler!$D$81-Topraklar!$D$48)+Ayarlar!$B$3*ABS(Bitkiler!$E$81-Topraklar!$E$48)+Ayarlar!$B$4*ABS(Bitkiler!$F$81-Topraklar!$F$48)+Ayarlar!$B$5*ABS(Bitkiler!$G$81-Topraklar!$G$48)+Ayarlar!$B$6*IF(Bitkiler!$H$81=Topraklar!$H$48,0,1))/Ayarlar!$B$7)+IF(Topraklar!$K$48=Bitkiler!$C$81,0.002,IF(Topraklar!$L$48="Evet",0.001,0)))</f>
        <v/>
      </c>
      <c r="AW82" s="16">
        <f>IF(OR(Topraklar!$J$49="Evet",AND(Topraklar!$L$49&lt;&gt;"Evet",Topraklar!$K$49&lt;&gt;Bitkiler!$C$81)),0,MAX(0,1-(Ayarlar!$B$2*ABS(Bitkiler!$D$81-Topraklar!$D$49)+Ayarlar!$B$3*ABS(Bitkiler!$E$81-Topraklar!$E$49)+Ayarlar!$B$4*ABS(Bitkiler!$F$81-Topraklar!$F$49)+Ayarlar!$B$5*ABS(Bitkiler!$G$81-Topraklar!$G$49)+Ayarlar!$B$6*IF(Bitkiler!$H$81=Topraklar!$H$49,0,1))/Ayarlar!$B$7)+IF(Topraklar!$K$49=Bitkiler!$C$81,0.002,IF(Topraklar!$L$49="Evet",0.001,0)))</f>
        <v/>
      </c>
      <c r="AX82" s="16">
        <f>IF(OR(Topraklar!$J$50="Evet",AND(Topraklar!$L$50&lt;&gt;"Evet",Topraklar!$K$50&lt;&gt;Bitkiler!$C$81)),0,MAX(0,1-(Ayarlar!$B$2*ABS(Bitkiler!$D$81-Topraklar!$D$50)+Ayarlar!$B$3*ABS(Bitkiler!$E$81-Topraklar!$E$50)+Ayarlar!$B$4*ABS(Bitkiler!$F$81-Topraklar!$F$50)+Ayarlar!$B$5*ABS(Bitkiler!$G$81-Topraklar!$G$50)+Ayarlar!$B$6*IF(Bitkiler!$H$81=Topraklar!$H$50,0,1))/Ayarlar!$B$7)+IF(Topraklar!$K$50=Bitkiler!$C$81,0.002,IF(Topraklar!$L$50="Evet",0.001,0)))</f>
        <v/>
      </c>
      <c r="AY82" s="16">
        <f>IF(OR(Topraklar!$J$51="Evet",AND(Topraklar!$L$51&lt;&gt;"Evet",Topraklar!$K$51&lt;&gt;Bitkiler!$C$81)),0,MAX(0,1-(Ayarlar!$B$2*ABS(Bitkiler!$D$81-Topraklar!$D$51)+Ayarlar!$B$3*ABS(Bitkiler!$E$81-Topraklar!$E$51)+Ayarlar!$B$4*ABS(Bitkiler!$F$81-Topraklar!$F$51)+Ayarlar!$B$5*ABS(Bitkiler!$G$81-Topraklar!$G$51)+Ayarlar!$B$6*IF(Bitkiler!$H$81=Topraklar!$H$51,0,1))/Ayarlar!$B$7)+IF(Topraklar!$K$51=Bitkiler!$C$81,0.002,IF(Topraklar!$L$51="Evet",0.001,0)))</f>
        <v/>
      </c>
    </row>
    <row r="83">
      <c r="A83" s="15">
        <f>Bitkiler!A82</f>
        <v/>
      </c>
      <c r="B83" s="16">
        <f>IF(OR(Topraklar!$J$2="Evet",AND(Topraklar!$L$2&lt;&gt;"Evet",Topraklar!$K$2&lt;&gt;Bitkiler!$C$82)),0,MAX(0,1-(Ayarlar!$B$2*ABS(Bitkiler!$D$82-Topraklar!$D$2)+Ayarlar!$B$3*ABS(Bitkiler!$E$82-Topraklar!$E$2)+Ayarlar!$B$4*ABS(Bitkiler!$F$82-Topraklar!$F$2)+Ayarlar!$B$5*ABS(Bitkiler!$G$82-Topraklar!$G$2)+Ayarlar!$B$6*IF(Bitkiler!$H$82=Topraklar!$H$2,0,1))/Ayarlar!$B$7)+IF(Topraklar!$K$2=Bitkiler!$C$82,0.002,IF(Topraklar!$L$2="Evet",0.001,0)))</f>
        <v/>
      </c>
      <c r="C83" s="16">
        <f>IF(OR(Topraklar!$J$3="Evet",AND(Topraklar!$L$3&lt;&gt;"Evet",Topraklar!$K$3&lt;&gt;Bitkiler!$C$82)),0,MAX(0,1-(Ayarlar!$B$2*ABS(Bitkiler!$D$82-Topraklar!$D$3)+Ayarlar!$B$3*ABS(Bitkiler!$E$82-Topraklar!$E$3)+Ayarlar!$B$4*ABS(Bitkiler!$F$82-Topraklar!$F$3)+Ayarlar!$B$5*ABS(Bitkiler!$G$82-Topraklar!$G$3)+Ayarlar!$B$6*IF(Bitkiler!$H$82=Topraklar!$H$3,0,1))/Ayarlar!$B$7)+IF(Topraklar!$K$3=Bitkiler!$C$82,0.002,IF(Topraklar!$L$3="Evet",0.001,0)))</f>
        <v/>
      </c>
      <c r="D83" s="16">
        <f>IF(OR(Topraklar!$J$4="Evet",AND(Topraklar!$L$4&lt;&gt;"Evet",Topraklar!$K$4&lt;&gt;Bitkiler!$C$82)),0,MAX(0,1-(Ayarlar!$B$2*ABS(Bitkiler!$D$82-Topraklar!$D$4)+Ayarlar!$B$3*ABS(Bitkiler!$E$82-Topraklar!$E$4)+Ayarlar!$B$4*ABS(Bitkiler!$F$82-Topraklar!$F$4)+Ayarlar!$B$5*ABS(Bitkiler!$G$82-Topraklar!$G$4)+Ayarlar!$B$6*IF(Bitkiler!$H$82=Topraklar!$H$4,0,1))/Ayarlar!$B$7)+IF(Topraklar!$K$4=Bitkiler!$C$82,0.002,IF(Topraklar!$L$4="Evet",0.001,0)))</f>
        <v/>
      </c>
      <c r="E83" s="16">
        <f>IF(OR(Topraklar!$J$5="Evet",AND(Topraklar!$L$5&lt;&gt;"Evet",Topraklar!$K$5&lt;&gt;Bitkiler!$C$82)),0,MAX(0,1-(Ayarlar!$B$2*ABS(Bitkiler!$D$82-Topraklar!$D$5)+Ayarlar!$B$3*ABS(Bitkiler!$E$82-Topraklar!$E$5)+Ayarlar!$B$4*ABS(Bitkiler!$F$82-Topraklar!$F$5)+Ayarlar!$B$5*ABS(Bitkiler!$G$82-Topraklar!$G$5)+Ayarlar!$B$6*IF(Bitkiler!$H$82=Topraklar!$H$5,0,1))/Ayarlar!$B$7)+IF(Topraklar!$K$5=Bitkiler!$C$82,0.002,IF(Topraklar!$L$5="Evet",0.001,0)))</f>
        <v/>
      </c>
      <c r="F83" s="16">
        <f>IF(OR(Topraklar!$J$6="Evet",AND(Topraklar!$L$6&lt;&gt;"Evet",Topraklar!$K$6&lt;&gt;Bitkiler!$C$82)),0,MAX(0,1-(Ayarlar!$B$2*ABS(Bitkiler!$D$82-Topraklar!$D$6)+Ayarlar!$B$3*ABS(Bitkiler!$E$82-Topraklar!$E$6)+Ayarlar!$B$4*ABS(Bitkiler!$F$82-Topraklar!$F$6)+Ayarlar!$B$5*ABS(Bitkiler!$G$82-Topraklar!$G$6)+Ayarlar!$B$6*IF(Bitkiler!$H$82=Topraklar!$H$6,0,1))/Ayarlar!$B$7)+IF(Topraklar!$K$6=Bitkiler!$C$82,0.002,IF(Topraklar!$L$6="Evet",0.001,0)))</f>
        <v/>
      </c>
      <c r="G83" s="16">
        <f>IF(OR(Topraklar!$J$7="Evet",AND(Topraklar!$L$7&lt;&gt;"Evet",Topraklar!$K$7&lt;&gt;Bitkiler!$C$82)),0,MAX(0,1-(Ayarlar!$B$2*ABS(Bitkiler!$D$82-Topraklar!$D$7)+Ayarlar!$B$3*ABS(Bitkiler!$E$82-Topraklar!$E$7)+Ayarlar!$B$4*ABS(Bitkiler!$F$82-Topraklar!$F$7)+Ayarlar!$B$5*ABS(Bitkiler!$G$82-Topraklar!$G$7)+Ayarlar!$B$6*IF(Bitkiler!$H$82=Topraklar!$H$7,0,1))/Ayarlar!$B$7)+IF(Topraklar!$K$7=Bitkiler!$C$82,0.002,IF(Topraklar!$L$7="Evet",0.001,0)))</f>
        <v/>
      </c>
      <c r="H83" s="16">
        <f>IF(OR(Topraklar!$J$8="Evet",AND(Topraklar!$L$8&lt;&gt;"Evet",Topraklar!$K$8&lt;&gt;Bitkiler!$C$82)),0,MAX(0,1-(Ayarlar!$B$2*ABS(Bitkiler!$D$82-Topraklar!$D$8)+Ayarlar!$B$3*ABS(Bitkiler!$E$82-Topraklar!$E$8)+Ayarlar!$B$4*ABS(Bitkiler!$F$82-Topraklar!$F$8)+Ayarlar!$B$5*ABS(Bitkiler!$G$82-Topraklar!$G$8)+Ayarlar!$B$6*IF(Bitkiler!$H$82=Topraklar!$H$8,0,1))/Ayarlar!$B$7)+IF(Topraklar!$K$8=Bitkiler!$C$82,0.002,IF(Topraklar!$L$8="Evet",0.001,0)))</f>
        <v/>
      </c>
      <c r="I83" s="16">
        <f>IF(OR(Topraklar!$J$9="Evet",AND(Topraklar!$L$9&lt;&gt;"Evet",Topraklar!$K$9&lt;&gt;Bitkiler!$C$82)),0,MAX(0,1-(Ayarlar!$B$2*ABS(Bitkiler!$D$82-Topraklar!$D$9)+Ayarlar!$B$3*ABS(Bitkiler!$E$82-Topraklar!$E$9)+Ayarlar!$B$4*ABS(Bitkiler!$F$82-Topraklar!$F$9)+Ayarlar!$B$5*ABS(Bitkiler!$G$82-Topraklar!$G$9)+Ayarlar!$B$6*IF(Bitkiler!$H$82=Topraklar!$H$9,0,1))/Ayarlar!$B$7)+IF(Topraklar!$K$9=Bitkiler!$C$82,0.002,IF(Topraklar!$L$9="Evet",0.001,0)))</f>
        <v/>
      </c>
      <c r="J83" s="16">
        <f>IF(OR(Topraklar!$J$10="Evet",AND(Topraklar!$L$10&lt;&gt;"Evet",Topraklar!$K$10&lt;&gt;Bitkiler!$C$82)),0,MAX(0,1-(Ayarlar!$B$2*ABS(Bitkiler!$D$82-Topraklar!$D$10)+Ayarlar!$B$3*ABS(Bitkiler!$E$82-Topraklar!$E$10)+Ayarlar!$B$4*ABS(Bitkiler!$F$82-Topraklar!$F$10)+Ayarlar!$B$5*ABS(Bitkiler!$G$82-Topraklar!$G$10)+Ayarlar!$B$6*IF(Bitkiler!$H$82=Topraklar!$H$10,0,1))/Ayarlar!$B$7)+IF(Topraklar!$K$10=Bitkiler!$C$82,0.002,IF(Topraklar!$L$10="Evet",0.001,0)))</f>
        <v/>
      </c>
      <c r="K83" s="16">
        <f>IF(OR(Topraklar!$J$11="Evet",AND(Topraklar!$L$11&lt;&gt;"Evet",Topraklar!$K$11&lt;&gt;Bitkiler!$C$82)),0,MAX(0,1-(Ayarlar!$B$2*ABS(Bitkiler!$D$82-Topraklar!$D$11)+Ayarlar!$B$3*ABS(Bitkiler!$E$82-Topraklar!$E$11)+Ayarlar!$B$4*ABS(Bitkiler!$F$82-Topraklar!$F$11)+Ayarlar!$B$5*ABS(Bitkiler!$G$82-Topraklar!$G$11)+Ayarlar!$B$6*IF(Bitkiler!$H$82=Topraklar!$H$11,0,1))/Ayarlar!$B$7)+IF(Topraklar!$K$11=Bitkiler!$C$82,0.002,IF(Topraklar!$L$11="Evet",0.001,0)))</f>
        <v/>
      </c>
      <c r="L83" s="16">
        <f>IF(OR(Topraklar!$J$12="Evet",AND(Topraklar!$L$12&lt;&gt;"Evet",Topraklar!$K$12&lt;&gt;Bitkiler!$C$82)),0,MAX(0,1-(Ayarlar!$B$2*ABS(Bitkiler!$D$82-Topraklar!$D$12)+Ayarlar!$B$3*ABS(Bitkiler!$E$82-Topraklar!$E$12)+Ayarlar!$B$4*ABS(Bitkiler!$F$82-Topraklar!$F$12)+Ayarlar!$B$5*ABS(Bitkiler!$G$82-Topraklar!$G$12)+Ayarlar!$B$6*IF(Bitkiler!$H$82=Topraklar!$H$12,0,1))/Ayarlar!$B$7)+IF(Topraklar!$K$12=Bitkiler!$C$82,0.002,IF(Topraklar!$L$12="Evet",0.001,0)))</f>
        <v/>
      </c>
      <c r="M83" s="16">
        <f>IF(OR(Topraklar!$J$13="Evet",AND(Topraklar!$L$13&lt;&gt;"Evet",Topraklar!$K$13&lt;&gt;Bitkiler!$C$82)),0,MAX(0,1-(Ayarlar!$B$2*ABS(Bitkiler!$D$82-Topraklar!$D$13)+Ayarlar!$B$3*ABS(Bitkiler!$E$82-Topraklar!$E$13)+Ayarlar!$B$4*ABS(Bitkiler!$F$82-Topraklar!$F$13)+Ayarlar!$B$5*ABS(Bitkiler!$G$82-Topraklar!$G$13)+Ayarlar!$B$6*IF(Bitkiler!$H$82=Topraklar!$H$13,0,1))/Ayarlar!$B$7)+IF(Topraklar!$K$13=Bitkiler!$C$82,0.002,IF(Topraklar!$L$13="Evet",0.001,0)))</f>
        <v/>
      </c>
      <c r="N83" s="16">
        <f>IF(OR(Topraklar!$J$14="Evet",AND(Topraklar!$L$14&lt;&gt;"Evet",Topraklar!$K$14&lt;&gt;Bitkiler!$C$82)),0,MAX(0,1-(Ayarlar!$B$2*ABS(Bitkiler!$D$82-Topraklar!$D$14)+Ayarlar!$B$3*ABS(Bitkiler!$E$82-Topraklar!$E$14)+Ayarlar!$B$4*ABS(Bitkiler!$F$82-Topraklar!$F$14)+Ayarlar!$B$5*ABS(Bitkiler!$G$82-Topraklar!$G$14)+Ayarlar!$B$6*IF(Bitkiler!$H$82=Topraklar!$H$14,0,1))/Ayarlar!$B$7)+IF(Topraklar!$K$14=Bitkiler!$C$82,0.002,IF(Topraklar!$L$14="Evet",0.001,0)))</f>
        <v/>
      </c>
      <c r="O83" s="16">
        <f>IF(OR(Topraklar!$J$15="Evet",AND(Topraklar!$L$15&lt;&gt;"Evet",Topraklar!$K$15&lt;&gt;Bitkiler!$C$82)),0,MAX(0,1-(Ayarlar!$B$2*ABS(Bitkiler!$D$82-Topraklar!$D$15)+Ayarlar!$B$3*ABS(Bitkiler!$E$82-Topraklar!$E$15)+Ayarlar!$B$4*ABS(Bitkiler!$F$82-Topraklar!$F$15)+Ayarlar!$B$5*ABS(Bitkiler!$G$82-Topraklar!$G$15)+Ayarlar!$B$6*IF(Bitkiler!$H$82=Topraklar!$H$15,0,1))/Ayarlar!$B$7)+IF(Topraklar!$K$15=Bitkiler!$C$82,0.002,IF(Topraklar!$L$15="Evet",0.001,0)))</f>
        <v/>
      </c>
      <c r="P83" s="16">
        <f>IF(OR(Topraklar!$J$16="Evet",AND(Topraklar!$L$16&lt;&gt;"Evet",Topraklar!$K$16&lt;&gt;Bitkiler!$C$82)),0,MAX(0,1-(Ayarlar!$B$2*ABS(Bitkiler!$D$82-Topraklar!$D$16)+Ayarlar!$B$3*ABS(Bitkiler!$E$82-Topraklar!$E$16)+Ayarlar!$B$4*ABS(Bitkiler!$F$82-Topraklar!$F$16)+Ayarlar!$B$5*ABS(Bitkiler!$G$82-Topraklar!$G$16)+Ayarlar!$B$6*IF(Bitkiler!$H$82=Topraklar!$H$16,0,1))/Ayarlar!$B$7)+IF(Topraklar!$K$16=Bitkiler!$C$82,0.002,IF(Topraklar!$L$16="Evet",0.001,0)))</f>
        <v/>
      </c>
      <c r="Q83" s="16">
        <f>IF(OR(Topraklar!$J$17="Evet",AND(Topraklar!$L$17&lt;&gt;"Evet",Topraklar!$K$17&lt;&gt;Bitkiler!$C$82)),0,MAX(0,1-(Ayarlar!$B$2*ABS(Bitkiler!$D$82-Topraklar!$D$17)+Ayarlar!$B$3*ABS(Bitkiler!$E$82-Topraklar!$E$17)+Ayarlar!$B$4*ABS(Bitkiler!$F$82-Topraklar!$F$17)+Ayarlar!$B$5*ABS(Bitkiler!$G$82-Topraklar!$G$17)+Ayarlar!$B$6*IF(Bitkiler!$H$82=Topraklar!$H$17,0,1))/Ayarlar!$B$7)+IF(Topraklar!$K$17=Bitkiler!$C$82,0.002,IF(Topraklar!$L$17="Evet",0.001,0)))</f>
        <v/>
      </c>
      <c r="R83" s="16">
        <f>IF(OR(Topraklar!$J$18="Evet",AND(Topraklar!$L$18&lt;&gt;"Evet",Topraklar!$K$18&lt;&gt;Bitkiler!$C$82)),0,MAX(0,1-(Ayarlar!$B$2*ABS(Bitkiler!$D$82-Topraklar!$D$18)+Ayarlar!$B$3*ABS(Bitkiler!$E$82-Topraklar!$E$18)+Ayarlar!$B$4*ABS(Bitkiler!$F$82-Topraklar!$F$18)+Ayarlar!$B$5*ABS(Bitkiler!$G$82-Topraklar!$G$18)+Ayarlar!$B$6*IF(Bitkiler!$H$82=Topraklar!$H$18,0,1))/Ayarlar!$B$7)+IF(Topraklar!$K$18=Bitkiler!$C$82,0.002,IF(Topraklar!$L$18="Evet",0.001,0)))</f>
        <v/>
      </c>
      <c r="S83" s="16">
        <f>IF(OR(Topraklar!$J$19="Evet",AND(Topraklar!$L$19&lt;&gt;"Evet",Topraklar!$K$19&lt;&gt;Bitkiler!$C$82)),0,MAX(0,1-(Ayarlar!$B$2*ABS(Bitkiler!$D$82-Topraklar!$D$19)+Ayarlar!$B$3*ABS(Bitkiler!$E$82-Topraklar!$E$19)+Ayarlar!$B$4*ABS(Bitkiler!$F$82-Topraklar!$F$19)+Ayarlar!$B$5*ABS(Bitkiler!$G$82-Topraklar!$G$19)+Ayarlar!$B$6*IF(Bitkiler!$H$82=Topraklar!$H$19,0,1))/Ayarlar!$B$7)+IF(Topraklar!$K$19=Bitkiler!$C$82,0.002,IF(Topraklar!$L$19="Evet",0.001,0)))</f>
        <v/>
      </c>
      <c r="T83" s="16">
        <f>IF(OR(Topraklar!$J$20="Evet",AND(Topraklar!$L$20&lt;&gt;"Evet",Topraklar!$K$20&lt;&gt;Bitkiler!$C$82)),0,MAX(0,1-(Ayarlar!$B$2*ABS(Bitkiler!$D$82-Topraklar!$D$20)+Ayarlar!$B$3*ABS(Bitkiler!$E$82-Topraklar!$E$20)+Ayarlar!$B$4*ABS(Bitkiler!$F$82-Topraklar!$F$20)+Ayarlar!$B$5*ABS(Bitkiler!$G$82-Topraklar!$G$20)+Ayarlar!$B$6*IF(Bitkiler!$H$82=Topraklar!$H$20,0,1))/Ayarlar!$B$7)+IF(Topraklar!$K$20=Bitkiler!$C$82,0.002,IF(Topraklar!$L$20="Evet",0.001,0)))</f>
        <v/>
      </c>
      <c r="U83" s="16">
        <f>IF(OR(Topraklar!$J$21="Evet",AND(Topraklar!$L$21&lt;&gt;"Evet",Topraklar!$K$21&lt;&gt;Bitkiler!$C$82)),0,MAX(0,1-(Ayarlar!$B$2*ABS(Bitkiler!$D$82-Topraklar!$D$21)+Ayarlar!$B$3*ABS(Bitkiler!$E$82-Topraklar!$E$21)+Ayarlar!$B$4*ABS(Bitkiler!$F$82-Topraklar!$F$21)+Ayarlar!$B$5*ABS(Bitkiler!$G$82-Topraklar!$G$21)+Ayarlar!$B$6*IF(Bitkiler!$H$82=Topraklar!$H$21,0,1))/Ayarlar!$B$7)+IF(Topraklar!$K$21=Bitkiler!$C$82,0.002,IF(Topraklar!$L$21="Evet",0.001,0)))</f>
        <v/>
      </c>
      <c r="V83" s="16">
        <f>IF(OR(Topraklar!$J$22="Evet",AND(Topraklar!$L$22&lt;&gt;"Evet",Topraklar!$K$22&lt;&gt;Bitkiler!$C$82)),0,MAX(0,1-(Ayarlar!$B$2*ABS(Bitkiler!$D$82-Topraklar!$D$22)+Ayarlar!$B$3*ABS(Bitkiler!$E$82-Topraklar!$E$22)+Ayarlar!$B$4*ABS(Bitkiler!$F$82-Topraklar!$F$22)+Ayarlar!$B$5*ABS(Bitkiler!$G$82-Topraklar!$G$22)+Ayarlar!$B$6*IF(Bitkiler!$H$82=Topraklar!$H$22,0,1))/Ayarlar!$B$7)+IF(Topraklar!$K$22=Bitkiler!$C$82,0.002,IF(Topraklar!$L$22="Evet",0.001,0)))</f>
        <v/>
      </c>
      <c r="W83" s="16">
        <f>IF(OR(Topraklar!$J$23="Evet",AND(Topraklar!$L$23&lt;&gt;"Evet",Topraklar!$K$23&lt;&gt;Bitkiler!$C$82)),0,MAX(0,1-(Ayarlar!$B$2*ABS(Bitkiler!$D$82-Topraklar!$D$23)+Ayarlar!$B$3*ABS(Bitkiler!$E$82-Topraklar!$E$23)+Ayarlar!$B$4*ABS(Bitkiler!$F$82-Topraklar!$F$23)+Ayarlar!$B$5*ABS(Bitkiler!$G$82-Topraklar!$G$23)+Ayarlar!$B$6*IF(Bitkiler!$H$82=Topraklar!$H$23,0,1))/Ayarlar!$B$7)+IF(Topraklar!$K$23=Bitkiler!$C$82,0.002,IF(Topraklar!$L$23="Evet",0.001,0)))</f>
        <v/>
      </c>
      <c r="X83" s="16">
        <f>IF(OR(Topraklar!$J$24="Evet",AND(Topraklar!$L$24&lt;&gt;"Evet",Topraklar!$K$24&lt;&gt;Bitkiler!$C$82)),0,MAX(0,1-(Ayarlar!$B$2*ABS(Bitkiler!$D$82-Topraklar!$D$24)+Ayarlar!$B$3*ABS(Bitkiler!$E$82-Topraklar!$E$24)+Ayarlar!$B$4*ABS(Bitkiler!$F$82-Topraklar!$F$24)+Ayarlar!$B$5*ABS(Bitkiler!$G$82-Topraklar!$G$24)+Ayarlar!$B$6*IF(Bitkiler!$H$82=Topraklar!$H$24,0,1))/Ayarlar!$B$7)+IF(Topraklar!$K$24=Bitkiler!$C$82,0.002,IF(Topraklar!$L$24="Evet",0.001,0)))</f>
        <v/>
      </c>
      <c r="Y83" s="16">
        <f>IF(OR(Topraklar!$J$25="Evet",AND(Topraklar!$L$25&lt;&gt;"Evet",Topraklar!$K$25&lt;&gt;Bitkiler!$C$82)),0,MAX(0,1-(Ayarlar!$B$2*ABS(Bitkiler!$D$82-Topraklar!$D$25)+Ayarlar!$B$3*ABS(Bitkiler!$E$82-Topraklar!$E$25)+Ayarlar!$B$4*ABS(Bitkiler!$F$82-Topraklar!$F$25)+Ayarlar!$B$5*ABS(Bitkiler!$G$82-Topraklar!$G$25)+Ayarlar!$B$6*IF(Bitkiler!$H$82=Topraklar!$H$25,0,1))/Ayarlar!$B$7)+IF(Topraklar!$K$25=Bitkiler!$C$82,0.002,IF(Topraklar!$L$25="Evet",0.001,0)))</f>
        <v/>
      </c>
      <c r="Z83" s="16">
        <f>IF(OR(Topraklar!$J$26="Evet",AND(Topraklar!$L$26&lt;&gt;"Evet",Topraklar!$K$26&lt;&gt;Bitkiler!$C$82)),0,MAX(0,1-(Ayarlar!$B$2*ABS(Bitkiler!$D$82-Topraklar!$D$26)+Ayarlar!$B$3*ABS(Bitkiler!$E$82-Topraklar!$E$26)+Ayarlar!$B$4*ABS(Bitkiler!$F$82-Topraklar!$F$26)+Ayarlar!$B$5*ABS(Bitkiler!$G$82-Topraklar!$G$26)+Ayarlar!$B$6*IF(Bitkiler!$H$82=Topraklar!$H$26,0,1))/Ayarlar!$B$7)+IF(Topraklar!$K$26=Bitkiler!$C$82,0.002,IF(Topraklar!$L$26="Evet",0.001,0)))</f>
        <v/>
      </c>
      <c r="AA83" s="16">
        <f>IF(OR(Topraklar!$J$27="Evet",AND(Topraklar!$L$27&lt;&gt;"Evet",Topraklar!$K$27&lt;&gt;Bitkiler!$C$82)),0,MAX(0,1-(Ayarlar!$B$2*ABS(Bitkiler!$D$82-Topraklar!$D$27)+Ayarlar!$B$3*ABS(Bitkiler!$E$82-Topraklar!$E$27)+Ayarlar!$B$4*ABS(Bitkiler!$F$82-Topraklar!$F$27)+Ayarlar!$B$5*ABS(Bitkiler!$G$82-Topraklar!$G$27)+Ayarlar!$B$6*IF(Bitkiler!$H$82=Topraklar!$H$27,0,1))/Ayarlar!$B$7)+IF(Topraklar!$K$27=Bitkiler!$C$82,0.002,IF(Topraklar!$L$27="Evet",0.001,0)))</f>
        <v/>
      </c>
      <c r="AB83" s="16">
        <f>IF(OR(Topraklar!$J$28="Evet",AND(Topraklar!$L$28&lt;&gt;"Evet",Topraklar!$K$28&lt;&gt;Bitkiler!$C$82)),0,MAX(0,1-(Ayarlar!$B$2*ABS(Bitkiler!$D$82-Topraklar!$D$28)+Ayarlar!$B$3*ABS(Bitkiler!$E$82-Topraklar!$E$28)+Ayarlar!$B$4*ABS(Bitkiler!$F$82-Topraklar!$F$28)+Ayarlar!$B$5*ABS(Bitkiler!$G$82-Topraklar!$G$28)+Ayarlar!$B$6*IF(Bitkiler!$H$82=Topraklar!$H$28,0,1))/Ayarlar!$B$7)+IF(Topraklar!$K$28=Bitkiler!$C$82,0.002,IF(Topraklar!$L$28="Evet",0.001,0)))</f>
        <v/>
      </c>
      <c r="AC83" s="16">
        <f>IF(OR(Topraklar!$J$29="Evet",AND(Topraklar!$L$29&lt;&gt;"Evet",Topraklar!$K$29&lt;&gt;Bitkiler!$C$82)),0,MAX(0,1-(Ayarlar!$B$2*ABS(Bitkiler!$D$82-Topraklar!$D$29)+Ayarlar!$B$3*ABS(Bitkiler!$E$82-Topraklar!$E$29)+Ayarlar!$B$4*ABS(Bitkiler!$F$82-Topraklar!$F$29)+Ayarlar!$B$5*ABS(Bitkiler!$G$82-Topraklar!$G$29)+Ayarlar!$B$6*IF(Bitkiler!$H$82=Topraklar!$H$29,0,1))/Ayarlar!$B$7)+IF(Topraklar!$K$29=Bitkiler!$C$82,0.002,IF(Topraklar!$L$29="Evet",0.001,0)))</f>
        <v/>
      </c>
      <c r="AD83" s="16">
        <f>IF(OR(Topraklar!$J$30="Evet",AND(Topraklar!$L$30&lt;&gt;"Evet",Topraklar!$K$30&lt;&gt;Bitkiler!$C$82)),0,MAX(0,1-(Ayarlar!$B$2*ABS(Bitkiler!$D$82-Topraklar!$D$30)+Ayarlar!$B$3*ABS(Bitkiler!$E$82-Topraklar!$E$30)+Ayarlar!$B$4*ABS(Bitkiler!$F$82-Topraklar!$F$30)+Ayarlar!$B$5*ABS(Bitkiler!$G$82-Topraklar!$G$30)+Ayarlar!$B$6*IF(Bitkiler!$H$82=Topraklar!$H$30,0,1))/Ayarlar!$B$7)+IF(Topraklar!$K$30=Bitkiler!$C$82,0.002,IF(Topraklar!$L$30="Evet",0.001,0)))</f>
        <v/>
      </c>
      <c r="AE83" s="16">
        <f>IF(OR(Topraklar!$J$31="Evet",AND(Topraklar!$L$31&lt;&gt;"Evet",Topraklar!$K$31&lt;&gt;Bitkiler!$C$82)),0,MAX(0,1-(Ayarlar!$B$2*ABS(Bitkiler!$D$82-Topraklar!$D$31)+Ayarlar!$B$3*ABS(Bitkiler!$E$82-Topraklar!$E$31)+Ayarlar!$B$4*ABS(Bitkiler!$F$82-Topraklar!$F$31)+Ayarlar!$B$5*ABS(Bitkiler!$G$82-Topraklar!$G$31)+Ayarlar!$B$6*IF(Bitkiler!$H$82=Topraklar!$H$31,0,1))/Ayarlar!$B$7)+IF(Topraklar!$K$31=Bitkiler!$C$82,0.002,IF(Topraklar!$L$31="Evet",0.001,0)))</f>
        <v/>
      </c>
      <c r="AF83" s="16">
        <f>IF(OR(Topraklar!$J$32="Evet",AND(Topraklar!$L$32&lt;&gt;"Evet",Topraklar!$K$32&lt;&gt;Bitkiler!$C$82)),0,MAX(0,1-(Ayarlar!$B$2*ABS(Bitkiler!$D$82-Topraklar!$D$32)+Ayarlar!$B$3*ABS(Bitkiler!$E$82-Topraklar!$E$32)+Ayarlar!$B$4*ABS(Bitkiler!$F$82-Topraklar!$F$32)+Ayarlar!$B$5*ABS(Bitkiler!$G$82-Topraklar!$G$32)+Ayarlar!$B$6*IF(Bitkiler!$H$82=Topraklar!$H$32,0,1))/Ayarlar!$B$7)+IF(Topraklar!$K$32=Bitkiler!$C$82,0.002,IF(Topraklar!$L$32="Evet",0.001,0)))</f>
        <v/>
      </c>
      <c r="AG83" s="16">
        <f>IF(OR(Topraklar!$J$33="Evet",AND(Topraklar!$L$33&lt;&gt;"Evet",Topraklar!$K$33&lt;&gt;Bitkiler!$C$82)),0,MAX(0,1-(Ayarlar!$B$2*ABS(Bitkiler!$D$82-Topraklar!$D$33)+Ayarlar!$B$3*ABS(Bitkiler!$E$82-Topraklar!$E$33)+Ayarlar!$B$4*ABS(Bitkiler!$F$82-Topraklar!$F$33)+Ayarlar!$B$5*ABS(Bitkiler!$G$82-Topraklar!$G$33)+Ayarlar!$B$6*IF(Bitkiler!$H$82=Topraklar!$H$33,0,1))/Ayarlar!$B$7)+IF(Topraklar!$K$33=Bitkiler!$C$82,0.002,IF(Topraklar!$L$33="Evet",0.001,0)))</f>
        <v/>
      </c>
      <c r="AH83" s="16">
        <f>IF(OR(Topraklar!$J$34="Evet",AND(Topraklar!$L$34&lt;&gt;"Evet",Topraklar!$K$34&lt;&gt;Bitkiler!$C$82)),0,MAX(0,1-(Ayarlar!$B$2*ABS(Bitkiler!$D$82-Topraklar!$D$34)+Ayarlar!$B$3*ABS(Bitkiler!$E$82-Topraklar!$E$34)+Ayarlar!$B$4*ABS(Bitkiler!$F$82-Topraklar!$F$34)+Ayarlar!$B$5*ABS(Bitkiler!$G$82-Topraklar!$G$34)+Ayarlar!$B$6*IF(Bitkiler!$H$82=Topraklar!$H$34,0,1))/Ayarlar!$B$7)+IF(Topraklar!$K$34=Bitkiler!$C$82,0.002,IF(Topraklar!$L$34="Evet",0.001,0)))</f>
        <v/>
      </c>
      <c r="AI83" s="16">
        <f>IF(OR(Topraklar!$J$35="Evet",AND(Topraklar!$L$35&lt;&gt;"Evet",Topraklar!$K$35&lt;&gt;Bitkiler!$C$82)),0,MAX(0,1-(Ayarlar!$B$2*ABS(Bitkiler!$D$82-Topraklar!$D$35)+Ayarlar!$B$3*ABS(Bitkiler!$E$82-Topraklar!$E$35)+Ayarlar!$B$4*ABS(Bitkiler!$F$82-Topraklar!$F$35)+Ayarlar!$B$5*ABS(Bitkiler!$G$82-Topraklar!$G$35)+Ayarlar!$B$6*IF(Bitkiler!$H$82=Topraklar!$H$35,0,1))/Ayarlar!$B$7)+IF(Topraklar!$K$35=Bitkiler!$C$82,0.002,IF(Topraklar!$L$35="Evet",0.001,0)))</f>
        <v/>
      </c>
      <c r="AJ83" s="16">
        <f>IF(OR(Topraklar!$J$36="Evet",AND(Topraklar!$L$36&lt;&gt;"Evet",Topraklar!$K$36&lt;&gt;Bitkiler!$C$82)),0,MAX(0,1-(Ayarlar!$B$2*ABS(Bitkiler!$D$82-Topraklar!$D$36)+Ayarlar!$B$3*ABS(Bitkiler!$E$82-Topraklar!$E$36)+Ayarlar!$B$4*ABS(Bitkiler!$F$82-Topraklar!$F$36)+Ayarlar!$B$5*ABS(Bitkiler!$G$82-Topraklar!$G$36)+Ayarlar!$B$6*IF(Bitkiler!$H$82=Topraklar!$H$36,0,1))/Ayarlar!$B$7)+IF(Topraklar!$K$36=Bitkiler!$C$82,0.002,IF(Topraklar!$L$36="Evet",0.001,0)))</f>
        <v/>
      </c>
      <c r="AK83" s="16">
        <f>IF(OR(Topraklar!$J$37="Evet",AND(Topraklar!$L$37&lt;&gt;"Evet",Topraklar!$K$37&lt;&gt;Bitkiler!$C$82)),0,MAX(0,1-(Ayarlar!$B$2*ABS(Bitkiler!$D$82-Topraklar!$D$37)+Ayarlar!$B$3*ABS(Bitkiler!$E$82-Topraklar!$E$37)+Ayarlar!$B$4*ABS(Bitkiler!$F$82-Topraklar!$F$37)+Ayarlar!$B$5*ABS(Bitkiler!$G$82-Topraklar!$G$37)+Ayarlar!$B$6*IF(Bitkiler!$H$82=Topraklar!$H$37,0,1))/Ayarlar!$B$7)+IF(Topraklar!$K$37=Bitkiler!$C$82,0.002,IF(Topraklar!$L$37="Evet",0.001,0)))</f>
        <v/>
      </c>
      <c r="AL83" s="16">
        <f>IF(OR(Topraklar!$J$38="Evet",AND(Topraklar!$L$38&lt;&gt;"Evet",Topraklar!$K$38&lt;&gt;Bitkiler!$C$82)),0,MAX(0,1-(Ayarlar!$B$2*ABS(Bitkiler!$D$82-Topraklar!$D$38)+Ayarlar!$B$3*ABS(Bitkiler!$E$82-Topraklar!$E$38)+Ayarlar!$B$4*ABS(Bitkiler!$F$82-Topraklar!$F$38)+Ayarlar!$B$5*ABS(Bitkiler!$G$82-Topraklar!$G$38)+Ayarlar!$B$6*IF(Bitkiler!$H$82=Topraklar!$H$38,0,1))/Ayarlar!$B$7)+IF(Topraklar!$K$38=Bitkiler!$C$82,0.002,IF(Topraklar!$L$38="Evet",0.001,0)))</f>
        <v/>
      </c>
      <c r="AM83" s="16">
        <f>IF(OR(Topraklar!$J$39="Evet",AND(Topraklar!$L$39&lt;&gt;"Evet",Topraklar!$K$39&lt;&gt;Bitkiler!$C$82)),0,MAX(0,1-(Ayarlar!$B$2*ABS(Bitkiler!$D$82-Topraklar!$D$39)+Ayarlar!$B$3*ABS(Bitkiler!$E$82-Topraklar!$E$39)+Ayarlar!$B$4*ABS(Bitkiler!$F$82-Topraklar!$F$39)+Ayarlar!$B$5*ABS(Bitkiler!$G$82-Topraklar!$G$39)+Ayarlar!$B$6*IF(Bitkiler!$H$82=Topraklar!$H$39,0,1))/Ayarlar!$B$7)+IF(Topraklar!$K$39=Bitkiler!$C$82,0.002,IF(Topraklar!$L$39="Evet",0.001,0)))</f>
        <v/>
      </c>
      <c r="AN83" s="16">
        <f>IF(OR(Topraklar!$J$40="Evet",AND(Topraklar!$L$40&lt;&gt;"Evet",Topraklar!$K$40&lt;&gt;Bitkiler!$C$82)),0,MAX(0,1-(Ayarlar!$B$2*ABS(Bitkiler!$D$82-Topraklar!$D$40)+Ayarlar!$B$3*ABS(Bitkiler!$E$82-Topraklar!$E$40)+Ayarlar!$B$4*ABS(Bitkiler!$F$82-Topraklar!$F$40)+Ayarlar!$B$5*ABS(Bitkiler!$G$82-Topraklar!$G$40)+Ayarlar!$B$6*IF(Bitkiler!$H$82=Topraklar!$H$40,0,1))/Ayarlar!$B$7)+IF(Topraklar!$K$40=Bitkiler!$C$82,0.002,IF(Topraklar!$L$40="Evet",0.001,0)))</f>
        <v/>
      </c>
      <c r="AO83" s="16">
        <f>IF(OR(Topraklar!$J$41="Evet",AND(Topraklar!$L$41&lt;&gt;"Evet",Topraklar!$K$41&lt;&gt;Bitkiler!$C$82)),0,MAX(0,1-(Ayarlar!$B$2*ABS(Bitkiler!$D$82-Topraklar!$D$41)+Ayarlar!$B$3*ABS(Bitkiler!$E$82-Topraklar!$E$41)+Ayarlar!$B$4*ABS(Bitkiler!$F$82-Topraklar!$F$41)+Ayarlar!$B$5*ABS(Bitkiler!$G$82-Topraklar!$G$41)+Ayarlar!$B$6*IF(Bitkiler!$H$82=Topraklar!$H$41,0,1))/Ayarlar!$B$7)+IF(Topraklar!$K$41=Bitkiler!$C$82,0.002,IF(Topraklar!$L$41="Evet",0.001,0)))</f>
        <v/>
      </c>
      <c r="AP83" s="16">
        <f>IF(OR(Topraklar!$J$42="Evet",AND(Topraklar!$L$42&lt;&gt;"Evet",Topraklar!$K$42&lt;&gt;Bitkiler!$C$82)),0,MAX(0,1-(Ayarlar!$B$2*ABS(Bitkiler!$D$82-Topraklar!$D$42)+Ayarlar!$B$3*ABS(Bitkiler!$E$82-Topraklar!$E$42)+Ayarlar!$B$4*ABS(Bitkiler!$F$82-Topraklar!$F$42)+Ayarlar!$B$5*ABS(Bitkiler!$G$82-Topraklar!$G$42)+Ayarlar!$B$6*IF(Bitkiler!$H$82=Topraklar!$H$42,0,1))/Ayarlar!$B$7)+IF(Topraklar!$K$42=Bitkiler!$C$82,0.002,IF(Topraklar!$L$42="Evet",0.001,0)))</f>
        <v/>
      </c>
      <c r="AQ83" s="16">
        <f>IF(OR(Topraklar!$J$43="Evet",AND(Topraklar!$L$43&lt;&gt;"Evet",Topraklar!$K$43&lt;&gt;Bitkiler!$C$82)),0,MAX(0,1-(Ayarlar!$B$2*ABS(Bitkiler!$D$82-Topraklar!$D$43)+Ayarlar!$B$3*ABS(Bitkiler!$E$82-Topraklar!$E$43)+Ayarlar!$B$4*ABS(Bitkiler!$F$82-Topraklar!$F$43)+Ayarlar!$B$5*ABS(Bitkiler!$G$82-Topraklar!$G$43)+Ayarlar!$B$6*IF(Bitkiler!$H$82=Topraklar!$H$43,0,1))/Ayarlar!$B$7)+IF(Topraklar!$K$43=Bitkiler!$C$82,0.002,IF(Topraklar!$L$43="Evet",0.001,0)))</f>
        <v/>
      </c>
      <c r="AR83" s="16">
        <f>IF(OR(Topraklar!$J$44="Evet",AND(Topraklar!$L$44&lt;&gt;"Evet",Topraklar!$K$44&lt;&gt;Bitkiler!$C$82)),0,MAX(0,1-(Ayarlar!$B$2*ABS(Bitkiler!$D$82-Topraklar!$D$44)+Ayarlar!$B$3*ABS(Bitkiler!$E$82-Topraklar!$E$44)+Ayarlar!$B$4*ABS(Bitkiler!$F$82-Topraklar!$F$44)+Ayarlar!$B$5*ABS(Bitkiler!$G$82-Topraklar!$G$44)+Ayarlar!$B$6*IF(Bitkiler!$H$82=Topraklar!$H$44,0,1))/Ayarlar!$B$7)+IF(Topraklar!$K$44=Bitkiler!$C$82,0.002,IF(Topraklar!$L$44="Evet",0.001,0)))</f>
        <v/>
      </c>
      <c r="AS83" s="16">
        <f>IF(OR(Topraklar!$J$45="Evet",AND(Topraklar!$L$45&lt;&gt;"Evet",Topraklar!$K$45&lt;&gt;Bitkiler!$C$82)),0,MAX(0,1-(Ayarlar!$B$2*ABS(Bitkiler!$D$82-Topraklar!$D$45)+Ayarlar!$B$3*ABS(Bitkiler!$E$82-Topraklar!$E$45)+Ayarlar!$B$4*ABS(Bitkiler!$F$82-Topraklar!$F$45)+Ayarlar!$B$5*ABS(Bitkiler!$G$82-Topraklar!$G$45)+Ayarlar!$B$6*IF(Bitkiler!$H$82=Topraklar!$H$45,0,1))/Ayarlar!$B$7)+IF(Topraklar!$K$45=Bitkiler!$C$82,0.002,IF(Topraklar!$L$45="Evet",0.001,0)))</f>
        <v/>
      </c>
      <c r="AT83" s="16">
        <f>IF(OR(Topraklar!$J$46="Evet",AND(Topraklar!$L$46&lt;&gt;"Evet",Topraklar!$K$46&lt;&gt;Bitkiler!$C$82)),0,MAX(0,1-(Ayarlar!$B$2*ABS(Bitkiler!$D$82-Topraklar!$D$46)+Ayarlar!$B$3*ABS(Bitkiler!$E$82-Topraklar!$E$46)+Ayarlar!$B$4*ABS(Bitkiler!$F$82-Topraklar!$F$46)+Ayarlar!$B$5*ABS(Bitkiler!$G$82-Topraklar!$G$46)+Ayarlar!$B$6*IF(Bitkiler!$H$82=Topraklar!$H$46,0,1))/Ayarlar!$B$7)+IF(Topraklar!$K$46=Bitkiler!$C$82,0.002,IF(Topraklar!$L$46="Evet",0.001,0)))</f>
        <v/>
      </c>
      <c r="AU83" s="16">
        <f>IF(OR(Topraklar!$J$47="Evet",AND(Topraklar!$L$47&lt;&gt;"Evet",Topraklar!$K$47&lt;&gt;Bitkiler!$C$82)),0,MAX(0,1-(Ayarlar!$B$2*ABS(Bitkiler!$D$82-Topraklar!$D$47)+Ayarlar!$B$3*ABS(Bitkiler!$E$82-Topraklar!$E$47)+Ayarlar!$B$4*ABS(Bitkiler!$F$82-Topraklar!$F$47)+Ayarlar!$B$5*ABS(Bitkiler!$G$82-Topraklar!$G$47)+Ayarlar!$B$6*IF(Bitkiler!$H$82=Topraklar!$H$47,0,1))/Ayarlar!$B$7)+IF(Topraklar!$K$47=Bitkiler!$C$82,0.002,IF(Topraklar!$L$47="Evet",0.001,0)))</f>
        <v/>
      </c>
      <c r="AV83" s="16">
        <f>IF(OR(Topraklar!$J$48="Evet",AND(Topraklar!$L$48&lt;&gt;"Evet",Topraklar!$K$48&lt;&gt;Bitkiler!$C$82)),0,MAX(0,1-(Ayarlar!$B$2*ABS(Bitkiler!$D$82-Topraklar!$D$48)+Ayarlar!$B$3*ABS(Bitkiler!$E$82-Topraklar!$E$48)+Ayarlar!$B$4*ABS(Bitkiler!$F$82-Topraklar!$F$48)+Ayarlar!$B$5*ABS(Bitkiler!$G$82-Topraklar!$G$48)+Ayarlar!$B$6*IF(Bitkiler!$H$82=Topraklar!$H$48,0,1))/Ayarlar!$B$7)+IF(Topraklar!$K$48=Bitkiler!$C$82,0.002,IF(Topraklar!$L$48="Evet",0.001,0)))</f>
        <v/>
      </c>
      <c r="AW83" s="16">
        <f>IF(OR(Topraklar!$J$49="Evet",AND(Topraklar!$L$49&lt;&gt;"Evet",Topraklar!$K$49&lt;&gt;Bitkiler!$C$82)),0,MAX(0,1-(Ayarlar!$B$2*ABS(Bitkiler!$D$82-Topraklar!$D$49)+Ayarlar!$B$3*ABS(Bitkiler!$E$82-Topraklar!$E$49)+Ayarlar!$B$4*ABS(Bitkiler!$F$82-Topraklar!$F$49)+Ayarlar!$B$5*ABS(Bitkiler!$G$82-Topraklar!$G$49)+Ayarlar!$B$6*IF(Bitkiler!$H$82=Topraklar!$H$49,0,1))/Ayarlar!$B$7)+IF(Topraklar!$K$49=Bitkiler!$C$82,0.002,IF(Topraklar!$L$49="Evet",0.001,0)))</f>
        <v/>
      </c>
      <c r="AX83" s="16">
        <f>IF(OR(Topraklar!$J$50="Evet",AND(Topraklar!$L$50&lt;&gt;"Evet",Topraklar!$K$50&lt;&gt;Bitkiler!$C$82)),0,MAX(0,1-(Ayarlar!$B$2*ABS(Bitkiler!$D$82-Topraklar!$D$50)+Ayarlar!$B$3*ABS(Bitkiler!$E$82-Topraklar!$E$50)+Ayarlar!$B$4*ABS(Bitkiler!$F$82-Topraklar!$F$50)+Ayarlar!$B$5*ABS(Bitkiler!$G$82-Topraklar!$G$50)+Ayarlar!$B$6*IF(Bitkiler!$H$82=Topraklar!$H$50,0,1))/Ayarlar!$B$7)+IF(Topraklar!$K$50=Bitkiler!$C$82,0.002,IF(Topraklar!$L$50="Evet",0.001,0)))</f>
        <v/>
      </c>
      <c r="AY83" s="16">
        <f>IF(OR(Topraklar!$J$51="Evet",AND(Topraklar!$L$51&lt;&gt;"Evet",Topraklar!$K$51&lt;&gt;Bitkiler!$C$82)),0,MAX(0,1-(Ayarlar!$B$2*ABS(Bitkiler!$D$82-Topraklar!$D$51)+Ayarlar!$B$3*ABS(Bitkiler!$E$82-Topraklar!$E$51)+Ayarlar!$B$4*ABS(Bitkiler!$F$82-Topraklar!$F$51)+Ayarlar!$B$5*ABS(Bitkiler!$G$82-Topraklar!$G$51)+Ayarlar!$B$6*IF(Bitkiler!$H$82=Topraklar!$H$51,0,1))/Ayarlar!$B$7)+IF(Topraklar!$K$51=Bitkiler!$C$82,0.002,IF(Topraklar!$L$51="Evet",0.001,0)))</f>
        <v/>
      </c>
    </row>
    <row r="84">
      <c r="A84" s="15">
        <f>Bitkiler!A83</f>
        <v/>
      </c>
      <c r="B84" s="16">
        <f>IF(OR(Topraklar!$J$2="Evet",AND(Topraklar!$L$2&lt;&gt;"Evet",Topraklar!$K$2&lt;&gt;Bitkiler!$C$83)),0,MAX(0,1-(Ayarlar!$B$2*ABS(Bitkiler!$D$83-Topraklar!$D$2)+Ayarlar!$B$3*ABS(Bitkiler!$E$83-Topraklar!$E$2)+Ayarlar!$B$4*ABS(Bitkiler!$F$83-Topraklar!$F$2)+Ayarlar!$B$5*ABS(Bitkiler!$G$83-Topraklar!$G$2)+Ayarlar!$B$6*IF(Bitkiler!$H$83=Topraklar!$H$2,0,1))/Ayarlar!$B$7)+IF(Topraklar!$K$2=Bitkiler!$C$83,0.002,IF(Topraklar!$L$2="Evet",0.001,0)))</f>
        <v/>
      </c>
      <c r="C84" s="16">
        <f>IF(OR(Topraklar!$J$3="Evet",AND(Topraklar!$L$3&lt;&gt;"Evet",Topraklar!$K$3&lt;&gt;Bitkiler!$C$83)),0,MAX(0,1-(Ayarlar!$B$2*ABS(Bitkiler!$D$83-Topraklar!$D$3)+Ayarlar!$B$3*ABS(Bitkiler!$E$83-Topraklar!$E$3)+Ayarlar!$B$4*ABS(Bitkiler!$F$83-Topraklar!$F$3)+Ayarlar!$B$5*ABS(Bitkiler!$G$83-Topraklar!$G$3)+Ayarlar!$B$6*IF(Bitkiler!$H$83=Topraklar!$H$3,0,1))/Ayarlar!$B$7)+IF(Topraklar!$K$3=Bitkiler!$C$83,0.002,IF(Topraklar!$L$3="Evet",0.001,0)))</f>
        <v/>
      </c>
      <c r="D84" s="16">
        <f>IF(OR(Topraklar!$J$4="Evet",AND(Topraklar!$L$4&lt;&gt;"Evet",Topraklar!$K$4&lt;&gt;Bitkiler!$C$83)),0,MAX(0,1-(Ayarlar!$B$2*ABS(Bitkiler!$D$83-Topraklar!$D$4)+Ayarlar!$B$3*ABS(Bitkiler!$E$83-Topraklar!$E$4)+Ayarlar!$B$4*ABS(Bitkiler!$F$83-Topraklar!$F$4)+Ayarlar!$B$5*ABS(Bitkiler!$G$83-Topraklar!$G$4)+Ayarlar!$B$6*IF(Bitkiler!$H$83=Topraklar!$H$4,0,1))/Ayarlar!$B$7)+IF(Topraklar!$K$4=Bitkiler!$C$83,0.002,IF(Topraklar!$L$4="Evet",0.001,0)))</f>
        <v/>
      </c>
      <c r="E84" s="16">
        <f>IF(OR(Topraklar!$J$5="Evet",AND(Topraklar!$L$5&lt;&gt;"Evet",Topraklar!$K$5&lt;&gt;Bitkiler!$C$83)),0,MAX(0,1-(Ayarlar!$B$2*ABS(Bitkiler!$D$83-Topraklar!$D$5)+Ayarlar!$B$3*ABS(Bitkiler!$E$83-Topraklar!$E$5)+Ayarlar!$B$4*ABS(Bitkiler!$F$83-Topraklar!$F$5)+Ayarlar!$B$5*ABS(Bitkiler!$G$83-Topraklar!$G$5)+Ayarlar!$B$6*IF(Bitkiler!$H$83=Topraklar!$H$5,0,1))/Ayarlar!$B$7)+IF(Topraklar!$K$5=Bitkiler!$C$83,0.002,IF(Topraklar!$L$5="Evet",0.001,0)))</f>
        <v/>
      </c>
      <c r="F84" s="16">
        <f>IF(OR(Topraklar!$J$6="Evet",AND(Topraklar!$L$6&lt;&gt;"Evet",Topraklar!$K$6&lt;&gt;Bitkiler!$C$83)),0,MAX(0,1-(Ayarlar!$B$2*ABS(Bitkiler!$D$83-Topraklar!$D$6)+Ayarlar!$B$3*ABS(Bitkiler!$E$83-Topraklar!$E$6)+Ayarlar!$B$4*ABS(Bitkiler!$F$83-Topraklar!$F$6)+Ayarlar!$B$5*ABS(Bitkiler!$G$83-Topraklar!$G$6)+Ayarlar!$B$6*IF(Bitkiler!$H$83=Topraklar!$H$6,0,1))/Ayarlar!$B$7)+IF(Topraklar!$K$6=Bitkiler!$C$83,0.002,IF(Topraklar!$L$6="Evet",0.001,0)))</f>
        <v/>
      </c>
      <c r="G84" s="16">
        <f>IF(OR(Topraklar!$J$7="Evet",AND(Topraklar!$L$7&lt;&gt;"Evet",Topraklar!$K$7&lt;&gt;Bitkiler!$C$83)),0,MAX(0,1-(Ayarlar!$B$2*ABS(Bitkiler!$D$83-Topraklar!$D$7)+Ayarlar!$B$3*ABS(Bitkiler!$E$83-Topraklar!$E$7)+Ayarlar!$B$4*ABS(Bitkiler!$F$83-Topraklar!$F$7)+Ayarlar!$B$5*ABS(Bitkiler!$G$83-Topraklar!$G$7)+Ayarlar!$B$6*IF(Bitkiler!$H$83=Topraklar!$H$7,0,1))/Ayarlar!$B$7)+IF(Topraklar!$K$7=Bitkiler!$C$83,0.002,IF(Topraklar!$L$7="Evet",0.001,0)))</f>
        <v/>
      </c>
      <c r="H84" s="16">
        <f>IF(OR(Topraklar!$J$8="Evet",AND(Topraklar!$L$8&lt;&gt;"Evet",Topraklar!$K$8&lt;&gt;Bitkiler!$C$83)),0,MAX(0,1-(Ayarlar!$B$2*ABS(Bitkiler!$D$83-Topraklar!$D$8)+Ayarlar!$B$3*ABS(Bitkiler!$E$83-Topraklar!$E$8)+Ayarlar!$B$4*ABS(Bitkiler!$F$83-Topraklar!$F$8)+Ayarlar!$B$5*ABS(Bitkiler!$G$83-Topraklar!$G$8)+Ayarlar!$B$6*IF(Bitkiler!$H$83=Topraklar!$H$8,0,1))/Ayarlar!$B$7)+IF(Topraklar!$K$8=Bitkiler!$C$83,0.002,IF(Topraklar!$L$8="Evet",0.001,0)))</f>
        <v/>
      </c>
      <c r="I84" s="16">
        <f>IF(OR(Topraklar!$J$9="Evet",AND(Topraklar!$L$9&lt;&gt;"Evet",Topraklar!$K$9&lt;&gt;Bitkiler!$C$83)),0,MAX(0,1-(Ayarlar!$B$2*ABS(Bitkiler!$D$83-Topraklar!$D$9)+Ayarlar!$B$3*ABS(Bitkiler!$E$83-Topraklar!$E$9)+Ayarlar!$B$4*ABS(Bitkiler!$F$83-Topraklar!$F$9)+Ayarlar!$B$5*ABS(Bitkiler!$G$83-Topraklar!$G$9)+Ayarlar!$B$6*IF(Bitkiler!$H$83=Topraklar!$H$9,0,1))/Ayarlar!$B$7)+IF(Topraklar!$K$9=Bitkiler!$C$83,0.002,IF(Topraklar!$L$9="Evet",0.001,0)))</f>
        <v/>
      </c>
      <c r="J84" s="16">
        <f>IF(OR(Topraklar!$J$10="Evet",AND(Topraklar!$L$10&lt;&gt;"Evet",Topraklar!$K$10&lt;&gt;Bitkiler!$C$83)),0,MAX(0,1-(Ayarlar!$B$2*ABS(Bitkiler!$D$83-Topraklar!$D$10)+Ayarlar!$B$3*ABS(Bitkiler!$E$83-Topraklar!$E$10)+Ayarlar!$B$4*ABS(Bitkiler!$F$83-Topraklar!$F$10)+Ayarlar!$B$5*ABS(Bitkiler!$G$83-Topraklar!$G$10)+Ayarlar!$B$6*IF(Bitkiler!$H$83=Topraklar!$H$10,0,1))/Ayarlar!$B$7)+IF(Topraklar!$K$10=Bitkiler!$C$83,0.002,IF(Topraklar!$L$10="Evet",0.001,0)))</f>
        <v/>
      </c>
      <c r="K84" s="16">
        <f>IF(OR(Topraklar!$J$11="Evet",AND(Topraklar!$L$11&lt;&gt;"Evet",Topraklar!$K$11&lt;&gt;Bitkiler!$C$83)),0,MAX(0,1-(Ayarlar!$B$2*ABS(Bitkiler!$D$83-Topraklar!$D$11)+Ayarlar!$B$3*ABS(Bitkiler!$E$83-Topraklar!$E$11)+Ayarlar!$B$4*ABS(Bitkiler!$F$83-Topraklar!$F$11)+Ayarlar!$B$5*ABS(Bitkiler!$G$83-Topraklar!$G$11)+Ayarlar!$B$6*IF(Bitkiler!$H$83=Topraklar!$H$11,0,1))/Ayarlar!$B$7)+IF(Topraklar!$K$11=Bitkiler!$C$83,0.002,IF(Topraklar!$L$11="Evet",0.001,0)))</f>
        <v/>
      </c>
      <c r="L84" s="16">
        <f>IF(OR(Topraklar!$J$12="Evet",AND(Topraklar!$L$12&lt;&gt;"Evet",Topraklar!$K$12&lt;&gt;Bitkiler!$C$83)),0,MAX(0,1-(Ayarlar!$B$2*ABS(Bitkiler!$D$83-Topraklar!$D$12)+Ayarlar!$B$3*ABS(Bitkiler!$E$83-Topraklar!$E$12)+Ayarlar!$B$4*ABS(Bitkiler!$F$83-Topraklar!$F$12)+Ayarlar!$B$5*ABS(Bitkiler!$G$83-Topraklar!$G$12)+Ayarlar!$B$6*IF(Bitkiler!$H$83=Topraklar!$H$12,0,1))/Ayarlar!$B$7)+IF(Topraklar!$K$12=Bitkiler!$C$83,0.002,IF(Topraklar!$L$12="Evet",0.001,0)))</f>
        <v/>
      </c>
      <c r="M84" s="16">
        <f>IF(OR(Topraklar!$J$13="Evet",AND(Topraklar!$L$13&lt;&gt;"Evet",Topraklar!$K$13&lt;&gt;Bitkiler!$C$83)),0,MAX(0,1-(Ayarlar!$B$2*ABS(Bitkiler!$D$83-Topraklar!$D$13)+Ayarlar!$B$3*ABS(Bitkiler!$E$83-Topraklar!$E$13)+Ayarlar!$B$4*ABS(Bitkiler!$F$83-Topraklar!$F$13)+Ayarlar!$B$5*ABS(Bitkiler!$G$83-Topraklar!$G$13)+Ayarlar!$B$6*IF(Bitkiler!$H$83=Topraklar!$H$13,0,1))/Ayarlar!$B$7)+IF(Topraklar!$K$13=Bitkiler!$C$83,0.002,IF(Topraklar!$L$13="Evet",0.001,0)))</f>
        <v/>
      </c>
      <c r="N84" s="16">
        <f>IF(OR(Topraklar!$J$14="Evet",AND(Topraklar!$L$14&lt;&gt;"Evet",Topraklar!$K$14&lt;&gt;Bitkiler!$C$83)),0,MAX(0,1-(Ayarlar!$B$2*ABS(Bitkiler!$D$83-Topraklar!$D$14)+Ayarlar!$B$3*ABS(Bitkiler!$E$83-Topraklar!$E$14)+Ayarlar!$B$4*ABS(Bitkiler!$F$83-Topraklar!$F$14)+Ayarlar!$B$5*ABS(Bitkiler!$G$83-Topraklar!$G$14)+Ayarlar!$B$6*IF(Bitkiler!$H$83=Topraklar!$H$14,0,1))/Ayarlar!$B$7)+IF(Topraklar!$K$14=Bitkiler!$C$83,0.002,IF(Topraklar!$L$14="Evet",0.001,0)))</f>
        <v/>
      </c>
      <c r="O84" s="16">
        <f>IF(OR(Topraklar!$J$15="Evet",AND(Topraklar!$L$15&lt;&gt;"Evet",Topraklar!$K$15&lt;&gt;Bitkiler!$C$83)),0,MAX(0,1-(Ayarlar!$B$2*ABS(Bitkiler!$D$83-Topraklar!$D$15)+Ayarlar!$B$3*ABS(Bitkiler!$E$83-Topraklar!$E$15)+Ayarlar!$B$4*ABS(Bitkiler!$F$83-Topraklar!$F$15)+Ayarlar!$B$5*ABS(Bitkiler!$G$83-Topraklar!$G$15)+Ayarlar!$B$6*IF(Bitkiler!$H$83=Topraklar!$H$15,0,1))/Ayarlar!$B$7)+IF(Topraklar!$K$15=Bitkiler!$C$83,0.002,IF(Topraklar!$L$15="Evet",0.001,0)))</f>
        <v/>
      </c>
      <c r="P84" s="16">
        <f>IF(OR(Topraklar!$J$16="Evet",AND(Topraklar!$L$16&lt;&gt;"Evet",Topraklar!$K$16&lt;&gt;Bitkiler!$C$83)),0,MAX(0,1-(Ayarlar!$B$2*ABS(Bitkiler!$D$83-Topraklar!$D$16)+Ayarlar!$B$3*ABS(Bitkiler!$E$83-Topraklar!$E$16)+Ayarlar!$B$4*ABS(Bitkiler!$F$83-Topraklar!$F$16)+Ayarlar!$B$5*ABS(Bitkiler!$G$83-Topraklar!$G$16)+Ayarlar!$B$6*IF(Bitkiler!$H$83=Topraklar!$H$16,0,1))/Ayarlar!$B$7)+IF(Topraklar!$K$16=Bitkiler!$C$83,0.002,IF(Topraklar!$L$16="Evet",0.001,0)))</f>
        <v/>
      </c>
      <c r="Q84" s="16">
        <f>IF(OR(Topraklar!$J$17="Evet",AND(Topraklar!$L$17&lt;&gt;"Evet",Topraklar!$K$17&lt;&gt;Bitkiler!$C$83)),0,MAX(0,1-(Ayarlar!$B$2*ABS(Bitkiler!$D$83-Topraklar!$D$17)+Ayarlar!$B$3*ABS(Bitkiler!$E$83-Topraklar!$E$17)+Ayarlar!$B$4*ABS(Bitkiler!$F$83-Topraklar!$F$17)+Ayarlar!$B$5*ABS(Bitkiler!$G$83-Topraklar!$G$17)+Ayarlar!$B$6*IF(Bitkiler!$H$83=Topraklar!$H$17,0,1))/Ayarlar!$B$7)+IF(Topraklar!$K$17=Bitkiler!$C$83,0.002,IF(Topraklar!$L$17="Evet",0.001,0)))</f>
        <v/>
      </c>
      <c r="R84" s="16">
        <f>IF(OR(Topraklar!$J$18="Evet",AND(Topraklar!$L$18&lt;&gt;"Evet",Topraklar!$K$18&lt;&gt;Bitkiler!$C$83)),0,MAX(0,1-(Ayarlar!$B$2*ABS(Bitkiler!$D$83-Topraklar!$D$18)+Ayarlar!$B$3*ABS(Bitkiler!$E$83-Topraklar!$E$18)+Ayarlar!$B$4*ABS(Bitkiler!$F$83-Topraklar!$F$18)+Ayarlar!$B$5*ABS(Bitkiler!$G$83-Topraklar!$G$18)+Ayarlar!$B$6*IF(Bitkiler!$H$83=Topraklar!$H$18,0,1))/Ayarlar!$B$7)+IF(Topraklar!$K$18=Bitkiler!$C$83,0.002,IF(Topraklar!$L$18="Evet",0.001,0)))</f>
        <v/>
      </c>
      <c r="S84" s="16">
        <f>IF(OR(Topraklar!$J$19="Evet",AND(Topraklar!$L$19&lt;&gt;"Evet",Topraklar!$K$19&lt;&gt;Bitkiler!$C$83)),0,MAX(0,1-(Ayarlar!$B$2*ABS(Bitkiler!$D$83-Topraklar!$D$19)+Ayarlar!$B$3*ABS(Bitkiler!$E$83-Topraklar!$E$19)+Ayarlar!$B$4*ABS(Bitkiler!$F$83-Topraklar!$F$19)+Ayarlar!$B$5*ABS(Bitkiler!$G$83-Topraklar!$G$19)+Ayarlar!$B$6*IF(Bitkiler!$H$83=Topraklar!$H$19,0,1))/Ayarlar!$B$7)+IF(Topraklar!$K$19=Bitkiler!$C$83,0.002,IF(Topraklar!$L$19="Evet",0.001,0)))</f>
        <v/>
      </c>
      <c r="T84" s="16">
        <f>IF(OR(Topraklar!$J$20="Evet",AND(Topraklar!$L$20&lt;&gt;"Evet",Topraklar!$K$20&lt;&gt;Bitkiler!$C$83)),0,MAX(0,1-(Ayarlar!$B$2*ABS(Bitkiler!$D$83-Topraklar!$D$20)+Ayarlar!$B$3*ABS(Bitkiler!$E$83-Topraklar!$E$20)+Ayarlar!$B$4*ABS(Bitkiler!$F$83-Topraklar!$F$20)+Ayarlar!$B$5*ABS(Bitkiler!$G$83-Topraklar!$G$20)+Ayarlar!$B$6*IF(Bitkiler!$H$83=Topraklar!$H$20,0,1))/Ayarlar!$B$7)+IF(Topraklar!$K$20=Bitkiler!$C$83,0.002,IF(Topraklar!$L$20="Evet",0.001,0)))</f>
        <v/>
      </c>
      <c r="U84" s="16">
        <f>IF(OR(Topraklar!$J$21="Evet",AND(Topraklar!$L$21&lt;&gt;"Evet",Topraklar!$K$21&lt;&gt;Bitkiler!$C$83)),0,MAX(0,1-(Ayarlar!$B$2*ABS(Bitkiler!$D$83-Topraklar!$D$21)+Ayarlar!$B$3*ABS(Bitkiler!$E$83-Topraklar!$E$21)+Ayarlar!$B$4*ABS(Bitkiler!$F$83-Topraklar!$F$21)+Ayarlar!$B$5*ABS(Bitkiler!$G$83-Topraklar!$G$21)+Ayarlar!$B$6*IF(Bitkiler!$H$83=Topraklar!$H$21,0,1))/Ayarlar!$B$7)+IF(Topraklar!$K$21=Bitkiler!$C$83,0.002,IF(Topraklar!$L$21="Evet",0.001,0)))</f>
        <v/>
      </c>
      <c r="V84" s="16">
        <f>IF(OR(Topraklar!$J$22="Evet",AND(Topraklar!$L$22&lt;&gt;"Evet",Topraklar!$K$22&lt;&gt;Bitkiler!$C$83)),0,MAX(0,1-(Ayarlar!$B$2*ABS(Bitkiler!$D$83-Topraklar!$D$22)+Ayarlar!$B$3*ABS(Bitkiler!$E$83-Topraklar!$E$22)+Ayarlar!$B$4*ABS(Bitkiler!$F$83-Topraklar!$F$22)+Ayarlar!$B$5*ABS(Bitkiler!$G$83-Topraklar!$G$22)+Ayarlar!$B$6*IF(Bitkiler!$H$83=Topraklar!$H$22,0,1))/Ayarlar!$B$7)+IF(Topraklar!$K$22=Bitkiler!$C$83,0.002,IF(Topraklar!$L$22="Evet",0.001,0)))</f>
        <v/>
      </c>
      <c r="W84" s="16">
        <f>IF(OR(Topraklar!$J$23="Evet",AND(Topraklar!$L$23&lt;&gt;"Evet",Topraklar!$K$23&lt;&gt;Bitkiler!$C$83)),0,MAX(0,1-(Ayarlar!$B$2*ABS(Bitkiler!$D$83-Topraklar!$D$23)+Ayarlar!$B$3*ABS(Bitkiler!$E$83-Topraklar!$E$23)+Ayarlar!$B$4*ABS(Bitkiler!$F$83-Topraklar!$F$23)+Ayarlar!$B$5*ABS(Bitkiler!$G$83-Topraklar!$G$23)+Ayarlar!$B$6*IF(Bitkiler!$H$83=Topraklar!$H$23,0,1))/Ayarlar!$B$7)+IF(Topraklar!$K$23=Bitkiler!$C$83,0.002,IF(Topraklar!$L$23="Evet",0.001,0)))</f>
        <v/>
      </c>
      <c r="X84" s="16">
        <f>IF(OR(Topraklar!$J$24="Evet",AND(Topraklar!$L$24&lt;&gt;"Evet",Topraklar!$K$24&lt;&gt;Bitkiler!$C$83)),0,MAX(0,1-(Ayarlar!$B$2*ABS(Bitkiler!$D$83-Topraklar!$D$24)+Ayarlar!$B$3*ABS(Bitkiler!$E$83-Topraklar!$E$24)+Ayarlar!$B$4*ABS(Bitkiler!$F$83-Topraklar!$F$24)+Ayarlar!$B$5*ABS(Bitkiler!$G$83-Topraklar!$G$24)+Ayarlar!$B$6*IF(Bitkiler!$H$83=Topraklar!$H$24,0,1))/Ayarlar!$B$7)+IF(Topraklar!$K$24=Bitkiler!$C$83,0.002,IF(Topraklar!$L$24="Evet",0.001,0)))</f>
        <v/>
      </c>
      <c r="Y84" s="16">
        <f>IF(OR(Topraklar!$J$25="Evet",AND(Topraklar!$L$25&lt;&gt;"Evet",Topraklar!$K$25&lt;&gt;Bitkiler!$C$83)),0,MAX(0,1-(Ayarlar!$B$2*ABS(Bitkiler!$D$83-Topraklar!$D$25)+Ayarlar!$B$3*ABS(Bitkiler!$E$83-Topraklar!$E$25)+Ayarlar!$B$4*ABS(Bitkiler!$F$83-Topraklar!$F$25)+Ayarlar!$B$5*ABS(Bitkiler!$G$83-Topraklar!$G$25)+Ayarlar!$B$6*IF(Bitkiler!$H$83=Topraklar!$H$25,0,1))/Ayarlar!$B$7)+IF(Topraklar!$K$25=Bitkiler!$C$83,0.002,IF(Topraklar!$L$25="Evet",0.001,0)))</f>
        <v/>
      </c>
      <c r="Z84" s="16">
        <f>IF(OR(Topraklar!$J$26="Evet",AND(Topraklar!$L$26&lt;&gt;"Evet",Topraklar!$K$26&lt;&gt;Bitkiler!$C$83)),0,MAX(0,1-(Ayarlar!$B$2*ABS(Bitkiler!$D$83-Topraklar!$D$26)+Ayarlar!$B$3*ABS(Bitkiler!$E$83-Topraklar!$E$26)+Ayarlar!$B$4*ABS(Bitkiler!$F$83-Topraklar!$F$26)+Ayarlar!$B$5*ABS(Bitkiler!$G$83-Topraklar!$G$26)+Ayarlar!$B$6*IF(Bitkiler!$H$83=Topraklar!$H$26,0,1))/Ayarlar!$B$7)+IF(Topraklar!$K$26=Bitkiler!$C$83,0.002,IF(Topraklar!$L$26="Evet",0.001,0)))</f>
        <v/>
      </c>
      <c r="AA84" s="16">
        <f>IF(OR(Topraklar!$J$27="Evet",AND(Topraklar!$L$27&lt;&gt;"Evet",Topraklar!$K$27&lt;&gt;Bitkiler!$C$83)),0,MAX(0,1-(Ayarlar!$B$2*ABS(Bitkiler!$D$83-Topraklar!$D$27)+Ayarlar!$B$3*ABS(Bitkiler!$E$83-Topraklar!$E$27)+Ayarlar!$B$4*ABS(Bitkiler!$F$83-Topraklar!$F$27)+Ayarlar!$B$5*ABS(Bitkiler!$G$83-Topraklar!$G$27)+Ayarlar!$B$6*IF(Bitkiler!$H$83=Topraklar!$H$27,0,1))/Ayarlar!$B$7)+IF(Topraklar!$K$27=Bitkiler!$C$83,0.002,IF(Topraklar!$L$27="Evet",0.001,0)))</f>
        <v/>
      </c>
      <c r="AB84" s="16">
        <f>IF(OR(Topraklar!$J$28="Evet",AND(Topraklar!$L$28&lt;&gt;"Evet",Topraklar!$K$28&lt;&gt;Bitkiler!$C$83)),0,MAX(0,1-(Ayarlar!$B$2*ABS(Bitkiler!$D$83-Topraklar!$D$28)+Ayarlar!$B$3*ABS(Bitkiler!$E$83-Topraklar!$E$28)+Ayarlar!$B$4*ABS(Bitkiler!$F$83-Topraklar!$F$28)+Ayarlar!$B$5*ABS(Bitkiler!$G$83-Topraklar!$G$28)+Ayarlar!$B$6*IF(Bitkiler!$H$83=Topraklar!$H$28,0,1))/Ayarlar!$B$7)+IF(Topraklar!$K$28=Bitkiler!$C$83,0.002,IF(Topraklar!$L$28="Evet",0.001,0)))</f>
        <v/>
      </c>
      <c r="AC84" s="16">
        <f>IF(OR(Topraklar!$J$29="Evet",AND(Topraklar!$L$29&lt;&gt;"Evet",Topraklar!$K$29&lt;&gt;Bitkiler!$C$83)),0,MAX(0,1-(Ayarlar!$B$2*ABS(Bitkiler!$D$83-Topraklar!$D$29)+Ayarlar!$B$3*ABS(Bitkiler!$E$83-Topraklar!$E$29)+Ayarlar!$B$4*ABS(Bitkiler!$F$83-Topraklar!$F$29)+Ayarlar!$B$5*ABS(Bitkiler!$G$83-Topraklar!$G$29)+Ayarlar!$B$6*IF(Bitkiler!$H$83=Topraklar!$H$29,0,1))/Ayarlar!$B$7)+IF(Topraklar!$K$29=Bitkiler!$C$83,0.002,IF(Topraklar!$L$29="Evet",0.001,0)))</f>
        <v/>
      </c>
      <c r="AD84" s="16">
        <f>IF(OR(Topraklar!$J$30="Evet",AND(Topraklar!$L$30&lt;&gt;"Evet",Topraklar!$K$30&lt;&gt;Bitkiler!$C$83)),0,MAX(0,1-(Ayarlar!$B$2*ABS(Bitkiler!$D$83-Topraklar!$D$30)+Ayarlar!$B$3*ABS(Bitkiler!$E$83-Topraklar!$E$30)+Ayarlar!$B$4*ABS(Bitkiler!$F$83-Topraklar!$F$30)+Ayarlar!$B$5*ABS(Bitkiler!$G$83-Topraklar!$G$30)+Ayarlar!$B$6*IF(Bitkiler!$H$83=Topraklar!$H$30,0,1))/Ayarlar!$B$7)+IF(Topraklar!$K$30=Bitkiler!$C$83,0.002,IF(Topraklar!$L$30="Evet",0.001,0)))</f>
        <v/>
      </c>
      <c r="AE84" s="16">
        <f>IF(OR(Topraklar!$J$31="Evet",AND(Topraklar!$L$31&lt;&gt;"Evet",Topraklar!$K$31&lt;&gt;Bitkiler!$C$83)),0,MAX(0,1-(Ayarlar!$B$2*ABS(Bitkiler!$D$83-Topraklar!$D$31)+Ayarlar!$B$3*ABS(Bitkiler!$E$83-Topraklar!$E$31)+Ayarlar!$B$4*ABS(Bitkiler!$F$83-Topraklar!$F$31)+Ayarlar!$B$5*ABS(Bitkiler!$G$83-Topraklar!$G$31)+Ayarlar!$B$6*IF(Bitkiler!$H$83=Topraklar!$H$31,0,1))/Ayarlar!$B$7)+IF(Topraklar!$K$31=Bitkiler!$C$83,0.002,IF(Topraklar!$L$31="Evet",0.001,0)))</f>
        <v/>
      </c>
      <c r="AF84" s="16">
        <f>IF(OR(Topraklar!$J$32="Evet",AND(Topraklar!$L$32&lt;&gt;"Evet",Topraklar!$K$32&lt;&gt;Bitkiler!$C$83)),0,MAX(0,1-(Ayarlar!$B$2*ABS(Bitkiler!$D$83-Topraklar!$D$32)+Ayarlar!$B$3*ABS(Bitkiler!$E$83-Topraklar!$E$32)+Ayarlar!$B$4*ABS(Bitkiler!$F$83-Topraklar!$F$32)+Ayarlar!$B$5*ABS(Bitkiler!$G$83-Topraklar!$G$32)+Ayarlar!$B$6*IF(Bitkiler!$H$83=Topraklar!$H$32,0,1))/Ayarlar!$B$7)+IF(Topraklar!$K$32=Bitkiler!$C$83,0.002,IF(Topraklar!$L$32="Evet",0.001,0)))</f>
        <v/>
      </c>
      <c r="AG84" s="16">
        <f>IF(OR(Topraklar!$J$33="Evet",AND(Topraklar!$L$33&lt;&gt;"Evet",Topraklar!$K$33&lt;&gt;Bitkiler!$C$83)),0,MAX(0,1-(Ayarlar!$B$2*ABS(Bitkiler!$D$83-Topraklar!$D$33)+Ayarlar!$B$3*ABS(Bitkiler!$E$83-Topraklar!$E$33)+Ayarlar!$B$4*ABS(Bitkiler!$F$83-Topraklar!$F$33)+Ayarlar!$B$5*ABS(Bitkiler!$G$83-Topraklar!$G$33)+Ayarlar!$B$6*IF(Bitkiler!$H$83=Topraklar!$H$33,0,1))/Ayarlar!$B$7)+IF(Topraklar!$K$33=Bitkiler!$C$83,0.002,IF(Topraklar!$L$33="Evet",0.001,0)))</f>
        <v/>
      </c>
      <c r="AH84" s="16">
        <f>IF(OR(Topraklar!$J$34="Evet",AND(Topraklar!$L$34&lt;&gt;"Evet",Topraklar!$K$34&lt;&gt;Bitkiler!$C$83)),0,MAX(0,1-(Ayarlar!$B$2*ABS(Bitkiler!$D$83-Topraklar!$D$34)+Ayarlar!$B$3*ABS(Bitkiler!$E$83-Topraklar!$E$34)+Ayarlar!$B$4*ABS(Bitkiler!$F$83-Topraklar!$F$34)+Ayarlar!$B$5*ABS(Bitkiler!$G$83-Topraklar!$G$34)+Ayarlar!$B$6*IF(Bitkiler!$H$83=Topraklar!$H$34,0,1))/Ayarlar!$B$7)+IF(Topraklar!$K$34=Bitkiler!$C$83,0.002,IF(Topraklar!$L$34="Evet",0.001,0)))</f>
        <v/>
      </c>
      <c r="AI84" s="16">
        <f>IF(OR(Topraklar!$J$35="Evet",AND(Topraklar!$L$35&lt;&gt;"Evet",Topraklar!$K$35&lt;&gt;Bitkiler!$C$83)),0,MAX(0,1-(Ayarlar!$B$2*ABS(Bitkiler!$D$83-Topraklar!$D$35)+Ayarlar!$B$3*ABS(Bitkiler!$E$83-Topraklar!$E$35)+Ayarlar!$B$4*ABS(Bitkiler!$F$83-Topraklar!$F$35)+Ayarlar!$B$5*ABS(Bitkiler!$G$83-Topraklar!$G$35)+Ayarlar!$B$6*IF(Bitkiler!$H$83=Topraklar!$H$35,0,1))/Ayarlar!$B$7)+IF(Topraklar!$K$35=Bitkiler!$C$83,0.002,IF(Topraklar!$L$35="Evet",0.001,0)))</f>
        <v/>
      </c>
      <c r="AJ84" s="16">
        <f>IF(OR(Topraklar!$J$36="Evet",AND(Topraklar!$L$36&lt;&gt;"Evet",Topraklar!$K$36&lt;&gt;Bitkiler!$C$83)),0,MAX(0,1-(Ayarlar!$B$2*ABS(Bitkiler!$D$83-Topraklar!$D$36)+Ayarlar!$B$3*ABS(Bitkiler!$E$83-Topraklar!$E$36)+Ayarlar!$B$4*ABS(Bitkiler!$F$83-Topraklar!$F$36)+Ayarlar!$B$5*ABS(Bitkiler!$G$83-Topraklar!$G$36)+Ayarlar!$B$6*IF(Bitkiler!$H$83=Topraklar!$H$36,0,1))/Ayarlar!$B$7)+IF(Topraklar!$K$36=Bitkiler!$C$83,0.002,IF(Topraklar!$L$36="Evet",0.001,0)))</f>
        <v/>
      </c>
      <c r="AK84" s="16">
        <f>IF(OR(Topraklar!$J$37="Evet",AND(Topraklar!$L$37&lt;&gt;"Evet",Topraklar!$K$37&lt;&gt;Bitkiler!$C$83)),0,MAX(0,1-(Ayarlar!$B$2*ABS(Bitkiler!$D$83-Topraklar!$D$37)+Ayarlar!$B$3*ABS(Bitkiler!$E$83-Topraklar!$E$37)+Ayarlar!$B$4*ABS(Bitkiler!$F$83-Topraklar!$F$37)+Ayarlar!$B$5*ABS(Bitkiler!$G$83-Topraklar!$G$37)+Ayarlar!$B$6*IF(Bitkiler!$H$83=Topraklar!$H$37,0,1))/Ayarlar!$B$7)+IF(Topraklar!$K$37=Bitkiler!$C$83,0.002,IF(Topraklar!$L$37="Evet",0.001,0)))</f>
        <v/>
      </c>
      <c r="AL84" s="16">
        <f>IF(OR(Topraklar!$J$38="Evet",AND(Topraklar!$L$38&lt;&gt;"Evet",Topraklar!$K$38&lt;&gt;Bitkiler!$C$83)),0,MAX(0,1-(Ayarlar!$B$2*ABS(Bitkiler!$D$83-Topraklar!$D$38)+Ayarlar!$B$3*ABS(Bitkiler!$E$83-Topraklar!$E$38)+Ayarlar!$B$4*ABS(Bitkiler!$F$83-Topraklar!$F$38)+Ayarlar!$B$5*ABS(Bitkiler!$G$83-Topraklar!$G$38)+Ayarlar!$B$6*IF(Bitkiler!$H$83=Topraklar!$H$38,0,1))/Ayarlar!$B$7)+IF(Topraklar!$K$38=Bitkiler!$C$83,0.002,IF(Topraklar!$L$38="Evet",0.001,0)))</f>
        <v/>
      </c>
      <c r="AM84" s="16">
        <f>IF(OR(Topraklar!$J$39="Evet",AND(Topraklar!$L$39&lt;&gt;"Evet",Topraklar!$K$39&lt;&gt;Bitkiler!$C$83)),0,MAX(0,1-(Ayarlar!$B$2*ABS(Bitkiler!$D$83-Topraklar!$D$39)+Ayarlar!$B$3*ABS(Bitkiler!$E$83-Topraklar!$E$39)+Ayarlar!$B$4*ABS(Bitkiler!$F$83-Topraklar!$F$39)+Ayarlar!$B$5*ABS(Bitkiler!$G$83-Topraklar!$G$39)+Ayarlar!$B$6*IF(Bitkiler!$H$83=Topraklar!$H$39,0,1))/Ayarlar!$B$7)+IF(Topraklar!$K$39=Bitkiler!$C$83,0.002,IF(Topraklar!$L$39="Evet",0.001,0)))</f>
        <v/>
      </c>
      <c r="AN84" s="16">
        <f>IF(OR(Topraklar!$J$40="Evet",AND(Topraklar!$L$40&lt;&gt;"Evet",Topraklar!$K$40&lt;&gt;Bitkiler!$C$83)),0,MAX(0,1-(Ayarlar!$B$2*ABS(Bitkiler!$D$83-Topraklar!$D$40)+Ayarlar!$B$3*ABS(Bitkiler!$E$83-Topraklar!$E$40)+Ayarlar!$B$4*ABS(Bitkiler!$F$83-Topraklar!$F$40)+Ayarlar!$B$5*ABS(Bitkiler!$G$83-Topraklar!$G$40)+Ayarlar!$B$6*IF(Bitkiler!$H$83=Topraklar!$H$40,0,1))/Ayarlar!$B$7)+IF(Topraklar!$K$40=Bitkiler!$C$83,0.002,IF(Topraklar!$L$40="Evet",0.001,0)))</f>
        <v/>
      </c>
      <c r="AO84" s="16">
        <f>IF(OR(Topraklar!$J$41="Evet",AND(Topraklar!$L$41&lt;&gt;"Evet",Topraklar!$K$41&lt;&gt;Bitkiler!$C$83)),0,MAX(0,1-(Ayarlar!$B$2*ABS(Bitkiler!$D$83-Topraklar!$D$41)+Ayarlar!$B$3*ABS(Bitkiler!$E$83-Topraklar!$E$41)+Ayarlar!$B$4*ABS(Bitkiler!$F$83-Topraklar!$F$41)+Ayarlar!$B$5*ABS(Bitkiler!$G$83-Topraklar!$G$41)+Ayarlar!$B$6*IF(Bitkiler!$H$83=Topraklar!$H$41,0,1))/Ayarlar!$B$7)+IF(Topraklar!$K$41=Bitkiler!$C$83,0.002,IF(Topraklar!$L$41="Evet",0.001,0)))</f>
        <v/>
      </c>
      <c r="AP84" s="16">
        <f>IF(OR(Topraklar!$J$42="Evet",AND(Topraklar!$L$42&lt;&gt;"Evet",Topraklar!$K$42&lt;&gt;Bitkiler!$C$83)),0,MAX(0,1-(Ayarlar!$B$2*ABS(Bitkiler!$D$83-Topraklar!$D$42)+Ayarlar!$B$3*ABS(Bitkiler!$E$83-Topraklar!$E$42)+Ayarlar!$B$4*ABS(Bitkiler!$F$83-Topraklar!$F$42)+Ayarlar!$B$5*ABS(Bitkiler!$G$83-Topraklar!$G$42)+Ayarlar!$B$6*IF(Bitkiler!$H$83=Topraklar!$H$42,0,1))/Ayarlar!$B$7)+IF(Topraklar!$K$42=Bitkiler!$C$83,0.002,IF(Topraklar!$L$42="Evet",0.001,0)))</f>
        <v/>
      </c>
      <c r="AQ84" s="16">
        <f>IF(OR(Topraklar!$J$43="Evet",AND(Topraklar!$L$43&lt;&gt;"Evet",Topraklar!$K$43&lt;&gt;Bitkiler!$C$83)),0,MAX(0,1-(Ayarlar!$B$2*ABS(Bitkiler!$D$83-Topraklar!$D$43)+Ayarlar!$B$3*ABS(Bitkiler!$E$83-Topraklar!$E$43)+Ayarlar!$B$4*ABS(Bitkiler!$F$83-Topraklar!$F$43)+Ayarlar!$B$5*ABS(Bitkiler!$G$83-Topraklar!$G$43)+Ayarlar!$B$6*IF(Bitkiler!$H$83=Topraklar!$H$43,0,1))/Ayarlar!$B$7)+IF(Topraklar!$K$43=Bitkiler!$C$83,0.002,IF(Topraklar!$L$43="Evet",0.001,0)))</f>
        <v/>
      </c>
      <c r="AR84" s="16">
        <f>IF(OR(Topraklar!$J$44="Evet",AND(Topraklar!$L$44&lt;&gt;"Evet",Topraklar!$K$44&lt;&gt;Bitkiler!$C$83)),0,MAX(0,1-(Ayarlar!$B$2*ABS(Bitkiler!$D$83-Topraklar!$D$44)+Ayarlar!$B$3*ABS(Bitkiler!$E$83-Topraklar!$E$44)+Ayarlar!$B$4*ABS(Bitkiler!$F$83-Topraklar!$F$44)+Ayarlar!$B$5*ABS(Bitkiler!$G$83-Topraklar!$G$44)+Ayarlar!$B$6*IF(Bitkiler!$H$83=Topraklar!$H$44,0,1))/Ayarlar!$B$7)+IF(Topraklar!$K$44=Bitkiler!$C$83,0.002,IF(Topraklar!$L$44="Evet",0.001,0)))</f>
        <v/>
      </c>
      <c r="AS84" s="16">
        <f>IF(OR(Topraklar!$J$45="Evet",AND(Topraklar!$L$45&lt;&gt;"Evet",Topraklar!$K$45&lt;&gt;Bitkiler!$C$83)),0,MAX(0,1-(Ayarlar!$B$2*ABS(Bitkiler!$D$83-Topraklar!$D$45)+Ayarlar!$B$3*ABS(Bitkiler!$E$83-Topraklar!$E$45)+Ayarlar!$B$4*ABS(Bitkiler!$F$83-Topraklar!$F$45)+Ayarlar!$B$5*ABS(Bitkiler!$G$83-Topraklar!$G$45)+Ayarlar!$B$6*IF(Bitkiler!$H$83=Topraklar!$H$45,0,1))/Ayarlar!$B$7)+IF(Topraklar!$K$45=Bitkiler!$C$83,0.002,IF(Topraklar!$L$45="Evet",0.001,0)))</f>
        <v/>
      </c>
      <c r="AT84" s="16">
        <f>IF(OR(Topraklar!$J$46="Evet",AND(Topraklar!$L$46&lt;&gt;"Evet",Topraklar!$K$46&lt;&gt;Bitkiler!$C$83)),0,MAX(0,1-(Ayarlar!$B$2*ABS(Bitkiler!$D$83-Topraklar!$D$46)+Ayarlar!$B$3*ABS(Bitkiler!$E$83-Topraklar!$E$46)+Ayarlar!$B$4*ABS(Bitkiler!$F$83-Topraklar!$F$46)+Ayarlar!$B$5*ABS(Bitkiler!$G$83-Topraklar!$G$46)+Ayarlar!$B$6*IF(Bitkiler!$H$83=Topraklar!$H$46,0,1))/Ayarlar!$B$7)+IF(Topraklar!$K$46=Bitkiler!$C$83,0.002,IF(Topraklar!$L$46="Evet",0.001,0)))</f>
        <v/>
      </c>
      <c r="AU84" s="16">
        <f>IF(OR(Topraklar!$J$47="Evet",AND(Topraklar!$L$47&lt;&gt;"Evet",Topraklar!$K$47&lt;&gt;Bitkiler!$C$83)),0,MAX(0,1-(Ayarlar!$B$2*ABS(Bitkiler!$D$83-Topraklar!$D$47)+Ayarlar!$B$3*ABS(Bitkiler!$E$83-Topraklar!$E$47)+Ayarlar!$B$4*ABS(Bitkiler!$F$83-Topraklar!$F$47)+Ayarlar!$B$5*ABS(Bitkiler!$G$83-Topraklar!$G$47)+Ayarlar!$B$6*IF(Bitkiler!$H$83=Topraklar!$H$47,0,1))/Ayarlar!$B$7)+IF(Topraklar!$K$47=Bitkiler!$C$83,0.002,IF(Topraklar!$L$47="Evet",0.001,0)))</f>
        <v/>
      </c>
      <c r="AV84" s="16">
        <f>IF(OR(Topraklar!$J$48="Evet",AND(Topraklar!$L$48&lt;&gt;"Evet",Topraklar!$K$48&lt;&gt;Bitkiler!$C$83)),0,MAX(0,1-(Ayarlar!$B$2*ABS(Bitkiler!$D$83-Topraklar!$D$48)+Ayarlar!$B$3*ABS(Bitkiler!$E$83-Topraklar!$E$48)+Ayarlar!$B$4*ABS(Bitkiler!$F$83-Topraklar!$F$48)+Ayarlar!$B$5*ABS(Bitkiler!$G$83-Topraklar!$G$48)+Ayarlar!$B$6*IF(Bitkiler!$H$83=Topraklar!$H$48,0,1))/Ayarlar!$B$7)+IF(Topraklar!$K$48=Bitkiler!$C$83,0.002,IF(Topraklar!$L$48="Evet",0.001,0)))</f>
        <v/>
      </c>
      <c r="AW84" s="16">
        <f>IF(OR(Topraklar!$J$49="Evet",AND(Topraklar!$L$49&lt;&gt;"Evet",Topraklar!$K$49&lt;&gt;Bitkiler!$C$83)),0,MAX(0,1-(Ayarlar!$B$2*ABS(Bitkiler!$D$83-Topraklar!$D$49)+Ayarlar!$B$3*ABS(Bitkiler!$E$83-Topraklar!$E$49)+Ayarlar!$B$4*ABS(Bitkiler!$F$83-Topraklar!$F$49)+Ayarlar!$B$5*ABS(Bitkiler!$G$83-Topraklar!$G$49)+Ayarlar!$B$6*IF(Bitkiler!$H$83=Topraklar!$H$49,0,1))/Ayarlar!$B$7)+IF(Topraklar!$K$49=Bitkiler!$C$83,0.002,IF(Topraklar!$L$49="Evet",0.001,0)))</f>
        <v/>
      </c>
      <c r="AX84" s="16">
        <f>IF(OR(Topraklar!$J$50="Evet",AND(Topraklar!$L$50&lt;&gt;"Evet",Topraklar!$K$50&lt;&gt;Bitkiler!$C$83)),0,MAX(0,1-(Ayarlar!$B$2*ABS(Bitkiler!$D$83-Topraklar!$D$50)+Ayarlar!$B$3*ABS(Bitkiler!$E$83-Topraklar!$E$50)+Ayarlar!$B$4*ABS(Bitkiler!$F$83-Topraklar!$F$50)+Ayarlar!$B$5*ABS(Bitkiler!$G$83-Topraklar!$G$50)+Ayarlar!$B$6*IF(Bitkiler!$H$83=Topraklar!$H$50,0,1))/Ayarlar!$B$7)+IF(Topraklar!$K$50=Bitkiler!$C$83,0.002,IF(Topraklar!$L$50="Evet",0.001,0)))</f>
        <v/>
      </c>
      <c r="AY84" s="16">
        <f>IF(OR(Topraklar!$J$51="Evet",AND(Topraklar!$L$51&lt;&gt;"Evet",Topraklar!$K$51&lt;&gt;Bitkiler!$C$83)),0,MAX(0,1-(Ayarlar!$B$2*ABS(Bitkiler!$D$83-Topraklar!$D$51)+Ayarlar!$B$3*ABS(Bitkiler!$E$83-Topraklar!$E$51)+Ayarlar!$B$4*ABS(Bitkiler!$F$83-Topraklar!$F$51)+Ayarlar!$B$5*ABS(Bitkiler!$G$83-Topraklar!$G$51)+Ayarlar!$B$6*IF(Bitkiler!$H$83=Topraklar!$H$51,0,1))/Ayarlar!$B$7)+IF(Topraklar!$K$51=Bitkiler!$C$83,0.002,IF(Topraklar!$L$51="Evet",0.001,0)))</f>
        <v/>
      </c>
    </row>
    <row r="85">
      <c r="A85" s="15">
        <f>Bitkiler!A84</f>
        <v/>
      </c>
      <c r="B85" s="16">
        <f>IF(OR(Topraklar!$J$2="Evet",AND(Topraklar!$L$2&lt;&gt;"Evet",Topraklar!$K$2&lt;&gt;Bitkiler!$C$84)),0,MAX(0,1-(Ayarlar!$B$2*ABS(Bitkiler!$D$84-Topraklar!$D$2)+Ayarlar!$B$3*ABS(Bitkiler!$E$84-Topraklar!$E$2)+Ayarlar!$B$4*ABS(Bitkiler!$F$84-Topraklar!$F$2)+Ayarlar!$B$5*ABS(Bitkiler!$G$84-Topraklar!$G$2)+Ayarlar!$B$6*IF(Bitkiler!$H$84=Topraklar!$H$2,0,1))/Ayarlar!$B$7)+IF(Topraklar!$K$2=Bitkiler!$C$84,0.002,IF(Topraklar!$L$2="Evet",0.001,0)))</f>
        <v/>
      </c>
      <c r="C85" s="16">
        <f>IF(OR(Topraklar!$J$3="Evet",AND(Topraklar!$L$3&lt;&gt;"Evet",Topraklar!$K$3&lt;&gt;Bitkiler!$C$84)),0,MAX(0,1-(Ayarlar!$B$2*ABS(Bitkiler!$D$84-Topraklar!$D$3)+Ayarlar!$B$3*ABS(Bitkiler!$E$84-Topraklar!$E$3)+Ayarlar!$B$4*ABS(Bitkiler!$F$84-Topraklar!$F$3)+Ayarlar!$B$5*ABS(Bitkiler!$G$84-Topraklar!$G$3)+Ayarlar!$B$6*IF(Bitkiler!$H$84=Topraklar!$H$3,0,1))/Ayarlar!$B$7)+IF(Topraklar!$K$3=Bitkiler!$C$84,0.002,IF(Topraklar!$L$3="Evet",0.001,0)))</f>
        <v/>
      </c>
      <c r="D85" s="16">
        <f>IF(OR(Topraklar!$J$4="Evet",AND(Topraklar!$L$4&lt;&gt;"Evet",Topraklar!$K$4&lt;&gt;Bitkiler!$C$84)),0,MAX(0,1-(Ayarlar!$B$2*ABS(Bitkiler!$D$84-Topraklar!$D$4)+Ayarlar!$B$3*ABS(Bitkiler!$E$84-Topraklar!$E$4)+Ayarlar!$B$4*ABS(Bitkiler!$F$84-Topraklar!$F$4)+Ayarlar!$B$5*ABS(Bitkiler!$G$84-Topraklar!$G$4)+Ayarlar!$B$6*IF(Bitkiler!$H$84=Topraklar!$H$4,0,1))/Ayarlar!$B$7)+IF(Topraklar!$K$4=Bitkiler!$C$84,0.002,IF(Topraklar!$L$4="Evet",0.001,0)))</f>
        <v/>
      </c>
      <c r="E85" s="16">
        <f>IF(OR(Topraklar!$J$5="Evet",AND(Topraklar!$L$5&lt;&gt;"Evet",Topraklar!$K$5&lt;&gt;Bitkiler!$C$84)),0,MAX(0,1-(Ayarlar!$B$2*ABS(Bitkiler!$D$84-Topraklar!$D$5)+Ayarlar!$B$3*ABS(Bitkiler!$E$84-Topraklar!$E$5)+Ayarlar!$B$4*ABS(Bitkiler!$F$84-Topraklar!$F$5)+Ayarlar!$B$5*ABS(Bitkiler!$G$84-Topraklar!$G$5)+Ayarlar!$B$6*IF(Bitkiler!$H$84=Topraklar!$H$5,0,1))/Ayarlar!$B$7)+IF(Topraklar!$K$5=Bitkiler!$C$84,0.002,IF(Topraklar!$L$5="Evet",0.001,0)))</f>
        <v/>
      </c>
      <c r="F85" s="16">
        <f>IF(OR(Topraklar!$J$6="Evet",AND(Topraklar!$L$6&lt;&gt;"Evet",Topraklar!$K$6&lt;&gt;Bitkiler!$C$84)),0,MAX(0,1-(Ayarlar!$B$2*ABS(Bitkiler!$D$84-Topraklar!$D$6)+Ayarlar!$B$3*ABS(Bitkiler!$E$84-Topraklar!$E$6)+Ayarlar!$B$4*ABS(Bitkiler!$F$84-Topraklar!$F$6)+Ayarlar!$B$5*ABS(Bitkiler!$G$84-Topraklar!$G$6)+Ayarlar!$B$6*IF(Bitkiler!$H$84=Topraklar!$H$6,0,1))/Ayarlar!$B$7)+IF(Topraklar!$K$6=Bitkiler!$C$84,0.002,IF(Topraklar!$L$6="Evet",0.001,0)))</f>
        <v/>
      </c>
      <c r="G85" s="16">
        <f>IF(OR(Topraklar!$J$7="Evet",AND(Topraklar!$L$7&lt;&gt;"Evet",Topraklar!$K$7&lt;&gt;Bitkiler!$C$84)),0,MAX(0,1-(Ayarlar!$B$2*ABS(Bitkiler!$D$84-Topraklar!$D$7)+Ayarlar!$B$3*ABS(Bitkiler!$E$84-Topraklar!$E$7)+Ayarlar!$B$4*ABS(Bitkiler!$F$84-Topraklar!$F$7)+Ayarlar!$B$5*ABS(Bitkiler!$G$84-Topraklar!$G$7)+Ayarlar!$B$6*IF(Bitkiler!$H$84=Topraklar!$H$7,0,1))/Ayarlar!$B$7)+IF(Topraklar!$K$7=Bitkiler!$C$84,0.002,IF(Topraklar!$L$7="Evet",0.001,0)))</f>
        <v/>
      </c>
      <c r="H85" s="16">
        <f>IF(OR(Topraklar!$J$8="Evet",AND(Topraklar!$L$8&lt;&gt;"Evet",Topraklar!$K$8&lt;&gt;Bitkiler!$C$84)),0,MAX(0,1-(Ayarlar!$B$2*ABS(Bitkiler!$D$84-Topraklar!$D$8)+Ayarlar!$B$3*ABS(Bitkiler!$E$84-Topraklar!$E$8)+Ayarlar!$B$4*ABS(Bitkiler!$F$84-Topraklar!$F$8)+Ayarlar!$B$5*ABS(Bitkiler!$G$84-Topraklar!$G$8)+Ayarlar!$B$6*IF(Bitkiler!$H$84=Topraklar!$H$8,0,1))/Ayarlar!$B$7)+IF(Topraklar!$K$8=Bitkiler!$C$84,0.002,IF(Topraklar!$L$8="Evet",0.001,0)))</f>
        <v/>
      </c>
      <c r="I85" s="16">
        <f>IF(OR(Topraklar!$J$9="Evet",AND(Topraklar!$L$9&lt;&gt;"Evet",Topraklar!$K$9&lt;&gt;Bitkiler!$C$84)),0,MAX(0,1-(Ayarlar!$B$2*ABS(Bitkiler!$D$84-Topraklar!$D$9)+Ayarlar!$B$3*ABS(Bitkiler!$E$84-Topraklar!$E$9)+Ayarlar!$B$4*ABS(Bitkiler!$F$84-Topraklar!$F$9)+Ayarlar!$B$5*ABS(Bitkiler!$G$84-Topraklar!$G$9)+Ayarlar!$B$6*IF(Bitkiler!$H$84=Topraklar!$H$9,0,1))/Ayarlar!$B$7)+IF(Topraklar!$K$9=Bitkiler!$C$84,0.002,IF(Topraklar!$L$9="Evet",0.001,0)))</f>
        <v/>
      </c>
      <c r="J85" s="16">
        <f>IF(OR(Topraklar!$J$10="Evet",AND(Topraklar!$L$10&lt;&gt;"Evet",Topraklar!$K$10&lt;&gt;Bitkiler!$C$84)),0,MAX(0,1-(Ayarlar!$B$2*ABS(Bitkiler!$D$84-Topraklar!$D$10)+Ayarlar!$B$3*ABS(Bitkiler!$E$84-Topraklar!$E$10)+Ayarlar!$B$4*ABS(Bitkiler!$F$84-Topraklar!$F$10)+Ayarlar!$B$5*ABS(Bitkiler!$G$84-Topraklar!$G$10)+Ayarlar!$B$6*IF(Bitkiler!$H$84=Topraklar!$H$10,0,1))/Ayarlar!$B$7)+IF(Topraklar!$K$10=Bitkiler!$C$84,0.002,IF(Topraklar!$L$10="Evet",0.001,0)))</f>
        <v/>
      </c>
      <c r="K85" s="16">
        <f>IF(OR(Topraklar!$J$11="Evet",AND(Topraklar!$L$11&lt;&gt;"Evet",Topraklar!$K$11&lt;&gt;Bitkiler!$C$84)),0,MAX(0,1-(Ayarlar!$B$2*ABS(Bitkiler!$D$84-Topraklar!$D$11)+Ayarlar!$B$3*ABS(Bitkiler!$E$84-Topraklar!$E$11)+Ayarlar!$B$4*ABS(Bitkiler!$F$84-Topraklar!$F$11)+Ayarlar!$B$5*ABS(Bitkiler!$G$84-Topraklar!$G$11)+Ayarlar!$B$6*IF(Bitkiler!$H$84=Topraklar!$H$11,0,1))/Ayarlar!$B$7)+IF(Topraklar!$K$11=Bitkiler!$C$84,0.002,IF(Topraklar!$L$11="Evet",0.001,0)))</f>
        <v/>
      </c>
      <c r="L85" s="16">
        <f>IF(OR(Topraklar!$J$12="Evet",AND(Topraklar!$L$12&lt;&gt;"Evet",Topraklar!$K$12&lt;&gt;Bitkiler!$C$84)),0,MAX(0,1-(Ayarlar!$B$2*ABS(Bitkiler!$D$84-Topraklar!$D$12)+Ayarlar!$B$3*ABS(Bitkiler!$E$84-Topraklar!$E$12)+Ayarlar!$B$4*ABS(Bitkiler!$F$84-Topraklar!$F$12)+Ayarlar!$B$5*ABS(Bitkiler!$G$84-Topraklar!$G$12)+Ayarlar!$B$6*IF(Bitkiler!$H$84=Topraklar!$H$12,0,1))/Ayarlar!$B$7)+IF(Topraklar!$K$12=Bitkiler!$C$84,0.002,IF(Topraklar!$L$12="Evet",0.001,0)))</f>
        <v/>
      </c>
      <c r="M85" s="16">
        <f>IF(OR(Topraklar!$J$13="Evet",AND(Topraklar!$L$13&lt;&gt;"Evet",Topraklar!$K$13&lt;&gt;Bitkiler!$C$84)),0,MAX(0,1-(Ayarlar!$B$2*ABS(Bitkiler!$D$84-Topraklar!$D$13)+Ayarlar!$B$3*ABS(Bitkiler!$E$84-Topraklar!$E$13)+Ayarlar!$B$4*ABS(Bitkiler!$F$84-Topraklar!$F$13)+Ayarlar!$B$5*ABS(Bitkiler!$G$84-Topraklar!$G$13)+Ayarlar!$B$6*IF(Bitkiler!$H$84=Topraklar!$H$13,0,1))/Ayarlar!$B$7)+IF(Topraklar!$K$13=Bitkiler!$C$84,0.002,IF(Topraklar!$L$13="Evet",0.001,0)))</f>
        <v/>
      </c>
      <c r="N85" s="16">
        <f>IF(OR(Topraklar!$J$14="Evet",AND(Topraklar!$L$14&lt;&gt;"Evet",Topraklar!$K$14&lt;&gt;Bitkiler!$C$84)),0,MAX(0,1-(Ayarlar!$B$2*ABS(Bitkiler!$D$84-Topraklar!$D$14)+Ayarlar!$B$3*ABS(Bitkiler!$E$84-Topraklar!$E$14)+Ayarlar!$B$4*ABS(Bitkiler!$F$84-Topraklar!$F$14)+Ayarlar!$B$5*ABS(Bitkiler!$G$84-Topraklar!$G$14)+Ayarlar!$B$6*IF(Bitkiler!$H$84=Topraklar!$H$14,0,1))/Ayarlar!$B$7)+IF(Topraklar!$K$14=Bitkiler!$C$84,0.002,IF(Topraklar!$L$14="Evet",0.001,0)))</f>
        <v/>
      </c>
      <c r="O85" s="16">
        <f>IF(OR(Topraklar!$J$15="Evet",AND(Topraklar!$L$15&lt;&gt;"Evet",Topraklar!$K$15&lt;&gt;Bitkiler!$C$84)),0,MAX(0,1-(Ayarlar!$B$2*ABS(Bitkiler!$D$84-Topraklar!$D$15)+Ayarlar!$B$3*ABS(Bitkiler!$E$84-Topraklar!$E$15)+Ayarlar!$B$4*ABS(Bitkiler!$F$84-Topraklar!$F$15)+Ayarlar!$B$5*ABS(Bitkiler!$G$84-Topraklar!$G$15)+Ayarlar!$B$6*IF(Bitkiler!$H$84=Topraklar!$H$15,0,1))/Ayarlar!$B$7)+IF(Topraklar!$K$15=Bitkiler!$C$84,0.002,IF(Topraklar!$L$15="Evet",0.001,0)))</f>
        <v/>
      </c>
      <c r="P85" s="16">
        <f>IF(OR(Topraklar!$J$16="Evet",AND(Topraklar!$L$16&lt;&gt;"Evet",Topraklar!$K$16&lt;&gt;Bitkiler!$C$84)),0,MAX(0,1-(Ayarlar!$B$2*ABS(Bitkiler!$D$84-Topraklar!$D$16)+Ayarlar!$B$3*ABS(Bitkiler!$E$84-Topraklar!$E$16)+Ayarlar!$B$4*ABS(Bitkiler!$F$84-Topraklar!$F$16)+Ayarlar!$B$5*ABS(Bitkiler!$G$84-Topraklar!$G$16)+Ayarlar!$B$6*IF(Bitkiler!$H$84=Topraklar!$H$16,0,1))/Ayarlar!$B$7)+IF(Topraklar!$K$16=Bitkiler!$C$84,0.002,IF(Topraklar!$L$16="Evet",0.001,0)))</f>
        <v/>
      </c>
      <c r="Q85" s="16">
        <f>IF(OR(Topraklar!$J$17="Evet",AND(Topraklar!$L$17&lt;&gt;"Evet",Topraklar!$K$17&lt;&gt;Bitkiler!$C$84)),0,MAX(0,1-(Ayarlar!$B$2*ABS(Bitkiler!$D$84-Topraklar!$D$17)+Ayarlar!$B$3*ABS(Bitkiler!$E$84-Topraklar!$E$17)+Ayarlar!$B$4*ABS(Bitkiler!$F$84-Topraklar!$F$17)+Ayarlar!$B$5*ABS(Bitkiler!$G$84-Topraklar!$G$17)+Ayarlar!$B$6*IF(Bitkiler!$H$84=Topraklar!$H$17,0,1))/Ayarlar!$B$7)+IF(Topraklar!$K$17=Bitkiler!$C$84,0.002,IF(Topraklar!$L$17="Evet",0.001,0)))</f>
        <v/>
      </c>
      <c r="R85" s="16">
        <f>IF(OR(Topraklar!$J$18="Evet",AND(Topraklar!$L$18&lt;&gt;"Evet",Topraklar!$K$18&lt;&gt;Bitkiler!$C$84)),0,MAX(0,1-(Ayarlar!$B$2*ABS(Bitkiler!$D$84-Topraklar!$D$18)+Ayarlar!$B$3*ABS(Bitkiler!$E$84-Topraklar!$E$18)+Ayarlar!$B$4*ABS(Bitkiler!$F$84-Topraklar!$F$18)+Ayarlar!$B$5*ABS(Bitkiler!$G$84-Topraklar!$G$18)+Ayarlar!$B$6*IF(Bitkiler!$H$84=Topraklar!$H$18,0,1))/Ayarlar!$B$7)+IF(Topraklar!$K$18=Bitkiler!$C$84,0.002,IF(Topraklar!$L$18="Evet",0.001,0)))</f>
        <v/>
      </c>
      <c r="S85" s="16">
        <f>IF(OR(Topraklar!$J$19="Evet",AND(Topraklar!$L$19&lt;&gt;"Evet",Topraklar!$K$19&lt;&gt;Bitkiler!$C$84)),0,MAX(0,1-(Ayarlar!$B$2*ABS(Bitkiler!$D$84-Topraklar!$D$19)+Ayarlar!$B$3*ABS(Bitkiler!$E$84-Topraklar!$E$19)+Ayarlar!$B$4*ABS(Bitkiler!$F$84-Topraklar!$F$19)+Ayarlar!$B$5*ABS(Bitkiler!$G$84-Topraklar!$G$19)+Ayarlar!$B$6*IF(Bitkiler!$H$84=Topraklar!$H$19,0,1))/Ayarlar!$B$7)+IF(Topraklar!$K$19=Bitkiler!$C$84,0.002,IF(Topraklar!$L$19="Evet",0.001,0)))</f>
        <v/>
      </c>
      <c r="T85" s="16">
        <f>IF(OR(Topraklar!$J$20="Evet",AND(Topraklar!$L$20&lt;&gt;"Evet",Topraklar!$K$20&lt;&gt;Bitkiler!$C$84)),0,MAX(0,1-(Ayarlar!$B$2*ABS(Bitkiler!$D$84-Topraklar!$D$20)+Ayarlar!$B$3*ABS(Bitkiler!$E$84-Topraklar!$E$20)+Ayarlar!$B$4*ABS(Bitkiler!$F$84-Topraklar!$F$20)+Ayarlar!$B$5*ABS(Bitkiler!$G$84-Topraklar!$G$20)+Ayarlar!$B$6*IF(Bitkiler!$H$84=Topraklar!$H$20,0,1))/Ayarlar!$B$7)+IF(Topraklar!$K$20=Bitkiler!$C$84,0.002,IF(Topraklar!$L$20="Evet",0.001,0)))</f>
        <v/>
      </c>
      <c r="U85" s="16">
        <f>IF(OR(Topraklar!$J$21="Evet",AND(Topraklar!$L$21&lt;&gt;"Evet",Topraklar!$K$21&lt;&gt;Bitkiler!$C$84)),0,MAX(0,1-(Ayarlar!$B$2*ABS(Bitkiler!$D$84-Topraklar!$D$21)+Ayarlar!$B$3*ABS(Bitkiler!$E$84-Topraklar!$E$21)+Ayarlar!$B$4*ABS(Bitkiler!$F$84-Topraklar!$F$21)+Ayarlar!$B$5*ABS(Bitkiler!$G$84-Topraklar!$G$21)+Ayarlar!$B$6*IF(Bitkiler!$H$84=Topraklar!$H$21,0,1))/Ayarlar!$B$7)+IF(Topraklar!$K$21=Bitkiler!$C$84,0.002,IF(Topraklar!$L$21="Evet",0.001,0)))</f>
        <v/>
      </c>
      <c r="V85" s="16">
        <f>IF(OR(Topraklar!$J$22="Evet",AND(Topraklar!$L$22&lt;&gt;"Evet",Topraklar!$K$22&lt;&gt;Bitkiler!$C$84)),0,MAX(0,1-(Ayarlar!$B$2*ABS(Bitkiler!$D$84-Topraklar!$D$22)+Ayarlar!$B$3*ABS(Bitkiler!$E$84-Topraklar!$E$22)+Ayarlar!$B$4*ABS(Bitkiler!$F$84-Topraklar!$F$22)+Ayarlar!$B$5*ABS(Bitkiler!$G$84-Topraklar!$G$22)+Ayarlar!$B$6*IF(Bitkiler!$H$84=Topraklar!$H$22,0,1))/Ayarlar!$B$7)+IF(Topraklar!$K$22=Bitkiler!$C$84,0.002,IF(Topraklar!$L$22="Evet",0.001,0)))</f>
        <v/>
      </c>
      <c r="W85" s="16">
        <f>IF(OR(Topraklar!$J$23="Evet",AND(Topraklar!$L$23&lt;&gt;"Evet",Topraklar!$K$23&lt;&gt;Bitkiler!$C$84)),0,MAX(0,1-(Ayarlar!$B$2*ABS(Bitkiler!$D$84-Topraklar!$D$23)+Ayarlar!$B$3*ABS(Bitkiler!$E$84-Topraklar!$E$23)+Ayarlar!$B$4*ABS(Bitkiler!$F$84-Topraklar!$F$23)+Ayarlar!$B$5*ABS(Bitkiler!$G$84-Topraklar!$G$23)+Ayarlar!$B$6*IF(Bitkiler!$H$84=Topraklar!$H$23,0,1))/Ayarlar!$B$7)+IF(Topraklar!$K$23=Bitkiler!$C$84,0.002,IF(Topraklar!$L$23="Evet",0.001,0)))</f>
        <v/>
      </c>
      <c r="X85" s="16">
        <f>IF(OR(Topraklar!$J$24="Evet",AND(Topraklar!$L$24&lt;&gt;"Evet",Topraklar!$K$24&lt;&gt;Bitkiler!$C$84)),0,MAX(0,1-(Ayarlar!$B$2*ABS(Bitkiler!$D$84-Topraklar!$D$24)+Ayarlar!$B$3*ABS(Bitkiler!$E$84-Topraklar!$E$24)+Ayarlar!$B$4*ABS(Bitkiler!$F$84-Topraklar!$F$24)+Ayarlar!$B$5*ABS(Bitkiler!$G$84-Topraklar!$G$24)+Ayarlar!$B$6*IF(Bitkiler!$H$84=Topraklar!$H$24,0,1))/Ayarlar!$B$7)+IF(Topraklar!$K$24=Bitkiler!$C$84,0.002,IF(Topraklar!$L$24="Evet",0.001,0)))</f>
        <v/>
      </c>
      <c r="Y85" s="16">
        <f>IF(OR(Topraklar!$J$25="Evet",AND(Topraklar!$L$25&lt;&gt;"Evet",Topraklar!$K$25&lt;&gt;Bitkiler!$C$84)),0,MAX(0,1-(Ayarlar!$B$2*ABS(Bitkiler!$D$84-Topraklar!$D$25)+Ayarlar!$B$3*ABS(Bitkiler!$E$84-Topraklar!$E$25)+Ayarlar!$B$4*ABS(Bitkiler!$F$84-Topraklar!$F$25)+Ayarlar!$B$5*ABS(Bitkiler!$G$84-Topraklar!$G$25)+Ayarlar!$B$6*IF(Bitkiler!$H$84=Topraklar!$H$25,0,1))/Ayarlar!$B$7)+IF(Topraklar!$K$25=Bitkiler!$C$84,0.002,IF(Topraklar!$L$25="Evet",0.001,0)))</f>
        <v/>
      </c>
      <c r="Z85" s="16">
        <f>IF(OR(Topraklar!$J$26="Evet",AND(Topraklar!$L$26&lt;&gt;"Evet",Topraklar!$K$26&lt;&gt;Bitkiler!$C$84)),0,MAX(0,1-(Ayarlar!$B$2*ABS(Bitkiler!$D$84-Topraklar!$D$26)+Ayarlar!$B$3*ABS(Bitkiler!$E$84-Topraklar!$E$26)+Ayarlar!$B$4*ABS(Bitkiler!$F$84-Topraklar!$F$26)+Ayarlar!$B$5*ABS(Bitkiler!$G$84-Topraklar!$G$26)+Ayarlar!$B$6*IF(Bitkiler!$H$84=Topraklar!$H$26,0,1))/Ayarlar!$B$7)+IF(Topraklar!$K$26=Bitkiler!$C$84,0.002,IF(Topraklar!$L$26="Evet",0.001,0)))</f>
        <v/>
      </c>
      <c r="AA85" s="16">
        <f>IF(OR(Topraklar!$J$27="Evet",AND(Topraklar!$L$27&lt;&gt;"Evet",Topraklar!$K$27&lt;&gt;Bitkiler!$C$84)),0,MAX(0,1-(Ayarlar!$B$2*ABS(Bitkiler!$D$84-Topraklar!$D$27)+Ayarlar!$B$3*ABS(Bitkiler!$E$84-Topraklar!$E$27)+Ayarlar!$B$4*ABS(Bitkiler!$F$84-Topraklar!$F$27)+Ayarlar!$B$5*ABS(Bitkiler!$G$84-Topraklar!$G$27)+Ayarlar!$B$6*IF(Bitkiler!$H$84=Topraklar!$H$27,0,1))/Ayarlar!$B$7)+IF(Topraklar!$K$27=Bitkiler!$C$84,0.002,IF(Topraklar!$L$27="Evet",0.001,0)))</f>
        <v/>
      </c>
      <c r="AB85" s="16">
        <f>IF(OR(Topraklar!$J$28="Evet",AND(Topraklar!$L$28&lt;&gt;"Evet",Topraklar!$K$28&lt;&gt;Bitkiler!$C$84)),0,MAX(0,1-(Ayarlar!$B$2*ABS(Bitkiler!$D$84-Topraklar!$D$28)+Ayarlar!$B$3*ABS(Bitkiler!$E$84-Topraklar!$E$28)+Ayarlar!$B$4*ABS(Bitkiler!$F$84-Topraklar!$F$28)+Ayarlar!$B$5*ABS(Bitkiler!$G$84-Topraklar!$G$28)+Ayarlar!$B$6*IF(Bitkiler!$H$84=Topraklar!$H$28,0,1))/Ayarlar!$B$7)+IF(Topraklar!$K$28=Bitkiler!$C$84,0.002,IF(Topraklar!$L$28="Evet",0.001,0)))</f>
        <v/>
      </c>
      <c r="AC85" s="16">
        <f>IF(OR(Topraklar!$J$29="Evet",AND(Topraklar!$L$29&lt;&gt;"Evet",Topraklar!$K$29&lt;&gt;Bitkiler!$C$84)),0,MAX(0,1-(Ayarlar!$B$2*ABS(Bitkiler!$D$84-Topraklar!$D$29)+Ayarlar!$B$3*ABS(Bitkiler!$E$84-Topraklar!$E$29)+Ayarlar!$B$4*ABS(Bitkiler!$F$84-Topraklar!$F$29)+Ayarlar!$B$5*ABS(Bitkiler!$G$84-Topraklar!$G$29)+Ayarlar!$B$6*IF(Bitkiler!$H$84=Topraklar!$H$29,0,1))/Ayarlar!$B$7)+IF(Topraklar!$K$29=Bitkiler!$C$84,0.002,IF(Topraklar!$L$29="Evet",0.001,0)))</f>
        <v/>
      </c>
      <c r="AD85" s="16">
        <f>IF(OR(Topraklar!$J$30="Evet",AND(Topraklar!$L$30&lt;&gt;"Evet",Topraklar!$K$30&lt;&gt;Bitkiler!$C$84)),0,MAX(0,1-(Ayarlar!$B$2*ABS(Bitkiler!$D$84-Topraklar!$D$30)+Ayarlar!$B$3*ABS(Bitkiler!$E$84-Topraklar!$E$30)+Ayarlar!$B$4*ABS(Bitkiler!$F$84-Topraklar!$F$30)+Ayarlar!$B$5*ABS(Bitkiler!$G$84-Topraklar!$G$30)+Ayarlar!$B$6*IF(Bitkiler!$H$84=Topraklar!$H$30,0,1))/Ayarlar!$B$7)+IF(Topraklar!$K$30=Bitkiler!$C$84,0.002,IF(Topraklar!$L$30="Evet",0.001,0)))</f>
        <v/>
      </c>
      <c r="AE85" s="16">
        <f>IF(OR(Topraklar!$J$31="Evet",AND(Topraklar!$L$31&lt;&gt;"Evet",Topraklar!$K$31&lt;&gt;Bitkiler!$C$84)),0,MAX(0,1-(Ayarlar!$B$2*ABS(Bitkiler!$D$84-Topraklar!$D$31)+Ayarlar!$B$3*ABS(Bitkiler!$E$84-Topraklar!$E$31)+Ayarlar!$B$4*ABS(Bitkiler!$F$84-Topraklar!$F$31)+Ayarlar!$B$5*ABS(Bitkiler!$G$84-Topraklar!$G$31)+Ayarlar!$B$6*IF(Bitkiler!$H$84=Topraklar!$H$31,0,1))/Ayarlar!$B$7)+IF(Topraklar!$K$31=Bitkiler!$C$84,0.002,IF(Topraklar!$L$31="Evet",0.001,0)))</f>
        <v/>
      </c>
      <c r="AF85" s="16">
        <f>IF(OR(Topraklar!$J$32="Evet",AND(Topraklar!$L$32&lt;&gt;"Evet",Topraklar!$K$32&lt;&gt;Bitkiler!$C$84)),0,MAX(0,1-(Ayarlar!$B$2*ABS(Bitkiler!$D$84-Topraklar!$D$32)+Ayarlar!$B$3*ABS(Bitkiler!$E$84-Topraklar!$E$32)+Ayarlar!$B$4*ABS(Bitkiler!$F$84-Topraklar!$F$32)+Ayarlar!$B$5*ABS(Bitkiler!$G$84-Topraklar!$G$32)+Ayarlar!$B$6*IF(Bitkiler!$H$84=Topraklar!$H$32,0,1))/Ayarlar!$B$7)+IF(Topraklar!$K$32=Bitkiler!$C$84,0.002,IF(Topraklar!$L$32="Evet",0.001,0)))</f>
        <v/>
      </c>
      <c r="AG85" s="16">
        <f>IF(OR(Topraklar!$J$33="Evet",AND(Topraklar!$L$33&lt;&gt;"Evet",Topraklar!$K$33&lt;&gt;Bitkiler!$C$84)),0,MAX(0,1-(Ayarlar!$B$2*ABS(Bitkiler!$D$84-Topraklar!$D$33)+Ayarlar!$B$3*ABS(Bitkiler!$E$84-Topraklar!$E$33)+Ayarlar!$B$4*ABS(Bitkiler!$F$84-Topraklar!$F$33)+Ayarlar!$B$5*ABS(Bitkiler!$G$84-Topraklar!$G$33)+Ayarlar!$B$6*IF(Bitkiler!$H$84=Topraklar!$H$33,0,1))/Ayarlar!$B$7)+IF(Topraklar!$K$33=Bitkiler!$C$84,0.002,IF(Topraklar!$L$33="Evet",0.001,0)))</f>
        <v/>
      </c>
      <c r="AH85" s="16">
        <f>IF(OR(Topraklar!$J$34="Evet",AND(Topraklar!$L$34&lt;&gt;"Evet",Topraklar!$K$34&lt;&gt;Bitkiler!$C$84)),0,MAX(0,1-(Ayarlar!$B$2*ABS(Bitkiler!$D$84-Topraklar!$D$34)+Ayarlar!$B$3*ABS(Bitkiler!$E$84-Topraklar!$E$34)+Ayarlar!$B$4*ABS(Bitkiler!$F$84-Topraklar!$F$34)+Ayarlar!$B$5*ABS(Bitkiler!$G$84-Topraklar!$G$34)+Ayarlar!$B$6*IF(Bitkiler!$H$84=Topraklar!$H$34,0,1))/Ayarlar!$B$7)+IF(Topraklar!$K$34=Bitkiler!$C$84,0.002,IF(Topraklar!$L$34="Evet",0.001,0)))</f>
        <v/>
      </c>
      <c r="AI85" s="16">
        <f>IF(OR(Topraklar!$J$35="Evet",AND(Topraklar!$L$35&lt;&gt;"Evet",Topraklar!$K$35&lt;&gt;Bitkiler!$C$84)),0,MAX(0,1-(Ayarlar!$B$2*ABS(Bitkiler!$D$84-Topraklar!$D$35)+Ayarlar!$B$3*ABS(Bitkiler!$E$84-Topraklar!$E$35)+Ayarlar!$B$4*ABS(Bitkiler!$F$84-Topraklar!$F$35)+Ayarlar!$B$5*ABS(Bitkiler!$G$84-Topraklar!$G$35)+Ayarlar!$B$6*IF(Bitkiler!$H$84=Topraklar!$H$35,0,1))/Ayarlar!$B$7)+IF(Topraklar!$K$35=Bitkiler!$C$84,0.002,IF(Topraklar!$L$35="Evet",0.001,0)))</f>
        <v/>
      </c>
      <c r="AJ85" s="16">
        <f>IF(OR(Topraklar!$J$36="Evet",AND(Topraklar!$L$36&lt;&gt;"Evet",Topraklar!$K$36&lt;&gt;Bitkiler!$C$84)),0,MAX(0,1-(Ayarlar!$B$2*ABS(Bitkiler!$D$84-Topraklar!$D$36)+Ayarlar!$B$3*ABS(Bitkiler!$E$84-Topraklar!$E$36)+Ayarlar!$B$4*ABS(Bitkiler!$F$84-Topraklar!$F$36)+Ayarlar!$B$5*ABS(Bitkiler!$G$84-Topraklar!$G$36)+Ayarlar!$B$6*IF(Bitkiler!$H$84=Topraklar!$H$36,0,1))/Ayarlar!$B$7)+IF(Topraklar!$K$36=Bitkiler!$C$84,0.002,IF(Topraklar!$L$36="Evet",0.001,0)))</f>
        <v/>
      </c>
      <c r="AK85" s="16">
        <f>IF(OR(Topraklar!$J$37="Evet",AND(Topraklar!$L$37&lt;&gt;"Evet",Topraklar!$K$37&lt;&gt;Bitkiler!$C$84)),0,MAX(0,1-(Ayarlar!$B$2*ABS(Bitkiler!$D$84-Topraklar!$D$37)+Ayarlar!$B$3*ABS(Bitkiler!$E$84-Topraklar!$E$37)+Ayarlar!$B$4*ABS(Bitkiler!$F$84-Topraklar!$F$37)+Ayarlar!$B$5*ABS(Bitkiler!$G$84-Topraklar!$G$37)+Ayarlar!$B$6*IF(Bitkiler!$H$84=Topraklar!$H$37,0,1))/Ayarlar!$B$7)+IF(Topraklar!$K$37=Bitkiler!$C$84,0.002,IF(Topraklar!$L$37="Evet",0.001,0)))</f>
        <v/>
      </c>
      <c r="AL85" s="16">
        <f>IF(OR(Topraklar!$J$38="Evet",AND(Topraklar!$L$38&lt;&gt;"Evet",Topraklar!$K$38&lt;&gt;Bitkiler!$C$84)),0,MAX(0,1-(Ayarlar!$B$2*ABS(Bitkiler!$D$84-Topraklar!$D$38)+Ayarlar!$B$3*ABS(Bitkiler!$E$84-Topraklar!$E$38)+Ayarlar!$B$4*ABS(Bitkiler!$F$84-Topraklar!$F$38)+Ayarlar!$B$5*ABS(Bitkiler!$G$84-Topraklar!$G$38)+Ayarlar!$B$6*IF(Bitkiler!$H$84=Topraklar!$H$38,0,1))/Ayarlar!$B$7)+IF(Topraklar!$K$38=Bitkiler!$C$84,0.002,IF(Topraklar!$L$38="Evet",0.001,0)))</f>
        <v/>
      </c>
      <c r="AM85" s="16">
        <f>IF(OR(Topraklar!$J$39="Evet",AND(Topraklar!$L$39&lt;&gt;"Evet",Topraklar!$K$39&lt;&gt;Bitkiler!$C$84)),0,MAX(0,1-(Ayarlar!$B$2*ABS(Bitkiler!$D$84-Topraklar!$D$39)+Ayarlar!$B$3*ABS(Bitkiler!$E$84-Topraklar!$E$39)+Ayarlar!$B$4*ABS(Bitkiler!$F$84-Topraklar!$F$39)+Ayarlar!$B$5*ABS(Bitkiler!$G$84-Topraklar!$G$39)+Ayarlar!$B$6*IF(Bitkiler!$H$84=Topraklar!$H$39,0,1))/Ayarlar!$B$7)+IF(Topraklar!$K$39=Bitkiler!$C$84,0.002,IF(Topraklar!$L$39="Evet",0.001,0)))</f>
        <v/>
      </c>
      <c r="AN85" s="16">
        <f>IF(OR(Topraklar!$J$40="Evet",AND(Topraklar!$L$40&lt;&gt;"Evet",Topraklar!$K$40&lt;&gt;Bitkiler!$C$84)),0,MAX(0,1-(Ayarlar!$B$2*ABS(Bitkiler!$D$84-Topraklar!$D$40)+Ayarlar!$B$3*ABS(Bitkiler!$E$84-Topraklar!$E$40)+Ayarlar!$B$4*ABS(Bitkiler!$F$84-Topraklar!$F$40)+Ayarlar!$B$5*ABS(Bitkiler!$G$84-Topraklar!$G$40)+Ayarlar!$B$6*IF(Bitkiler!$H$84=Topraklar!$H$40,0,1))/Ayarlar!$B$7)+IF(Topraklar!$K$40=Bitkiler!$C$84,0.002,IF(Topraklar!$L$40="Evet",0.001,0)))</f>
        <v/>
      </c>
      <c r="AO85" s="16">
        <f>IF(OR(Topraklar!$J$41="Evet",AND(Topraklar!$L$41&lt;&gt;"Evet",Topraklar!$K$41&lt;&gt;Bitkiler!$C$84)),0,MAX(0,1-(Ayarlar!$B$2*ABS(Bitkiler!$D$84-Topraklar!$D$41)+Ayarlar!$B$3*ABS(Bitkiler!$E$84-Topraklar!$E$41)+Ayarlar!$B$4*ABS(Bitkiler!$F$84-Topraklar!$F$41)+Ayarlar!$B$5*ABS(Bitkiler!$G$84-Topraklar!$G$41)+Ayarlar!$B$6*IF(Bitkiler!$H$84=Topraklar!$H$41,0,1))/Ayarlar!$B$7)+IF(Topraklar!$K$41=Bitkiler!$C$84,0.002,IF(Topraklar!$L$41="Evet",0.001,0)))</f>
        <v/>
      </c>
      <c r="AP85" s="16">
        <f>IF(OR(Topraklar!$J$42="Evet",AND(Topraklar!$L$42&lt;&gt;"Evet",Topraklar!$K$42&lt;&gt;Bitkiler!$C$84)),0,MAX(0,1-(Ayarlar!$B$2*ABS(Bitkiler!$D$84-Topraklar!$D$42)+Ayarlar!$B$3*ABS(Bitkiler!$E$84-Topraklar!$E$42)+Ayarlar!$B$4*ABS(Bitkiler!$F$84-Topraklar!$F$42)+Ayarlar!$B$5*ABS(Bitkiler!$G$84-Topraklar!$G$42)+Ayarlar!$B$6*IF(Bitkiler!$H$84=Topraklar!$H$42,0,1))/Ayarlar!$B$7)+IF(Topraklar!$K$42=Bitkiler!$C$84,0.002,IF(Topraklar!$L$42="Evet",0.001,0)))</f>
        <v/>
      </c>
      <c r="AQ85" s="16">
        <f>IF(OR(Topraklar!$J$43="Evet",AND(Topraklar!$L$43&lt;&gt;"Evet",Topraklar!$K$43&lt;&gt;Bitkiler!$C$84)),0,MAX(0,1-(Ayarlar!$B$2*ABS(Bitkiler!$D$84-Topraklar!$D$43)+Ayarlar!$B$3*ABS(Bitkiler!$E$84-Topraklar!$E$43)+Ayarlar!$B$4*ABS(Bitkiler!$F$84-Topraklar!$F$43)+Ayarlar!$B$5*ABS(Bitkiler!$G$84-Topraklar!$G$43)+Ayarlar!$B$6*IF(Bitkiler!$H$84=Topraklar!$H$43,0,1))/Ayarlar!$B$7)+IF(Topraklar!$K$43=Bitkiler!$C$84,0.002,IF(Topraklar!$L$43="Evet",0.001,0)))</f>
        <v/>
      </c>
      <c r="AR85" s="16">
        <f>IF(OR(Topraklar!$J$44="Evet",AND(Topraklar!$L$44&lt;&gt;"Evet",Topraklar!$K$44&lt;&gt;Bitkiler!$C$84)),0,MAX(0,1-(Ayarlar!$B$2*ABS(Bitkiler!$D$84-Topraklar!$D$44)+Ayarlar!$B$3*ABS(Bitkiler!$E$84-Topraklar!$E$44)+Ayarlar!$B$4*ABS(Bitkiler!$F$84-Topraklar!$F$44)+Ayarlar!$B$5*ABS(Bitkiler!$G$84-Topraklar!$G$44)+Ayarlar!$B$6*IF(Bitkiler!$H$84=Topraklar!$H$44,0,1))/Ayarlar!$B$7)+IF(Topraklar!$K$44=Bitkiler!$C$84,0.002,IF(Topraklar!$L$44="Evet",0.001,0)))</f>
        <v/>
      </c>
      <c r="AS85" s="16">
        <f>IF(OR(Topraklar!$J$45="Evet",AND(Topraklar!$L$45&lt;&gt;"Evet",Topraklar!$K$45&lt;&gt;Bitkiler!$C$84)),0,MAX(0,1-(Ayarlar!$B$2*ABS(Bitkiler!$D$84-Topraklar!$D$45)+Ayarlar!$B$3*ABS(Bitkiler!$E$84-Topraklar!$E$45)+Ayarlar!$B$4*ABS(Bitkiler!$F$84-Topraklar!$F$45)+Ayarlar!$B$5*ABS(Bitkiler!$G$84-Topraklar!$G$45)+Ayarlar!$B$6*IF(Bitkiler!$H$84=Topraklar!$H$45,0,1))/Ayarlar!$B$7)+IF(Topraklar!$K$45=Bitkiler!$C$84,0.002,IF(Topraklar!$L$45="Evet",0.001,0)))</f>
        <v/>
      </c>
      <c r="AT85" s="16">
        <f>IF(OR(Topraklar!$J$46="Evet",AND(Topraklar!$L$46&lt;&gt;"Evet",Topraklar!$K$46&lt;&gt;Bitkiler!$C$84)),0,MAX(0,1-(Ayarlar!$B$2*ABS(Bitkiler!$D$84-Topraklar!$D$46)+Ayarlar!$B$3*ABS(Bitkiler!$E$84-Topraklar!$E$46)+Ayarlar!$B$4*ABS(Bitkiler!$F$84-Topraklar!$F$46)+Ayarlar!$B$5*ABS(Bitkiler!$G$84-Topraklar!$G$46)+Ayarlar!$B$6*IF(Bitkiler!$H$84=Topraklar!$H$46,0,1))/Ayarlar!$B$7)+IF(Topraklar!$K$46=Bitkiler!$C$84,0.002,IF(Topraklar!$L$46="Evet",0.001,0)))</f>
        <v/>
      </c>
      <c r="AU85" s="16">
        <f>IF(OR(Topraklar!$J$47="Evet",AND(Topraklar!$L$47&lt;&gt;"Evet",Topraklar!$K$47&lt;&gt;Bitkiler!$C$84)),0,MAX(0,1-(Ayarlar!$B$2*ABS(Bitkiler!$D$84-Topraklar!$D$47)+Ayarlar!$B$3*ABS(Bitkiler!$E$84-Topraklar!$E$47)+Ayarlar!$B$4*ABS(Bitkiler!$F$84-Topraklar!$F$47)+Ayarlar!$B$5*ABS(Bitkiler!$G$84-Topraklar!$G$47)+Ayarlar!$B$6*IF(Bitkiler!$H$84=Topraklar!$H$47,0,1))/Ayarlar!$B$7)+IF(Topraklar!$K$47=Bitkiler!$C$84,0.002,IF(Topraklar!$L$47="Evet",0.001,0)))</f>
        <v/>
      </c>
      <c r="AV85" s="16">
        <f>IF(OR(Topraklar!$J$48="Evet",AND(Topraklar!$L$48&lt;&gt;"Evet",Topraklar!$K$48&lt;&gt;Bitkiler!$C$84)),0,MAX(0,1-(Ayarlar!$B$2*ABS(Bitkiler!$D$84-Topraklar!$D$48)+Ayarlar!$B$3*ABS(Bitkiler!$E$84-Topraklar!$E$48)+Ayarlar!$B$4*ABS(Bitkiler!$F$84-Topraklar!$F$48)+Ayarlar!$B$5*ABS(Bitkiler!$G$84-Topraklar!$G$48)+Ayarlar!$B$6*IF(Bitkiler!$H$84=Topraklar!$H$48,0,1))/Ayarlar!$B$7)+IF(Topraklar!$K$48=Bitkiler!$C$84,0.002,IF(Topraklar!$L$48="Evet",0.001,0)))</f>
        <v/>
      </c>
      <c r="AW85" s="16">
        <f>IF(OR(Topraklar!$J$49="Evet",AND(Topraklar!$L$49&lt;&gt;"Evet",Topraklar!$K$49&lt;&gt;Bitkiler!$C$84)),0,MAX(0,1-(Ayarlar!$B$2*ABS(Bitkiler!$D$84-Topraklar!$D$49)+Ayarlar!$B$3*ABS(Bitkiler!$E$84-Topraklar!$E$49)+Ayarlar!$B$4*ABS(Bitkiler!$F$84-Topraklar!$F$49)+Ayarlar!$B$5*ABS(Bitkiler!$G$84-Topraklar!$G$49)+Ayarlar!$B$6*IF(Bitkiler!$H$84=Topraklar!$H$49,0,1))/Ayarlar!$B$7)+IF(Topraklar!$K$49=Bitkiler!$C$84,0.002,IF(Topraklar!$L$49="Evet",0.001,0)))</f>
        <v/>
      </c>
      <c r="AX85" s="16">
        <f>IF(OR(Topraklar!$J$50="Evet",AND(Topraklar!$L$50&lt;&gt;"Evet",Topraklar!$K$50&lt;&gt;Bitkiler!$C$84)),0,MAX(0,1-(Ayarlar!$B$2*ABS(Bitkiler!$D$84-Topraklar!$D$50)+Ayarlar!$B$3*ABS(Bitkiler!$E$84-Topraklar!$E$50)+Ayarlar!$B$4*ABS(Bitkiler!$F$84-Topraklar!$F$50)+Ayarlar!$B$5*ABS(Bitkiler!$G$84-Topraklar!$G$50)+Ayarlar!$B$6*IF(Bitkiler!$H$84=Topraklar!$H$50,0,1))/Ayarlar!$B$7)+IF(Topraklar!$K$50=Bitkiler!$C$84,0.002,IF(Topraklar!$L$50="Evet",0.001,0)))</f>
        <v/>
      </c>
      <c r="AY85" s="16">
        <f>IF(OR(Topraklar!$J$51="Evet",AND(Topraklar!$L$51&lt;&gt;"Evet",Topraklar!$K$51&lt;&gt;Bitkiler!$C$84)),0,MAX(0,1-(Ayarlar!$B$2*ABS(Bitkiler!$D$84-Topraklar!$D$51)+Ayarlar!$B$3*ABS(Bitkiler!$E$84-Topraklar!$E$51)+Ayarlar!$B$4*ABS(Bitkiler!$F$84-Topraklar!$F$51)+Ayarlar!$B$5*ABS(Bitkiler!$G$84-Topraklar!$G$51)+Ayarlar!$B$6*IF(Bitkiler!$H$84=Topraklar!$H$51,0,1))/Ayarlar!$B$7)+IF(Topraklar!$K$51=Bitkiler!$C$84,0.002,IF(Topraklar!$L$51="Evet",0.001,0)))</f>
        <v/>
      </c>
    </row>
    <row r="86">
      <c r="A86" s="15">
        <f>Bitkiler!A85</f>
        <v/>
      </c>
      <c r="B86" s="16">
        <f>IF(OR(Topraklar!$J$2="Evet",AND(Topraklar!$L$2&lt;&gt;"Evet",Topraklar!$K$2&lt;&gt;Bitkiler!$C$85)),0,MAX(0,1-(Ayarlar!$B$2*ABS(Bitkiler!$D$85-Topraklar!$D$2)+Ayarlar!$B$3*ABS(Bitkiler!$E$85-Topraklar!$E$2)+Ayarlar!$B$4*ABS(Bitkiler!$F$85-Topraklar!$F$2)+Ayarlar!$B$5*ABS(Bitkiler!$G$85-Topraklar!$G$2)+Ayarlar!$B$6*IF(Bitkiler!$H$85=Topraklar!$H$2,0,1))/Ayarlar!$B$7)+IF(Topraklar!$K$2=Bitkiler!$C$85,0.002,IF(Topraklar!$L$2="Evet",0.001,0)))</f>
        <v/>
      </c>
      <c r="C86" s="16">
        <f>IF(OR(Topraklar!$J$3="Evet",AND(Topraklar!$L$3&lt;&gt;"Evet",Topraklar!$K$3&lt;&gt;Bitkiler!$C$85)),0,MAX(0,1-(Ayarlar!$B$2*ABS(Bitkiler!$D$85-Topraklar!$D$3)+Ayarlar!$B$3*ABS(Bitkiler!$E$85-Topraklar!$E$3)+Ayarlar!$B$4*ABS(Bitkiler!$F$85-Topraklar!$F$3)+Ayarlar!$B$5*ABS(Bitkiler!$G$85-Topraklar!$G$3)+Ayarlar!$B$6*IF(Bitkiler!$H$85=Topraklar!$H$3,0,1))/Ayarlar!$B$7)+IF(Topraklar!$K$3=Bitkiler!$C$85,0.002,IF(Topraklar!$L$3="Evet",0.001,0)))</f>
        <v/>
      </c>
      <c r="D86" s="16">
        <f>IF(OR(Topraklar!$J$4="Evet",AND(Topraklar!$L$4&lt;&gt;"Evet",Topraklar!$K$4&lt;&gt;Bitkiler!$C$85)),0,MAX(0,1-(Ayarlar!$B$2*ABS(Bitkiler!$D$85-Topraklar!$D$4)+Ayarlar!$B$3*ABS(Bitkiler!$E$85-Topraklar!$E$4)+Ayarlar!$B$4*ABS(Bitkiler!$F$85-Topraklar!$F$4)+Ayarlar!$B$5*ABS(Bitkiler!$G$85-Topraklar!$G$4)+Ayarlar!$B$6*IF(Bitkiler!$H$85=Topraklar!$H$4,0,1))/Ayarlar!$B$7)+IF(Topraklar!$K$4=Bitkiler!$C$85,0.002,IF(Topraklar!$L$4="Evet",0.001,0)))</f>
        <v/>
      </c>
      <c r="E86" s="16">
        <f>IF(OR(Topraklar!$J$5="Evet",AND(Topraklar!$L$5&lt;&gt;"Evet",Topraklar!$K$5&lt;&gt;Bitkiler!$C$85)),0,MAX(0,1-(Ayarlar!$B$2*ABS(Bitkiler!$D$85-Topraklar!$D$5)+Ayarlar!$B$3*ABS(Bitkiler!$E$85-Topraklar!$E$5)+Ayarlar!$B$4*ABS(Bitkiler!$F$85-Topraklar!$F$5)+Ayarlar!$B$5*ABS(Bitkiler!$G$85-Topraklar!$G$5)+Ayarlar!$B$6*IF(Bitkiler!$H$85=Topraklar!$H$5,0,1))/Ayarlar!$B$7)+IF(Topraklar!$K$5=Bitkiler!$C$85,0.002,IF(Topraklar!$L$5="Evet",0.001,0)))</f>
        <v/>
      </c>
      <c r="F86" s="16">
        <f>IF(OR(Topraklar!$J$6="Evet",AND(Topraklar!$L$6&lt;&gt;"Evet",Topraklar!$K$6&lt;&gt;Bitkiler!$C$85)),0,MAX(0,1-(Ayarlar!$B$2*ABS(Bitkiler!$D$85-Topraklar!$D$6)+Ayarlar!$B$3*ABS(Bitkiler!$E$85-Topraklar!$E$6)+Ayarlar!$B$4*ABS(Bitkiler!$F$85-Topraklar!$F$6)+Ayarlar!$B$5*ABS(Bitkiler!$G$85-Topraklar!$G$6)+Ayarlar!$B$6*IF(Bitkiler!$H$85=Topraklar!$H$6,0,1))/Ayarlar!$B$7)+IF(Topraklar!$K$6=Bitkiler!$C$85,0.002,IF(Topraklar!$L$6="Evet",0.001,0)))</f>
        <v/>
      </c>
      <c r="G86" s="16">
        <f>IF(OR(Topraklar!$J$7="Evet",AND(Topraklar!$L$7&lt;&gt;"Evet",Topraklar!$K$7&lt;&gt;Bitkiler!$C$85)),0,MAX(0,1-(Ayarlar!$B$2*ABS(Bitkiler!$D$85-Topraklar!$D$7)+Ayarlar!$B$3*ABS(Bitkiler!$E$85-Topraklar!$E$7)+Ayarlar!$B$4*ABS(Bitkiler!$F$85-Topraklar!$F$7)+Ayarlar!$B$5*ABS(Bitkiler!$G$85-Topraklar!$G$7)+Ayarlar!$B$6*IF(Bitkiler!$H$85=Topraklar!$H$7,0,1))/Ayarlar!$B$7)+IF(Topraklar!$K$7=Bitkiler!$C$85,0.002,IF(Topraklar!$L$7="Evet",0.001,0)))</f>
        <v/>
      </c>
      <c r="H86" s="16">
        <f>IF(OR(Topraklar!$J$8="Evet",AND(Topraklar!$L$8&lt;&gt;"Evet",Topraklar!$K$8&lt;&gt;Bitkiler!$C$85)),0,MAX(0,1-(Ayarlar!$B$2*ABS(Bitkiler!$D$85-Topraklar!$D$8)+Ayarlar!$B$3*ABS(Bitkiler!$E$85-Topraklar!$E$8)+Ayarlar!$B$4*ABS(Bitkiler!$F$85-Topraklar!$F$8)+Ayarlar!$B$5*ABS(Bitkiler!$G$85-Topraklar!$G$8)+Ayarlar!$B$6*IF(Bitkiler!$H$85=Topraklar!$H$8,0,1))/Ayarlar!$B$7)+IF(Topraklar!$K$8=Bitkiler!$C$85,0.002,IF(Topraklar!$L$8="Evet",0.001,0)))</f>
        <v/>
      </c>
      <c r="I86" s="16">
        <f>IF(OR(Topraklar!$J$9="Evet",AND(Topraklar!$L$9&lt;&gt;"Evet",Topraklar!$K$9&lt;&gt;Bitkiler!$C$85)),0,MAX(0,1-(Ayarlar!$B$2*ABS(Bitkiler!$D$85-Topraklar!$D$9)+Ayarlar!$B$3*ABS(Bitkiler!$E$85-Topraklar!$E$9)+Ayarlar!$B$4*ABS(Bitkiler!$F$85-Topraklar!$F$9)+Ayarlar!$B$5*ABS(Bitkiler!$G$85-Topraklar!$G$9)+Ayarlar!$B$6*IF(Bitkiler!$H$85=Topraklar!$H$9,0,1))/Ayarlar!$B$7)+IF(Topraklar!$K$9=Bitkiler!$C$85,0.002,IF(Topraklar!$L$9="Evet",0.001,0)))</f>
        <v/>
      </c>
      <c r="J86" s="16">
        <f>IF(OR(Topraklar!$J$10="Evet",AND(Topraklar!$L$10&lt;&gt;"Evet",Topraklar!$K$10&lt;&gt;Bitkiler!$C$85)),0,MAX(0,1-(Ayarlar!$B$2*ABS(Bitkiler!$D$85-Topraklar!$D$10)+Ayarlar!$B$3*ABS(Bitkiler!$E$85-Topraklar!$E$10)+Ayarlar!$B$4*ABS(Bitkiler!$F$85-Topraklar!$F$10)+Ayarlar!$B$5*ABS(Bitkiler!$G$85-Topraklar!$G$10)+Ayarlar!$B$6*IF(Bitkiler!$H$85=Topraklar!$H$10,0,1))/Ayarlar!$B$7)+IF(Topraklar!$K$10=Bitkiler!$C$85,0.002,IF(Topraklar!$L$10="Evet",0.001,0)))</f>
        <v/>
      </c>
      <c r="K86" s="16">
        <f>IF(OR(Topraklar!$J$11="Evet",AND(Topraklar!$L$11&lt;&gt;"Evet",Topraklar!$K$11&lt;&gt;Bitkiler!$C$85)),0,MAX(0,1-(Ayarlar!$B$2*ABS(Bitkiler!$D$85-Topraklar!$D$11)+Ayarlar!$B$3*ABS(Bitkiler!$E$85-Topraklar!$E$11)+Ayarlar!$B$4*ABS(Bitkiler!$F$85-Topraklar!$F$11)+Ayarlar!$B$5*ABS(Bitkiler!$G$85-Topraklar!$G$11)+Ayarlar!$B$6*IF(Bitkiler!$H$85=Topraklar!$H$11,0,1))/Ayarlar!$B$7)+IF(Topraklar!$K$11=Bitkiler!$C$85,0.002,IF(Topraklar!$L$11="Evet",0.001,0)))</f>
        <v/>
      </c>
      <c r="L86" s="16">
        <f>IF(OR(Topraklar!$J$12="Evet",AND(Topraklar!$L$12&lt;&gt;"Evet",Topraklar!$K$12&lt;&gt;Bitkiler!$C$85)),0,MAX(0,1-(Ayarlar!$B$2*ABS(Bitkiler!$D$85-Topraklar!$D$12)+Ayarlar!$B$3*ABS(Bitkiler!$E$85-Topraklar!$E$12)+Ayarlar!$B$4*ABS(Bitkiler!$F$85-Topraklar!$F$12)+Ayarlar!$B$5*ABS(Bitkiler!$G$85-Topraklar!$G$12)+Ayarlar!$B$6*IF(Bitkiler!$H$85=Topraklar!$H$12,0,1))/Ayarlar!$B$7)+IF(Topraklar!$K$12=Bitkiler!$C$85,0.002,IF(Topraklar!$L$12="Evet",0.001,0)))</f>
        <v/>
      </c>
      <c r="M86" s="16">
        <f>IF(OR(Topraklar!$J$13="Evet",AND(Topraklar!$L$13&lt;&gt;"Evet",Topraklar!$K$13&lt;&gt;Bitkiler!$C$85)),0,MAX(0,1-(Ayarlar!$B$2*ABS(Bitkiler!$D$85-Topraklar!$D$13)+Ayarlar!$B$3*ABS(Bitkiler!$E$85-Topraklar!$E$13)+Ayarlar!$B$4*ABS(Bitkiler!$F$85-Topraklar!$F$13)+Ayarlar!$B$5*ABS(Bitkiler!$G$85-Topraklar!$G$13)+Ayarlar!$B$6*IF(Bitkiler!$H$85=Topraklar!$H$13,0,1))/Ayarlar!$B$7)+IF(Topraklar!$K$13=Bitkiler!$C$85,0.002,IF(Topraklar!$L$13="Evet",0.001,0)))</f>
        <v/>
      </c>
      <c r="N86" s="16">
        <f>IF(OR(Topraklar!$J$14="Evet",AND(Topraklar!$L$14&lt;&gt;"Evet",Topraklar!$K$14&lt;&gt;Bitkiler!$C$85)),0,MAX(0,1-(Ayarlar!$B$2*ABS(Bitkiler!$D$85-Topraklar!$D$14)+Ayarlar!$B$3*ABS(Bitkiler!$E$85-Topraklar!$E$14)+Ayarlar!$B$4*ABS(Bitkiler!$F$85-Topraklar!$F$14)+Ayarlar!$B$5*ABS(Bitkiler!$G$85-Topraklar!$G$14)+Ayarlar!$B$6*IF(Bitkiler!$H$85=Topraklar!$H$14,0,1))/Ayarlar!$B$7)+IF(Topraklar!$K$14=Bitkiler!$C$85,0.002,IF(Topraklar!$L$14="Evet",0.001,0)))</f>
        <v/>
      </c>
      <c r="O86" s="16">
        <f>IF(OR(Topraklar!$J$15="Evet",AND(Topraklar!$L$15&lt;&gt;"Evet",Topraklar!$K$15&lt;&gt;Bitkiler!$C$85)),0,MAX(0,1-(Ayarlar!$B$2*ABS(Bitkiler!$D$85-Topraklar!$D$15)+Ayarlar!$B$3*ABS(Bitkiler!$E$85-Topraklar!$E$15)+Ayarlar!$B$4*ABS(Bitkiler!$F$85-Topraklar!$F$15)+Ayarlar!$B$5*ABS(Bitkiler!$G$85-Topraklar!$G$15)+Ayarlar!$B$6*IF(Bitkiler!$H$85=Topraklar!$H$15,0,1))/Ayarlar!$B$7)+IF(Topraklar!$K$15=Bitkiler!$C$85,0.002,IF(Topraklar!$L$15="Evet",0.001,0)))</f>
        <v/>
      </c>
      <c r="P86" s="16">
        <f>IF(OR(Topraklar!$J$16="Evet",AND(Topraklar!$L$16&lt;&gt;"Evet",Topraklar!$K$16&lt;&gt;Bitkiler!$C$85)),0,MAX(0,1-(Ayarlar!$B$2*ABS(Bitkiler!$D$85-Topraklar!$D$16)+Ayarlar!$B$3*ABS(Bitkiler!$E$85-Topraklar!$E$16)+Ayarlar!$B$4*ABS(Bitkiler!$F$85-Topraklar!$F$16)+Ayarlar!$B$5*ABS(Bitkiler!$G$85-Topraklar!$G$16)+Ayarlar!$B$6*IF(Bitkiler!$H$85=Topraklar!$H$16,0,1))/Ayarlar!$B$7)+IF(Topraklar!$K$16=Bitkiler!$C$85,0.002,IF(Topraklar!$L$16="Evet",0.001,0)))</f>
        <v/>
      </c>
      <c r="Q86" s="16">
        <f>IF(OR(Topraklar!$J$17="Evet",AND(Topraklar!$L$17&lt;&gt;"Evet",Topraklar!$K$17&lt;&gt;Bitkiler!$C$85)),0,MAX(0,1-(Ayarlar!$B$2*ABS(Bitkiler!$D$85-Topraklar!$D$17)+Ayarlar!$B$3*ABS(Bitkiler!$E$85-Topraklar!$E$17)+Ayarlar!$B$4*ABS(Bitkiler!$F$85-Topraklar!$F$17)+Ayarlar!$B$5*ABS(Bitkiler!$G$85-Topraklar!$G$17)+Ayarlar!$B$6*IF(Bitkiler!$H$85=Topraklar!$H$17,0,1))/Ayarlar!$B$7)+IF(Topraklar!$K$17=Bitkiler!$C$85,0.002,IF(Topraklar!$L$17="Evet",0.001,0)))</f>
        <v/>
      </c>
      <c r="R86" s="16">
        <f>IF(OR(Topraklar!$J$18="Evet",AND(Topraklar!$L$18&lt;&gt;"Evet",Topraklar!$K$18&lt;&gt;Bitkiler!$C$85)),0,MAX(0,1-(Ayarlar!$B$2*ABS(Bitkiler!$D$85-Topraklar!$D$18)+Ayarlar!$B$3*ABS(Bitkiler!$E$85-Topraklar!$E$18)+Ayarlar!$B$4*ABS(Bitkiler!$F$85-Topraklar!$F$18)+Ayarlar!$B$5*ABS(Bitkiler!$G$85-Topraklar!$G$18)+Ayarlar!$B$6*IF(Bitkiler!$H$85=Topraklar!$H$18,0,1))/Ayarlar!$B$7)+IF(Topraklar!$K$18=Bitkiler!$C$85,0.002,IF(Topraklar!$L$18="Evet",0.001,0)))</f>
        <v/>
      </c>
      <c r="S86" s="16">
        <f>IF(OR(Topraklar!$J$19="Evet",AND(Topraklar!$L$19&lt;&gt;"Evet",Topraklar!$K$19&lt;&gt;Bitkiler!$C$85)),0,MAX(0,1-(Ayarlar!$B$2*ABS(Bitkiler!$D$85-Topraklar!$D$19)+Ayarlar!$B$3*ABS(Bitkiler!$E$85-Topraklar!$E$19)+Ayarlar!$B$4*ABS(Bitkiler!$F$85-Topraklar!$F$19)+Ayarlar!$B$5*ABS(Bitkiler!$G$85-Topraklar!$G$19)+Ayarlar!$B$6*IF(Bitkiler!$H$85=Topraklar!$H$19,0,1))/Ayarlar!$B$7)+IF(Topraklar!$K$19=Bitkiler!$C$85,0.002,IF(Topraklar!$L$19="Evet",0.001,0)))</f>
        <v/>
      </c>
      <c r="T86" s="16">
        <f>IF(OR(Topraklar!$J$20="Evet",AND(Topraklar!$L$20&lt;&gt;"Evet",Topraklar!$K$20&lt;&gt;Bitkiler!$C$85)),0,MAX(0,1-(Ayarlar!$B$2*ABS(Bitkiler!$D$85-Topraklar!$D$20)+Ayarlar!$B$3*ABS(Bitkiler!$E$85-Topraklar!$E$20)+Ayarlar!$B$4*ABS(Bitkiler!$F$85-Topraklar!$F$20)+Ayarlar!$B$5*ABS(Bitkiler!$G$85-Topraklar!$G$20)+Ayarlar!$B$6*IF(Bitkiler!$H$85=Topraklar!$H$20,0,1))/Ayarlar!$B$7)+IF(Topraklar!$K$20=Bitkiler!$C$85,0.002,IF(Topraklar!$L$20="Evet",0.001,0)))</f>
        <v/>
      </c>
      <c r="U86" s="16">
        <f>IF(OR(Topraklar!$J$21="Evet",AND(Topraklar!$L$21&lt;&gt;"Evet",Topraklar!$K$21&lt;&gt;Bitkiler!$C$85)),0,MAX(0,1-(Ayarlar!$B$2*ABS(Bitkiler!$D$85-Topraklar!$D$21)+Ayarlar!$B$3*ABS(Bitkiler!$E$85-Topraklar!$E$21)+Ayarlar!$B$4*ABS(Bitkiler!$F$85-Topraklar!$F$21)+Ayarlar!$B$5*ABS(Bitkiler!$G$85-Topraklar!$G$21)+Ayarlar!$B$6*IF(Bitkiler!$H$85=Topraklar!$H$21,0,1))/Ayarlar!$B$7)+IF(Topraklar!$K$21=Bitkiler!$C$85,0.002,IF(Topraklar!$L$21="Evet",0.001,0)))</f>
        <v/>
      </c>
      <c r="V86" s="16">
        <f>IF(OR(Topraklar!$J$22="Evet",AND(Topraklar!$L$22&lt;&gt;"Evet",Topraklar!$K$22&lt;&gt;Bitkiler!$C$85)),0,MAX(0,1-(Ayarlar!$B$2*ABS(Bitkiler!$D$85-Topraklar!$D$22)+Ayarlar!$B$3*ABS(Bitkiler!$E$85-Topraklar!$E$22)+Ayarlar!$B$4*ABS(Bitkiler!$F$85-Topraklar!$F$22)+Ayarlar!$B$5*ABS(Bitkiler!$G$85-Topraklar!$G$22)+Ayarlar!$B$6*IF(Bitkiler!$H$85=Topraklar!$H$22,0,1))/Ayarlar!$B$7)+IF(Topraklar!$K$22=Bitkiler!$C$85,0.002,IF(Topraklar!$L$22="Evet",0.001,0)))</f>
        <v/>
      </c>
      <c r="W86" s="16">
        <f>IF(OR(Topraklar!$J$23="Evet",AND(Topraklar!$L$23&lt;&gt;"Evet",Topraklar!$K$23&lt;&gt;Bitkiler!$C$85)),0,MAX(0,1-(Ayarlar!$B$2*ABS(Bitkiler!$D$85-Topraklar!$D$23)+Ayarlar!$B$3*ABS(Bitkiler!$E$85-Topraklar!$E$23)+Ayarlar!$B$4*ABS(Bitkiler!$F$85-Topraklar!$F$23)+Ayarlar!$B$5*ABS(Bitkiler!$G$85-Topraklar!$G$23)+Ayarlar!$B$6*IF(Bitkiler!$H$85=Topraklar!$H$23,0,1))/Ayarlar!$B$7)+IF(Topraklar!$K$23=Bitkiler!$C$85,0.002,IF(Topraklar!$L$23="Evet",0.001,0)))</f>
        <v/>
      </c>
      <c r="X86" s="16">
        <f>IF(OR(Topraklar!$J$24="Evet",AND(Topraklar!$L$24&lt;&gt;"Evet",Topraklar!$K$24&lt;&gt;Bitkiler!$C$85)),0,MAX(0,1-(Ayarlar!$B$2*ABS(Bitkiler!$D$85-Topraklar!$D$24)+Ayarlar!$B$3*ABS(Bitkiler!$E$85-Topraklar!$E$24)+Ayarlar!$B$4*ABS(Bitkiler!$F$85-Topraklar!$F$24)+Ayarlar!$B$5*ABS(Bitkiler!$G$85-Topraklar!$G$24)+Ayarlar!$B$6*IF(Bitkiler!$H$85=Topraklar!$H$24,0,1))/Ayarlar!$B$7)+IF(Topraklar!$K$24=Bitkiler!$C$85,0.002,IF(Topraklar!$L$24="Evet",0.001,0)))</f>
        <v/>
      </c>
      <c r="Y86" s="16">
        <f>IF(OR(Topraklar!$J$25="Evet",AND(Topraklar!$L$25&lt;&gt;"Evet",Topraklar!$K$25&lt;&gt;Bitkiler!$C$85)),0,MAX(0,1-(Ayarlar!$B$2*ABS(Bitkiler!$D$85-Topraklar!$D$25)+Ayarlar!$B$3*ABS(Bitkiler!$E$85-Topraklar!$E$25)+Ayarlar!$B$4*ABS(Bitkiler!$F$85-Topraklar!$F$25)+Ayarlar!$B$5*ABS(Bitkiler!$G$85-Topraklar!$G$25)+Ayarlar!$B$6*IF(Bitkiler!$H$85=Topraklar!$H$25,0,1))/Ayarlar!$B$7)+IF(Topraklar!$K$25=Bitkiler!$C$85,0.002,IF(Topraklar!$L$25="Evet",0.001,0)))</f>
        <v/>
      </c>
      <c r="Z86" s="16">
        <f>IF(OR(Topraklar!$J$26="Evet",AND(Topraklar!$L$26&lt;&gt;"Evet",Topraklar!$K$26&lt;&gt;Bitkiler!$C$85)),0,MAX(0,1-(Ayarlar!$B$2*ABS(Bitkiler!$D$85-Topraklar!$D$26)+Ayarlar!$B$3*ABS(Bitkiler!$E$85-Topraklar!$E$26)+Ayarlar!$B$4*ABS(Bitkiler!$F$85-Topraklar!$F$26)+Ayarlar!$B$5*ABS(Bitkiler!$G$85-Topraklar!$G$26)+Ayarlar!$B$6*IF(Bitkiler!$H$85=Topraklar!$H$26,0,1))/Ayarlar!$B$7)+IF(Topraklar!$K$26=Bitkiler!$C$85,0.002,IF(Topraklar!$L$26="Evet",0.001,0)))</f>
        <v/>
      </c>
      <c r="AA86" s="16">
        <f>IF(OR(Topraklar!$J$27="Evet",AND(Topraklar!$L$27&lt;&gt;"Evet",Topraklar!$K$27&lt;&gt;Bitkiler!$C$85)),0,MAX(0,1-(Ayarlar!$B$2*ABS(Bitkiler!$D$85-Topraklar!$D$27)+Ayarlar!$B$3*ABS(Bitkiler!$E$85-Topraklar!$E$27)+Ayarlar!$B$4*ABS(Bitkiler!$F$85-Topraklar!$F$27)+Ayarlar!$B$5*ABS(Bitkiler!$G$85-Topraklar!$G$27)+Ayarlar!$B$6*IF(Bitkiler!$H$85=Topraklar!$H$27,0,1))/Ayarlar!$B$7)+IF(Topraklar!$K$27=Bitkiler!$C$85,0.002,IF(Topraklar!$L$27="Evet",0.001,0)))</f>
        <v/>
      </c>
      <c r="AB86" s="16">
        <f>IF(OR(Topraklar!$J$28="Evet",AND(Topraklar!$L$28&lt;&gt;"Evet",Topraklar!$K$28&lt;&gt;Bitkiler!$C$85)),0,MAX(0,1-(Ayarlar!$B$2*ABS(Bitkiler!$D$85-Topraklar!$D$28)+Ayarlar!$B$3*ABS(Bitkiler!$E$85-Topraklar!$E$28)+Ayarlar!$B$4*ABS(Bitkiler!$F$85-Topraklar!$F$28)+Ayarlar!$B$5*ABS(Bitkiler!$G$85-Topraklar!$G$28)+Ayarlar!$B$6*IF(Bitkiler!$H$85=Topraklar!$H$28,0,1))/Ayarlar!$B$7)+IF(Topraklar!$K$28=Bitkiler!$C$85,0.002,IF(Topraklar!$L$28="Evet",0.001,0)))</f>
        <v/>
      </c>
      <c r="AC86" s="16">
        <f>IF(OR(Topraklar!$J$29="Evet",AND(Topraklar!$L$29&lt;&gt;"Evet",Topraklar!$K$29&lt;&gt;Bitkiler!$C$85)),0,MAX(0,1-(Ayarlar!$B$2*ABS(Bitkiler!$D$85-Topraklar!$D$29)+Ayarlar!$B$3*ABS(Bitkiler!$E$85-Topraklar!$E$29)+Ayarlar!$B$4*ABS(Bitkiler!$F$85-Topraklar!$F$29)+Ayarlar!$B$5*ABS(Bitkiler!$G$85-Topraklar!$G$29)+Ayarlar!$B$6*IF(Bitkiler!$H$85=Topraklar!$H$29,0,1))/Ayarlar!$B$7)+IF(Topraklar!$K$29=Bitkiler!$C$85,0.002,IF(Topraklar!$L$29="Evet",0.001,0)))</f>
        <v/>
      </c>
      <c r="AD86" s="16">
        <f>IF(OR(Topraklar!$J$30="Evet",AND(Topraklar!$L$30&lt;&gt;"Evet",Topraklar!$K$30&lt;&gt;Bitkiler!$C$85)),0,MAX(0,1-(Ayarlar!$B$2*ABS(Bitkiler!$D$85-Topraklar!$D$30)+Ayarlar!$B$3*ABS(Bitkiler!$E$85-Topraklar!$E$30)+Ayarlar!$B$4*ABS(Bitkiler!$F$85-Topraklar!$F$30)+Ayarlar!$B$5*ABS(Bitkiler!$G$85-Topraklar!$G$30)+Ayarlar!$B$6*IF(Bitkiler!$H$85=Topraklar!$H$30,0,1))/Ayarlar!$B$7)+IF(Topraklar!$K$30=Bitkiler!$C$85,0.002,IF(Topraklar!$L$30="Evet",0.001,0)))</f>
        <v/>
      </c>
      <c r="AE86" s="16">
        <f>IF(OR(Topraklar!$J$31="Evet",AND(Topraklar!$L$31&lt;&gt;"Evet",Topraklar!$K$31&lt;&gt;Bitkiler!$C$85)),0,MAX(0,1-(Ayarlar!$B$2*ABS(Bitkiler!$D$85-Topraklar!$D$31)+Ayarlar!$B$3*ABS(Bitkiler!$E$85-Topraklar!$E$31)+Ayarlar!$B$4*ABS(Bitkiler!$F$85-Topraklar!$F$31)+Ayarlar!$B$5*ABS(Bitkiler!$G$85-Topraklar!$G$31)+Ayarlar!$B$6*IF(Bitkiler!$H$85=Topraklar!$H$31,0,1))/Ayarlar!$B$7)+IF(Topraklar!$K$31=Bitkiler!$C$85,0.002,IF(Topraklar!$L$31="Evet",0.001,0)))</f>
        <v/>
      </c>
      <c r="AF86" s="16">
        <f>IF(OR(Topraklar!$J$32="Evet",AND(Topraklar!$L$32&lt;&gt;"Evet",Topraklar!$K$32&lt;&gt;Bitkiler!$C$85)),0,MAX(0,1-(Ayarlar!$B$2*ABS(Bitkiler!$D$85-Topraklar!$D$32)+Ayarlar!$B$3*ABS(Bitkiler!$E$85-Topraklar!$E$32)+Ayarlar!$B$4*ABS(Bitkiler!$F$85-Topraklar!$F$32)+Ayarlar!$B$5*ABS(Bitkiler!$G$85-Topraklar!$G$32)+Ayarlar!$B$6*IF(Bitkiler!$H$85=Topraklar!$H$32,0,1))/Ayarlar!$B$7)+IF(Topraklar!$K$32=Bitkiler!$C$85,0.002,IF(Topraklar!$L$32="Evet",0.001,0)))</f>
        <v/>
      </c>
      <c r="AG86" s="16">
        <f>IF(OR(Topraklar!$J$33="Evet",AND(Topraklar!$L$33&lt;&gt;"Evet",Topraklar!$K$33&lt;&gt;Bitkiler!$C$85)),0,MAX(0,1-(Ayarlar!$B$2*ABS(Bitkiler!$D$85-Topraklar!$D$33)+Ayarlar!$B$3*ABS(Bitkiler!$E$85-Topraklar!$E$33)+Ayarlar!$B$4*ABS(Bitkiler!$F$85-Topraklar!$F$33)+Ayarlar!$B$5*ABS(Bitkiler!$G$85-Topraklar!$G$33)+Ayarlar!$B$6*IF(Bitkiler!$H$85=Topraklar!$H$33,0,1))/Ayarlar!$B$7)+IF(Topraklar!$K$33=Bitkiler!$C$85,0.002,IF(Topraklar!$L$33="Evet",0.001,0)))</f>
        <v/>
      </c>
      <c r="AH86" s="16">
        <f>IF(OR(Topraklar!$J$34="Evet",AND(Topraklar!$L$34&lt;&gt;"Evet",Topraklar!$K$34&lt;&gt;Bitkiler!$C$85)),0,MAX(0,1-(Ayarlar!$B$2*ABS(Bitkiler!$D$85-Topraklar!$D$34)+Ayarlar!$B$3*ABS(Bitkiler!$E$85-Topraklar!$E$34)+Ayarlar!$B$4*ABS(Bitkiler!$F$85-Topraklar!$F$34)+Ayarlar!$B$5*ABS(Bitkiler!$G$85-Topraklar!$G$34)+Ayarlar!$B$6*IF(Bitkiler!$H$85=Topraklar!$H$34,0,1))/Ayarlar!$B$7)+IF(Topraklar!$K$34=Bitkiler!$C$85,0.002,IF(Topraklar!$L$34="Evet",0.001,0)))</f>
        <v/>
      </c>
      <c r="AI86" s="16">
        <f>IF(OR(Topraklar!$J$35="Evet",AND(Topraklar!$L$35&lt;&gt;"Evet",Topraklar!$K$35&lt;&gt;Bitkiler!$C$85)),0,MAX(0,1-(Ayarlar!$B$2*ABS(Bitkiler!$D$85-Topraklar!$D$35)+Ayarlar!$B$3*ABS(Bitkiler!$E$85-Topraklar!$E$35)+Ayarlar!$B$4*ABS(Bitkiler!$F$85-Topraklar!$F$35)+Ayarlar!$B$5*ABS(Bitkiler!$G$85-Topraklar!$G$35)+Ayarlar!$B$6*IF(Bitkiler!$H$85=Topraklar!$H$35,0,1))/Ayarlar!$B$7)+IF(Topraklar!$K$35=Bitkiler!$C$85,0.002,IF(Topraklar!$L$35="Evet",0.001,0)))</f>
        <v/>
      </c>
      <c r="AJ86" s="16">
        <f>IF(OR(Topraklar!$J$36="Evet",AND(Topraklar!$L$36&lt;&gt;"Evet",Topraklar!$K$36&lt;&gt;Bitkiler!$C$85)),0,MAX(0,1-(Ayarlar!$B$2*ABS(Bitkiler!$D$85-Topraklar!$D$36)+Ayarlar!$B$3*ABS(Bitkiler!$E$85-Topraklar!$E$36)+Ayarlar!$B$4*ABS(Bitkiler!$F$85-Topraklar!$F$36)+Ayarlar!$B$5*ABS(Bitkiler!$G$85-Topraklar!$G$36)+Ayarlar!$B$6*IF(Bitkiler!$H$85=Topraklar!$H$36,0,1))/Ayarlar!$B$7)+IF(Topraklar!$K$36=Bitkiler!$C$85,0.002,IF(Topraklar!$L$36="Evet",0.001,0)))</f>
        <v/>
      </c>
      <c r="AK86" s="16">
        <f>IF(OR(Topraklar!$J$37="Evet",AND(Topraklar!$L$37&lt;&gt;"Evet",Topraklar!$K$37&lt;&gt;Bitkiler!$C$85)),0,MAX(0,1-(Ayarlar!$B$2*ABS(Bitkiler!$D$85-Topraklar!$D$37)+Ayarlar!$B$3*ABS(Bitkiler!$E$85-Topraklar!$E$37)+Ayarlar!$B$4*ABS(Bitkiler!$F$85-Topraklar!$F$37)+Ayarlar!$B$5*ABS(Bitkiler!$G$85-Topraklar!$G$37)+Ayarlar!$B$6*IF(Bitkiler!$H$85=Topraklar!$H$37,0,1))/Ayarlar!$B$7)+IF(Topraklar!$K$37=Bitkiler!$C$85,0.002,IF(Topraklar!$L$37="Evet",0.001,0)))</f>
        <v/>
      </c>
      <c r="AL86" s="16">
        <f>IF(OR(Topraklar!$J$38="Evet",AND(Topraklar!$L$38&lt;&gt;"Evet",Topraklar!$K$38&lt;&gt;Bitkiler!$C$85)),0,MAX(0,1-(Ayarlar!$B$2*ABS(Bitkiler!$D$85-Topraklar!$D$38)+Ayarlar!$B$3*ABS(Bitkiler!$E$85-Topraklar!$E$38)+Ayarlar!$B$4*ABS(Bitkiler!$F$85-Topraklar!$F$38)+Ayarlar!$B$5*ABS(Bitkiler!$G$85-Topraklar!$G$38)+Ayarlar!$B$6*IF(Bitkiler!$H$85=Topraklar!$H$38,0,1))/Ayarlar!$B$7)+IF(Topraklar!$K$38=Bitkiler!$C$85,0.002,IF(Topraklar!$L$38="Evet",0.001,0)))</f>
        <v/>
      </c>
      <c r="AM86" s="16">
        <f>IF(OR(Topraklar!$J$39="Evet",AND(Topraklar!$L$39&lt;&gt;"Evet",Topraklar!$K$39&lt;&gt;Bitkiler!$C$85)),0,MAX(0,1-(Ayarlar!$B$2*ABS(Bitkiler!$D$85-Topraklar!$D$39)+Ayarlar!$B$3*ABS(Bitkiler!$E$85-Topraklar!$E$39)+Ayarlar!$B$4*ABS(Bitkiler!$F$85-Topraklar!$F$39)+Ayarlar!$B$5*ABS(Bitkiler!$G$85-Topraklar!$G$39)+Ayarlar!$B$6*IF(Bitkiler!$H$85=Topraklar!$H$39,0,1))/Ayarlar!$B$7)+IF(Topraklar!$K$39=Bitkiler!$C$85,0.002,IF(Topraklar!$L$39="Evet",0.001,0)))</f>
        <v/>
      </c>
      <c r="AN86" s="16">
        <f>IF(OR(Topraklar!$J$40="Evet",AND(Topraklar!$L$40&lt;&gt;"Evet",Topraklar!$K$40&lt;&gt;Bitkiler!$C$85)),0,MAX(0,1-(Ayarlar!$B$2*ABS(Bitkiler!$D$85-Topraklar!$D$40)+Ayarlar!$B$3*ABS(Bitkiler!$E$85-Topraklar!$E$40)+Ayarlar!$B$4*ABS(Bitkiler!$F$85-Topraklar!$F$40)+Ayarlar!$B$5*ABS(Bitkiler!$G$85-Topraklar!$G$40)+Ayarlar!$B$6*IF(Bitkiler!$H$85=Topraklar!$H$40,0,1))/Ayarlar!$B$7)+IF(Topraklar!$K$40=Bitkiler!$C$85,0.002,IF(Topraklar!$L$40="Evet",0.001,0)))</f>
        <v/>
      </c>
      <c r="AO86" s="16">
        <f>IF(OR(Topraklar!$J$41="Evet",AND(Topraklar!$L$41&lt;&gt;"Evet",Topraklar!$K$41&lt;&gt;Bitkiler!$C$85)),0,MAX(0,1-(Ayarlar!$B$2*ABS(Bitkiler!$D$85-Topraklar!$D$41)+Ayarlar!$B$3*ABS(Bitkiler!$E$85-Topraklar!$E$41)+Ayarlar!$B$4*ABS(Bitkiler!$F$85-Topraklar!$F$41)+Ayarlar!$B$5*ABS(Bitkiler!$G$85-Topraklar!$G$41)+Ayarlar!$B$6*IF(Bitkiler!$H$85=Topraklar!$H$41,0,1))/Ayarlar!$B$7)+IF(Topraklar!$K$41=Bitkiler!$C$85,0.002,IF(Topraklar!$L$41="Evet",0.001,0)))</f>
        <v/>
      </c>
      <c r="AP86" s="16">
        <f>IF(OR(Topraklar!$J$42="Evet",AND(Topraklar!$L$42&lt;&gt;"Evet",Topraklar!$K$42&lt;&gt;Bitkiler!$C$85)),0,MAX(0,1-(Ayarlar!$B$2*ABS(Bitkiler!$D$85-Topraklar!$D$42)+Ayarlar!$B$3*ABS(Bitkiler!$E$85-Topraklar!$E$42)+Ayarlar!$B$4*ABS(Bitkiler!$F$85-Topraklar!$F$42)+Ayarlar!$B$5*ABS(Bitkiler!$G$85-Topraklar!$G$42)+Ayarlar!$B$6*IF(Bitkiler!$H$85=Topraklar!$H$42,0,1))/Ayarlar!$B$7)+IF(Topraklar!$K$42=Bitkiler!$C$85,0.002,IF(Topraklar!$L$42="Evet",0.001,0)))</f>
        <v/>
      </c>
      <c r="AQ86" s="16">
        <f>IF(OR(Topraklar!$J$43="Evet",AND(Topraklar!$L$43&lt;&gt;"Evet",Topraklar!$K$43&lt;&gt;Bitkiler!$C$85)),0,MAX(0,1-(Ayarlar!$B$2*ABS(Bitkiler!$D$85-Topraklar!$D$43)+Ayarlar!$B$3*ABS(Bitkiler!$E$85-Topraklar!$E$43)+Ayarlar!$B$4*ABS(Bitkiler!$F$85-Topraklar!$F$43)+Ayarlar!$B$5*ABS(Bitkiler!$G$85-Topraklar!$G$43)+Ayarlar!$B$6*IF(Bitkiler!$H$85=Topraklar!$H$43,0,1))/Ayarlar!$B$7)+IF(Topraklar!$K$43=Bitkiler!$C$85,0.002,IF(Topraklar!$L$43="Evet",0.001,0)))</f>
        <v/>
      </c>
      <c r="AR86" s="16">
        <f>IF(OR(Topraklar!$J$44="Evet",AND(Topraklar!$L$44&lt;&gt;"Evet",Topraklar!$K$44&lt;&gt;Bitkiler!$C$85)),0,MAX(0,1-(Ayarlar!$B$2*ABS(Bitkiler!$D$85-Topraklar!$D$44)+Ayarlar!$B$3*ABS(Bitkiler!$E$85-Topraklar!$E$44)+Ayarlar!$B$4*ABS(Bitkiler!$F$85-Topraklar!$F$44)+Ayarlar!$B$5*ABS(Bitkiler!$G$85-Topraklar!$G$44)+Ayarlar!$B$6*IF(Bitkiler!$H$85=Topraklar!$H$44,0,1))/Ayarlar!$B$7)+IF(Topraklar!$K$44=Bitkiler!$C$85,0.002,IF(Topraklar!$L$44="Evet",0.001,0)))</f>
        <v/>
      </c>
      <c r="AS86" s="16">
        <f>IF(OR(Topraklar!$J$45="Evet",AND(Topraklar!$L$45&lt;&gt;"Evet",Topraklar!$K$45&lt;&gt;Bitkiler!$C$85)),0,MAX(0,1-(Ayarlar!$B$2*ABS(Bitkiler!$D$85-Topraklar!$D$45)+Ayarlar!$B$3*ABS(Bitkiler!$E$85-Topraklar!$E$45)+Ayarlar!$B$4*ABS(Bitkiler!$F$85-Topraklar!$F$45)+Ayarlar!$B$5*ABS(Bitkiler!$G$85-Topraklar!$G$45)+Ayarlar!$B$6*IF(Bitkiler!$H$85=Topraklar!$H$45,0,1))/Ayarlar!$B$7)+IF(Topraklar!$K$45=Bitkiler!$C$85,0.002,IF(Topraklar!$L$45="Evet",0.001,0)))</f>
        <v/>
      </c>
      <c r="AT86" s="16">
        <f>IF(OR(Topraklar!$J$46="Evet",AND(Topraklar!$L$46&lt;&gt;"Evet",Topraklar!$K$46&lt;&gt;Bitkiler!$C$85)),0,MAX(0,1-(Ayarlar!$B$2*ABS(Bitkiler!$D$85-Topraklar!$D$46)+Ayarlar!$B$3*ABS(Bitkiler!$E$85-Topraklar!$E$46)+Ayarlar!$B$4*ABS(Bitkiler!$F$85-Topraklar!$F$46)+Ayarlar!$B$5*ABS(Bitkiler!$G$85-Topraklar!$G$46)+Ayarlar!$B$6*IF(Bitkiler!$H$85=Topraklar!$H$46,0,1))/Ayarlar!$B$7)+IF(Topraklar!$K$46=Bitkiler!$C$85,0.002,IF(Topraklar!$L$46="Evet",0.001,0)))</f>
        <v/>
      </c>
      <c r="AU86" s="16">
        <f>IF(OR(Topraklar!$J$47="Evet",AND(Topraklar!$L$47&lt;&gt;"Evet",Topraklar!$K$47&lt;&gt;Bitkiler!$C$85)),0,MAX(0,1-(Ayarlar!$B$2*ABS(Bitkiler!$D$85-Topraklar!$D$47)+Ayarlar!$B$3*ABS(Bitkiler!$E$85-Topraklar!$E$47)+Ayarlar!$B$4*ABS(Bitkiler!$F$85-Topraklar!$F$47)+Ayarlar!$B$5*ABS(Bitkiler!$G$85-Topraklar!$G$47)+Ayarlar!$B$6*IF(Bitkiler!$H$85=Topraklar!$H$47,0,1))/Ayarlar!$B$7)+IF(Topraklar!$K$47=Bitkiler!$C$85,0.002,IF(Topraklar!$L$47="Evet",0.001,0)))</f>
        <v/>
      </c>
      <c r="AV86" s="16">
        <f>IF(OR(Topraklar!$J$48="Evet",AND(Topraklar!$L$48&lt;&gt;"Evet",Topraklar!$K$48&lt;&gt;Bitkiler!$C$85)),0,MAX(0,1-(Ayarlar!$B$2*ABS(Bitkiler!$D$85-Topraklar!$D$48)+Ayarlar!$B$3*ABS(Bitkiler!$E$85-Topraklar!$E$48)+Ayarlar!$B$4*ABS(Bitkiler!$F$85-Topraklar!$F$48)+Ayarlar!$B$5*ABS(Bitkiler!$G$85-Topraklar!$G$48)+Ayarlar!$B$6*IF(Bitkiler!$H$85=Topraklar!$H$48,0,1))/Ayarlar!$B$7)+IF(Topraklar!$K$48=Bitkiler!$C$85,0.002,IF(Topraklar!$L$48="Evet",0.001,0)))</f>
        <v/>
      </c>
      <c r="AW86" s="16">
        <f>IF(OR(Topraklar!$J$49="Evet",AND(Topraklar!$L$49&lt;&gt;"Evet",Topraklar!$K$49&lt;&gt;Bitkiler!$C$85)),0,MAX(0,1-(Ayarlar!$B$2*ABS(Bitkiler!$D$85-Topraklar!$D$49)+Ayarlar!$B$3*ABS(Bitkiler!$E$85-Topraklar!$E$49)+Ayarlar!$B$4*ABS(Bitkiler!$F$85-Topraklar!$F$49)+Ayarlar!$B$5*ABS(Bitkiler!$G$85-Topraklar!$G$49)+Ayarlar!$B$6*IF(Bitkiler!$H$85=Topraklar!$H$49,0,1))/Ayarlar!$B$7)+IF(Topraklar!$K$49=Bitkiler!$C$85,0.002,IF(Topraklar!$L$49="Evet",0.001,0)))</f>
        <v/>
      </c>
      <c r="AX86" s="16">
        <f>IF(OR(Topraklar!$J$50="Evet",AND(Topraklar!$L$50&lt;&gt;"Evet",Topraklar!$K$50&lt;&gt;Bitkiler!$C$85)),0,MAX(0,1-(Ayarlar!$B$2*ABS(Bitkiler!$D$85-Topraklar!$D$50)+Ayarlar!$B$3*ABS(Bitkiler!$E$85-Topraklar!$E$50)+Ayarlar!$B$4*ABS(Bitkiler!$F$85-Topraklar!$F$50)+Ayarlar!$B$5*ABS(Bitkiler!$G$85-Topraklar!$G$50)+Ayarlar!$B$6*IF(Bitkiler!$H$85=Topraklar!$H$50,0,1))/Ayarlar!$B$7)+IF(Topraklar!$K$50=Bitkiler!$C$85,0.002,IF(Topraklar!$L$50="Evet",0.001,0)))</f>
        <v/>
      </c>
      <c r="AY86" s="16">
        <f>IF(OR(Topraklar!$J$51="Evet",AND(Topraklar!$L$51&lt;&gt;"Evet",Topraklar!$K$51&lt;&gt;Bitkiler!$C$85)),0,MAX(0,1-(Ayarlar!$B$2*ABS(Bitkiler!$D$85-Topraklar!$D$51)+Ayarlar!$B$3*ABS(Bitkiler!$E$85-Topraklar!$E$51)+Ayarlar!$B$4*ABS(Bitkiler!$F$85-Topraklar!$F$51)+Ayarlar!$B$5*ABS(Bitkiler!$G$85-Topraklar!$G$51)+Ayarlar!$B$6*IF(Bitkiler!$H$85=Topraklar!$H$51,0,1))/Ayarlar!$B$7)+IF(Topraklar!$K$51=Bitkiler!$C$85,0.002,IF(Topraklar!$L$51="Evet",0.001,0)))</f>
        <v/>
      </c>
    </row>
  </sheetData>
  <conditionalFormatting sqref="B3:AY86">
    <cfRule type="colorScale" priority="1">
      <colorScale>
        <cfvo type="num" val="0"/>
        <cfvo type="num" val="1"/>
        <color rgb="00FFFFFF"/>
        <color rgb="005AA9B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2026-09-30T12:40:46Z</dcterms:created>
  <dcterms:modified xsi:type="dcterms:W3CDTF">2026-09-30T12:40:46Z</dcterms:modified>
</cp:coreProperties>
</file>